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0a6b95220bfa65/papers and writing/claims framework paper/work/ontologies/"/>
    </mc:Choice>
  </mc:AlternateContent>
  <xr:revisionPtr revIDLastSave="11" documentId="8_{EB507AFE-EBCF-4911-AF82-6D5A43D2C3ED}" xr6:coauthVersionLast="47" xr6:coauthVersionMax="47" xr10:uidLastSave="{DA43C853-31C1-4102-B1C2-93EED6D26BBC}"/>
  <bookViews>
    <workbookView xWindow="20370" yWindow="-120" windowWidth="29040" windowHeight="17640" firstSheet="6" activeTab="14" xr2:uid="{00000000-000D-0000-FFFF-FFFF00000000}"/>
  </bookViews>
  <sheets>
    <sheet name="notes" sheetId="16" r:id="rId1"/>
    <sheet name="country" sheetId="1" r:id="rId2"/>
    <sheet name="areas" sheetId="2" r:id="rId3"/>
    <sheet name="peril" sheetId="3" r:id="rId4"/>
    <sheet name="selected events" sheetId="15" r:id="rId5"/>
    <sheet name="emdat" sheetId="18" r:id="rId6"/>
    <sheet name="events" sheetId="4" r:id="rId7"/>
    <sheet name="Sheet3" sheetId="21" r:id="rId8"/>
    <sheet name="epfactors" sheetId="5" r:id="rId9"/>
    <sheet name="lobs" sheetId="6" r:id="rId10"/>
    <sheet name="event_losses" sheetId="7" r:id="rId11"/>
    <sheet name="portfolios" sheetId="8" r:id="rId12"/>
    <sheet name="availablemodels" sheetId="9" r:id="rId13"/>
    <sheet name="catmodels" sheetId="10" r:id="rId14"/>
    <sheet name="catmodeldomains" sheetId="13" r:id="rId15"/>
    <sheet name="portfolio_AAL" sheetId="11" r:id="rId16"/>
    <sheet name="epcurves" sheetId="12" r:id="rId17"/>
    <sheet name="sparql result" sheetId="19" r:id="rId18"/>
    <sheet name="Sheet2" sheetId="20" r:id="rId19"/>
    <sheet name="Sheet1" sheetId="22" r:id="rId20"/>
    <sheet name="claims vs aal" sheetId="23" r:id="rId21"/>
  </sheets>
  <definedNames>
    <definedName name="_xlnm._FilterDatabase" localSheetId="12" hidden="1">availablemodels!$A$1:$K$16</definedName>
    <definedName name="_xlnm._FilterDatabase" localSheetId="14" hidden="1">catmodeldomains!$H$1:$I$41</definedName>
    <definedName name="_xlnm._FilterDatabase" localSheetId="13" hidden="1">catmodels!$A$1:$G$48</definedName>
    <definedName name="_xlnm._FilterDatabase" localSheetId="20" hidden="1">'claims vs aal'!$A$1:$D$203</definedName>
    <definedName name="_xlnm._FilterDatabase" localSheetId="1" hidden="1">country!$A$1:$F$287</definedName>
    <definedName name="_xlnm._FilterDatabase" localSheetId="16" hidden="1">epcurves!$A$1:$K$670</definedName>
    <definedName name="_xlnm._FilterDatabase" localSheetId="8" hidden="1">epfactors!$A$1:$E$222</definedName>
    <definedName name="_xlnm._FilterDatabase" localSheetId="10" hidden="1">event_losses!$A$1:$I$427</definedName>
    <definedName name="_xlnm._FilterDatabase" localSheetId="6" hidden="1">events!$A$1:$J$466</definedName>
    <definedName name="_xlnm._FilterDatabase" localSheetId="15" hidden="1">portfolio_AAL!$A$1:$K$144</definedName>
    <definedName name="_xlnm._FilterDatabase" localSheetId="11" hidden="1">portfolios!$A$1:$D$15</definedName>
    <definedName name="_xlnm._FilterDatabase" localSheetId="4" hidden="1">'selected events'!$A$1:$M$211</definedName>
    <definedName name="_xlnm._FilterDatabase" localSheetId="19" hidden="1">Sheet1!$X$1:$AA$147</definedName>
    <definedName name="_xlnm._FilterDatabase" localSheetId="18" hidden="1">Sheet2!$A$1:$H$467</definedName>
    <definedName name="_xlnm._FilterDatabase" localSheetId="17" hidden="1">'sparql result'!$A$1:$G$467</definedName>
  </definedNames>
  <calcPr calcId="191028"/>
  <pivotCaches>
    <pivotCache cacheId="0" r:id="rId22"/>
    <pivotCache cacheId="1" r:id="rId23"/>
    <pivotCache cacheId="2" r:id="rId2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3" l="1"/>
  <c r="D4" i="23"/>
  <c r="D5" i="23"/>
  <c r="D6" i="23"/>
  <c r="D7" i="23"/>
  <c r="D8" i="23"/>
  <c r="D9" i="23"/>
  <c r="D12" i="23"/>
  <c r="D11" i="23"/>
  <c r="D29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198" i="23"/>
  <c r="D26" i="23"/>
  <c r="D27" i="23"/>
  <c r="D28" i="23"/>
  <c r="D68" i="23"/>
  <c r="D52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196" i="23"/>
  <c r="D53" i="23"/>
  <c r="D54" i="23"/>
  <c r="D130" i="23"/>
  <c r="D56" i="23"/>
  <c r="D57" i="23"/>
  <c r="D58" i="23"/>
  <c r="D59" i="23"/>
  <c r="D60" i="23"/>
  <c r="D61" i="23"/>
  <c r="D62" i="23"/>
  <c r="D63" i="23"/>
  <c r="D64" i="23"/>
  <c r="D65" i="23"/>
  <c r="D66" i="23"/>
  <c r="D128" i="23"/>
  <c r="D199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200" i="23"/>
  <c r="D125" i="23"/>
  <c r="D126" i="23"/>
  <c r="D2" i="23"/>
  <c r="D201" i="23"/>
  <c r="D129" i="23"/>
  <c r="D202" i="23"/>
  <c r="D131" i="23"/>
  <c r="D132" i="23"/>
  <c r="D133" i="23"/>
  <c r="D134" i="23"/>
  <c r="D135" i="23"/>
  <c r="D55" i="23"/>
  <c r="D137" i="23"/>
  <c r="D138" i="23"/>
  <c r="D197" i="23"/>
  <c r="D140" i="23"/>
  <c r="D141" i="23"/>
  <c r="D142" i="23"/>
  <c r="D124" i="23"/>
  <c r="D144" i="23"/>
  <c r="D145" i="23"/>
  <c r="D203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39" i="23"/>
  <c r="D146" i="23"/>
  <c r="D10" i="23"/>
  <c r="D194" i="23"/>
  <c r="D136" i="23"/>
  <c r="D143" i="23"/>
  <c r="D193" i="23"/>
  <c r="D67" i="23"/>
  <c r="D127" i="23"/>
  <c r="D195" i="23"/>
  <c r="D30" i="23"/>
  <c r="D25" i="23"/>
  <c r="AA3" i="22"/>
  <c r="AA4" i="22"/>
  <c r="AA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AA55" i="22"/>
  <c r="AA56" i="22"/>
  <c r="AA57" i="22"/>
  <c r="AA58" i="22"/>
  <c r="AA59" i="22"/>
  <c r="AA60" i="22"/>
  <c r="AA61" i="22"/>
  <c r="AA62" i="22"/>
  <c r="AA63" i="22"/>
  <c r="AA64" i="22"/>
  <c r="AA65" i="22"/>
  <c r="AA66" i="22"/>
  <c r="AA67" i="22"/>
  <c r="AA68" i="22"/>
  <c r="AA69" i="22"/>
  <c r="AA70" i="22"/>
  <c r="AA71" i="22"/>
  <c r="AA72" i="22"/>
  <c r="AA73" i="22"/>
  <c r="AA74" i="22"/>
  <c r="AA75" i="22"/>
  <c r="AA76" i="22"/>
  <c r="AA77" i="22"/>
  <c r="AA78" i="22"/>
  <c r="AA79" i="22"/>
  <c r="AA80" i="22"/>
  <c r="AA81" i="22"/>
  <c r="AA82" i="22"/>
  <c r="AA83" i="22"/>
  <c r="AA84" i="22"/>
  <c r="AA85" i="22"/>
  <c r="AA86" i="22"/>
  <c r="AA87" i="22"/>
  <c r="AA88" i="22"/>
  <c r="AA89" i="22"/>
  <c r="AA90" i="22"/>
  <c r="AA91" i="22"/>
  <c r="AA92" i="22"/>
  <c r="AA93" i="22"/>
  <c r="AA94" i="22"/>
  <c r="AA95" i="22"/>
  <c r="AA96" i="22"/>
  <c r="AA97" i="22"/>
  <c r="AA98" i="22"/>
  <c r="AA99" i="22"/>
  <c r="AA100" i="22"/>
  <c r="AA101" i="22"/>
  <c r="AA102" i="22"/>
  <c r="AA103" i="22"/>
  <c r="AA104" i="22"/>
  <c r="AA105" i="22"/>
  <c r="AA106" i="22"/>
  <c r="AA107" i="22"/>
  <c r="AA108" i="22"/>
  <c r="AA109" i="22"/>
  <c r="AA110" i="22"/>
  <c r="AA111" i="22"/>
  <c r="AA112" i="22"/>
  <c r="AA113" i="22"/>
  <c r="AA114" i="22"/>
  <c r="AA115" i="22"/>
  <c r="AA116" i="22"/>
  <c r="AA117" i="22"/>
  <c r="AA118" i="22"/>
  <c r="AA119" i="22"/>
  <c r="AA120" i="22"/>
  <c r="AA121" i="22"/>
  <c r="AA122" i="22"/>
  <c r="AA123" i="22"/>
  <c r="AA124" i="22"/>
  <c r="AA125" i="22"/>
  <c r="AA126" i="22"/>
  <c r="AA127" i="22"/>
  <c r="AA128" i="22"/>
  <c r="AA129" i="22"/>
  <c r="AA130" i="22"/>
  <c r="AA131" i="22"/>
  <c r="AA132" i="22"/>
  <c r="AA133" i="22"/>
  <c r="AA134" i="22"/>
  <c r="AA135" i="22"/>
  <c r="AA136" i="22"/>
  <c r="AA137" i="22"/>
  <c r="AA138" i="22"/>
  <c r="AA139" i="22"/>
  <c r="AA140" i="22"/>
  <c r="AA141" i="22"/>
  <c r="AA142" i="22"/>
  <c r="AA143" i="22"/>
  <c r="AA144" i="22"/>
  <c r="AA145" i="22"/>
  <c r="AA146" i="22"/>
  <c r="AA147" i="22"/>
  <c r="AA2" i="22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<sst xmlns="http://schemas.openxmlformats.org/spreadsheetml/2006/main" count="20495" uniqueCount="4915">
  <si>
    <t>notes</t>
  </si>
  <si>
    <t xml:space="preserve">US </t>
  </si>
  <si>
    <t xml:space="preserve">WS </t>
  </si>
  <si>
    <t>All years</t>
  </si>
  <si>
    <t>use for trends</t>
  </si>
  <si>
    <t>all LOB</t>
  </si>
  <si>
    <t>WF</t>
  </si>
  <si>
    <t>1-2 years</t>
  </si>
  <si>
    <t>use for OEP/AEP</t>
  </si>
  <si>
    <t>commercial only</t>
  </si>
  <si>
    <t>non-US</t>
  </si>
  <si>
    <t>all perils</t>
  </si>
  <si>
    <t>CP / Energy</t>
  </si>
  <si>
    <t>EU</t>
  </si>
  <si>
    <t>non modeled</t>
  </si>
  <si>
    <t>CA</t>
  </si>
  <si>
    <t>storm bernd</t>
  </si>
  <si>
    <t>nonmodeled</t>
  </si>
  <si>
    <t>Region</t>
  </si>
  <si>
    <t>Region Code</t>
  </si>
  <si>
    <t>RegionName</t>
  </si>
  <si>
    <t>in OASIS</t>
  </si>
  <si>
    <t>Oasis Code</t>
  </si>
  <si>
    <t>ISO3A</t>
  </si>
  <si>
    <t>AD</t>
  </si>
  <si>
    <t>XX</t>
  </si>
  <si>
    <t>Andorra</t>
  </si>
  <si>
    <t>AND</t>
  </si>
  <si>
    <t>AE</t>
  </si>
  <si>
    <t>United Arab Emirates</t>
  </si>
  <si>
    <t>ARE</t>
  </si>
  <si>
    <t>AF</t>
  </si>
  <si>
    <t>Afghanistan</t>
  </si>
  <si>
    <t>AFG</t>
  </si>
  <si>
    <t>AM</t>
  </si>
  <si>
    <t>Armenia</t>
  </si>
  <si>
    <t>ARM</t>
  </si>
  <si>
    <t>AO</t>
  </si>
  <si>
    <t>Angola</t>
  </si>
  <si>
    <t>AGO</t>
  </si>
  <si>
    <t>AQ</t>
  </si>
  <si>
    <t>Antarctica</t>
  </si>
  <si>
    <t>ATA</t>
  </si>
  <si>
    <t>AR</t>
  </si>
  <si>
    <t>Argentina</t>
  </si>
  <si>
    <t>ARG</t>
  </si>
  <si>
    <t>AS</t>
  </si>
  <si>
    <t>American Samoa</t>
  </si>
  <si>
    <t>ASM</t>
  </si>
  <si>
    <t>AZ</t>
  </si>
  <si>
    <t>Azerbaijan</t>
  </si>
  <si>
    <t>AZE</t>
  </si>
  <si>
    <t>BA</t>
  </si>
  <si>
    <t>Bosnia and Herzegovina</t>
  </si>
  <si>
    <t>BIH</t>
  </si>
  <si>
    <t>BD</t>
  </si>
  <si>
    <t>Bangladesh</t>
  </si>
  <si>
    <t>BGD</t>
  </si>
  <si>
    <t>BF</t>
  </si>
  <si>
    <t>Burkina Faso</t>
  </si>
  <si>
    <t>BFA</t>
  </si>
  <si>
    <t>BH</t>
  </si>
  <si>
    <t>Bahrain</t>
  </si>
  <si>
    <t>BHR</t>
  </si>
  <si>
    <t>BI</t>
  </si>
  <si>
    <t>Burundi</t>
  </si>
  <si>
    <t>BDI</t>
  </si>
  <si>
    <t>BJ</t>
  </si>
  <si>
    <t>Benin</t>
  </si>
  <si>
    <t>BEN</t>
  </si>
  <si>
    <t>BO</t>
  </si>
  <si>
    <t>Bolivia</t>
  </si>
  <si>
    <t>BOL</t>
  </si>
  <si>
    <t>BT</t>
  </si>
  <si>
    <t>Bhutan</t>
  </si>
  <si>
    <t>BTN</t>
  </si>
  <si>
    <t>BV</t>
  </si>
  <si>
    <t>Bouvet Island</t>
  </si>
  <si>
    <t>BVT</t>
  </si>
  <si>
    <t>BW</t>
  </si>
  <si>
    <t>Botswana</t>
  </si>
  <si>
    <t>BWA</t>
  </si>
  <si>
    <t>BY</t>
  </si>
  <si>
    <t>Belarus</t>
  </si>
  <si>
    <t>BLR</t>
  </si>
  <si>
    <t>CC</t>
  </si>
  <si>
    <t>Cocos (Keeling) Islands</t>
  </si>
  <si>
    <t>Cocos Islands</t>
  </si>
  <si>
    <t>CCK</t>
  </si>
  <si>
    <t>CF</t>
  </si>
  <si>
    <t>Central African Republic</t>
  </si>
  <si>
    <t>CAF</t>
  </si>
  <si>
    <t>CG</t>
  </si>
  <si>
    <t>Congo</t>
  </si>
  <si>
    <t>COG</t>
  </si>
  <si>
    <t>CI</t>
  </si>
  <si>
    <t>Cote d'Ivoire</t>
  </si>
  <si>
    <t>Cote D Ivoire</t>
  </si>
  <si>
    <t>CIV</t>
  </si>
  <si>
    <t>CK</t>
  </si>
  <si>
    <t>Cook Islands</t>
  </si>
  <si>
    <t>COK</t>
  </si>
  <si>
    <t>CM</t>
  </si>
  <si>
    <t>Cameroon</t>
  </si>
  <si>
    <t>CMR</t>
  </si>
  <si>
    <t>CV</t>
  </si>
  <si>
    <t>Cape Verde</t>
  </si>
  <si>
    <t>CPV</t>
  </si>
  <si>
    <t>CX</t>
  </si>
  <si>
    <t>Christmas Island</t>
  </si>
  <si>
    <t>CXR</t>
  </si>
  <si>
    <t>DJ</t>
  </si>
  <si>
    <t>Djibouti</t>
  </si>
  <si>
    <t>DJI</t>
  </si>
  <si>
    <t>DZ</t>
  </si>
  <si>
    <t>Algeria</t>
  </si>
  <si>
    <t>DZA</t>
  </si>
  <si>
    <t>EG</t>
  </si>
  <si>
    <t>Egypt</t>
  </si>
  <si>
    <t>EGY</t>
  </si>
  <si>
    <t>EH</t>
  </si>
  <si>
    <t>Western Sahara</t>
  </si>
  <si>
    <t>ESH</t>
  </si>
  <si>
    <t>ER</t>
  </si>
  <si>
    <t>Eritrea</t>
  </si>
  <si>
    <t>ERI</t>
  </si>
  <si>
    <t>ES</t>
  </si>
  <si>
    <t>Spain</t>
  </si>
  <si>
    <t>ESP</t>
  </si>
  <si>
    <t>ET</t>
  </si>
  <si>
    <t>Ethiopia</t>
  </si>
  <si>
    <t>ETH</t>
  </si>
  <si>
    <t>FJ</t>
  </si>
  <si>
    <t>Fiji</t>
  </si>
  <si>
    <t>FJI</t>
  </si>
  <si>
    <t>FK</t>
  </si>
  <si>
    <t>Falkland Islands (Malvinas)</t>
  </si>
  <si>
    <t>Falkland Islands</t>
  </si>
  <si>
    <t>FLK</t>
  </si>
  <si>
    <t>FM</t>
  </si>
  <si>
    <t>Micronesia, Federated States of</t>
  </si>
  <si>
    <t>Micronesia</t>
  </si>
  <si>
    <t>FSM</t>
  </si>
  <si>
    <t>FO</t>
  </si>
  <si>
    <t>Faroe Islands</t>
  </si>
  <si>
    <t>Faeroe Islands</t>
  </si>
  <si>
    <t>FRO</t>
  </si>
  <si>
    <t>GA</t>
  </si>
  <si>
    <t>Gabon</t>
  </si>
  <si>
    <t>GAB</t>
  </si>
  <si>
    <t>GE</t>
  </si>
  <si>
    <t>Georgia</t>
  </si>
  <si>
    <t>GEO</t>
  </si>
  <si>
    <t>GF</t>
  </si>
  <si>
    <t>French Guiana</t>
  </si>
  <si>
    <t>GUF</t>
  </si>
  <si>
    <t>GG</t>
  </si>
  <si>
    <t>Guernsey</t>
  </si>
  <si>
    <t>GGY</t>
  </si>
  <si>
    <t>GH</t>
  </si>
  <si>
    <t>Ghana</t>
  </si>
  <si>
    <t>GHA</t>
  </si>
  <si>
    <t>GI</t>
  </si>
  <si>
    <t>Gibraltar</t>
  </si>
  <si>
    <t>GIB</t>
  </si>
  <si>
    <t>GL</t>
  </si>
  <si>
    <t>Greenland</t>
  </si>
  <si>
    <t>GRL</t>
  </si>
  <si>
    <t>GM</t>
  </si>
  <si>
    <t>Gambia</t>
  </si>
  <si>
    <t>GMB</t>
  </si>
  <si>
    <t>GN</t>
  </si>
  <si>
    <t>Guinea</t>
  </si>
  <si>
    <t>GIN</t>
  </si>
  <si>
    <t>GQ</t>
  </si>
  <si>
    <t>Equatorial Guinea</t>
  </si>
  <si>
    <t>GNQ</t>
  </si>
  <si>
    <t>GS</t>
  </si>
  <si>
    <t>South Georgia &amp; The South Sandwich Islands</t>
  </si>
  <si>
    <t>South Georgia and the South Sandwich Islands</t>
  </si>
  <si>
    <t>SGS</t>
  </si>
  <si>
    <t>GW</t>
  </si>
  <si>
    <t>Guinea-Bissau</t>
  </si>
  <si>
    <t>GNB</t>
  </si>
  <si>
    <t>GY</t>
  </si>
  <si>
    <t>Guyana</t>
  </si>
  <si>
    <t>GUY</t>
  </si>
  <si>
    <t>HR</t>
  </si>
  <si>
    <t>Croatia</t>
  </si>
  <si>
    <t>HRV</t>
  </si>
  <si>
    <t>IM</t>
  </si>
  <si>
    <t>Isle of Man</t>
  </si>
  <si>
    <t>Isle Of Man</t>
  </si>
  <si>
    <t>IMN</t>
  </si>
  <si>
    <t>IQ</t>
  </si>
  <si>
    <t>Iraq</t>
  </si>
  <si>
    <t>IRQ</t>
  </si>
  <si>
    <t>IR</t>
  </si>
  <si>
    <t>Iran, Islamic Republic of</t>
  </si>
  <si>
    <t>Iran</t>
  </si>
  <si>
    <t>IRN</t>
  </si>
  <si>
    <t>IS</t>
  </si>
  <si>
    <t>Iceland</t>
  </si>
  <si>
    <t>ISL</t>
  </si>
  <si>
    <t>JE</t>
  </si>
  <si>
    <t>Jersey</t>
  </si>
  <si>
    <t>JEY</t>
  </si>
  <si>
    <t>JO</t>
  </si>
  <si>
    <t>Jordan</t>
  </si>
  <si>
    <t>JOR</t>
  </si>
  <si>
    <t>KE</t>
  </si>
  <si>
    <t>Kenya</t>
  </si>
  <si>
    <t>KEN</t>
  </si>
  <si>
    <t>KG</t>
  </si>
  <si>
    <t>Kyrgyzstan</t>
  </si>
  <si>
    <t>KGZ</t>
  </si>
  <si>
    <t>KH</t>
  </si>
  <si>
    <t>Cambodia</t>
  </si>
  <si>
    <t>KHM</t>
  </si>
  <si>
    <t>KI</t>
  </si>
  <si>
    <t>Kiribati</t>
  </si>
  <si>
    <t>KIR</t>
  </si>
  <si>
    <t>KM</t>
  </si>
  <si>
    <t>Comoros</t>
  </si>
  <si>
    <t>COM</t>
  </si>
  <si>
    <t>KW</t>
  </si>
  <si>
    <t>Kuwait</t>
  </si>
  <si>
    <t>KWT</t>
  </si>
  <si>
    <t>KZ</t>
  </si>
  <si>
    <t>Kazakstan</t>
  </si>
  <si>
    <t>Kazakhstan</t>
  </si>
  <si>
    <t>KAZ</t>
  </si>
  <si>
    <t>LA</t>
  </si>
  <si>
    <t>Lao, People's Democratic Republic</t>
  </si>
  <si>
    <t>Lao Peoples Democratic Republic</t>
  </si>
  <si>
    <t>LAO</t>
  </si>
  <si>
    <t>LB</t>
  </si>
  <si>
    <t>Lebanon</t>
  </si>
  <si>
    <t>LBN</t>
  </si>
  <si>
    <t>LK</t>
  </si>
  <si>
    <t>Sri Lanka</t>
  </si>
  <si>
    <t>LKA</t>
  </si>
  <si>
    <t>LR</t>
  </si>
  <si>
    <t>Liberia</t>
  </si>
  <si>
    <t>LBR</t>
  </si>
  <si>
    <t>LS</t>
  </si>
  <si>
    <t>Lesotho</t>
  </si>
  <si>
    <t>LSO</t>
  </si>
  <si>
    <t>LY</t>
  </si>
  <si>
    <t>Libyan Arab Jamahiriya</t>
  </si>
  <si>
    <t>Libya</t>
  </si>
  <si>
    <t>LBY</t>
  </si>
  <si>
    <t>MA</t>
  </si>
  <si>
    <t>Morocco</t>
  </si>
  <si>
    <t>MAR</t>
  </si>
  <si>
    <t>MC</t>
  </si>
  <si>
    <t>Monaco</t>
  </si>
  <si>
    <t>MCO</t>
  </si>
  <si>
    <t>MD</t>
  </si>
  <si>
    <t>Moldova, Republic of</t>
  </si>
  <si>
    <t>Moldova</t>
  </si>
  <si>
    <t>MDA</t>
  </si>
  <si>
    <t>ME</t>
  </si>
  <si>
    <t>Montenegro</t>
  </si>
  <si>
    <t>MNE</t>
  </si>
  <si>
    <t>MG</t>
  </si>
  <si>
    <t>Madagascar</t>
  </si>
  <si>
    <t>MDG</t>
  </si>
  <si>
    <t>MH</t>
  </si>
  <si>
    <t>Marshall Islands</t>
  </si>
  <si>
    <t>MHL</t>
  </si>
  <si>
    <t>ML</t>
  </si>
  <si>
    <t>Mali</t>
  </si>
  <si>
    <t>MLI</t>
  </si>
  <si>
    <t>MM</t>
  </si>
  <si>
    <t>Myanmar</t>
  </si>
  <si>
    <t>MMR</t>
  </si>
  <si>
    <t>MN</t>
  </si>
  <si>
    <t>Mongolia</t>
  </si>
  <si>
    <t>MNG</t>
  </si>
  <si>
    <t>MP</t>
  </si>
  <si>
    <t>Northern Mariana Islands</t>
  </si>
  <si>
    <t>Northern Mariana Islands / Saipan</t>
  </si>
  <si>
    <t>MNP</t>
  </si>
  <si>
    <t>MR</t>
  </si>
  <si>
    <t>Mauritania</t>
  </si>
  <si>
    <t>MRT</t>
  </si>
  <si>
    <t>MT</t>
  </si>
  <si>
    <t>Malta</t>
  </si>
  <si>
    <t>MLT</t>
  </si>
  <si>
    <t>MU</t>
  </si>
  <si>
    <t>Mauritius</t>
  </si>
  <si>
    <t>MUS</t>
  </si>
  <si>
    <t>MV</t>
  </si>
  <si>
    <t>Maldives</t>
  </si>
  <si>
    <t>MDV</t>
  </si>
  <si>
    <t>MW</t>
  </si>
  <si>
    <t>Malawi</t>
  </si>
  <si>
    <t>MWI</t>
  </si>
  <si>
    <t>MZ</t>
  </si>
  <si>
    <t>Mozambique</t>
  </si>
  <si>
    <t>MOZ</t>
  </si>
  <si>
    <t>NAM</t>
  </si>
  <si>
    <t>Namibia</t>
  </si>
  <si>
    <t>NC</t>
  </si>
  <si>
    <t>New Caledonia</t>
  </si>
  <si>
    <t>NCL</t>
  </si>
  <si>
    <t>NE</t>
  </si>
  <si>
    <t>Niger</t>
  </si>
  <si>
    <t>NER</t>
  </si>
  <si>
    <t>NF</t>
  </si>
  <si>
    <t>Norfolk Island</t>
  </si>
  <si>
    <t>NFK</t>
  </si>
  <si>
    <t>NG</t>
  </si>
  <si>
    <t>Nigeria</t>
  </si>
  <si>
    <t>NGA</t>
  </si>
  <si>
    <t>NP</t>
  </si>
  <si>
    <t>Nepal</t>
  </si>
  <si>
    <t>NPL</t>
  </si>
  <si>
    <t>NR</t>
  </si>
  <si>
    <t>Nauru</t>
  </si>
  <si>
    <t>NRU</t>
  </si>
  <si>
    <t>NU</t>
  </si>
  <si>
    <t>Niue</t>
  </si>
  <si>
    <t>NIU</t>
  </si>
  <si>
    <t>OM</t>
  </si>
  <si>
    <t>Oman</t>
  </si>
  <si>
    <t>OMN</t>
  </si>
  <si>
    <t>PF</t>
  </si>
  <si>
    <t>French Polynesia</t>
  </si>
  <si>
    <t>PYF</t>
  </si>
  <si>
    <t>PK</t>
  </si>
  <si>
    <t>Pakistan</t>
  </si>
  <si>
    <t>PAK</t>
  </si>
  <si>
    <t>PM</t>
  </si>
  <si>
    <t>Saint Pierre and Miquelon</t>
  </si>
  <si>
    <t>SPM</t>
  </si>
  <si>
    <t>PN</t>
  </si>
  <si>
    <t>Pitcairn</t>
  </si>
  <si>
    <t>PCN</t>
  </si>
  <si>
    <t>PW</t>
  </si>
  <si>
    <t>Palau</t>
  </si>
  <si>
    <t>PLW</t>
  </si>
  <si>
    <t>PY</t>
  </si>
  <si>
    <t>Paraguay</t>
  </si>
  <si>
    <t>PRY</t>
  </si>
  <si>
    <t>QA</t>
  </si>
  <si>
    <t>Qatar</t>
  </si>
  <si>
    <t>QAT</t>
  </si>
  <si>
    <t>RE</t>
  </si>
  <si>
    <t>Reunion</t>
  </si>
  <si>
    <t>REU</t>
  </si>
  <si>
    <t>RU</t>
  </si>
  <si>
    <t>Russia Federation</t>
  </si>
  <si>
    <t>Russian Federation</t>
  </si>
  <si>
    <t>RUS</t>
  </si>
  <si>
    <t>RW</t>
  </si>
  <si>
    <t>Rwanda</t>
  </si>
  <si>
    <t>RWA</t>
  </si>
  <si>
    <t>SA</t>
  </si>
  <si>
    <t>Saudi Arabia</t>
  </si>
  <si>
    <t>SAU</t>
  </si>
  <si>
    <t>SB</t>
  </si>
  <si>
    <t>Solomon Islands</t>
  </si>
  <si>
    <t>SLB</t>
  </si>
  <si>
    <t>SC</t>
  </si>
  <si>
    <t>Seychelles</t>
  </si>
  <si>
    <t>SYC</t>
  </si>
  <si>
    <t>SD</t>
  </si>
  <si>
    <t>Sudan</t>
  </si>
  <si>
    <t>SDN</t>
  </si>
  <si>
    <t>SH</t>
  </si>
  <si>
    <t>Saint Helena</t>
  </si>
  <si>
    <t>SHN</t>
  </si>
  <si>
    <t>SJ</t>
  </si>
  <si>
    <t>Svalbard and Jan Mayen</t>
  </si>
  <si>
    <t>SJM</t>
  </si>
  <si>
    <t>SL</t>
  </si>
  <si>
    <t>Sierra Leone</t>
  </si>
  <si>
    <t>SLE</t>
  </si>
  <si>
    <t>SM</t>
  </si>
  <si>
    <t>San Marino</t>
  </si>
  <si>
    <t>SMR</t>
  </si>
  <si>
    <t>SN</t>
  </si>
  <si>
    <t>Senegal</t>
  </si>
  <si>
    <t>SEN</t>
  </si>
  <si>
    <t>SO</t>
  </si>
  <si>
    <t>Somalia</t>
  </si>
  <si>
    <t>SOM</t>
  </si>
  <si>
    <t>SR</t>
  </si>
  <si>
    <t>Suriname</t>
  </si>
  <si>
    <t>SUR</t>
  </si>
  <si>
    <t>ST</t>
  </si>
  <si>
    <t>Sao Tome and Principe</t>
  </si>
  <si>
    <t>STP</t>
  </si>
  <si>
    <t>SY</t>
  </si>
  <si>
    <t>Syrian Arab Republic</t>
  </si>
  <si>
    <t>SYR</t>
  </si>
  <si>
    <t>SZ</t>
  </si>
  <si>
    <t>Swaziland</t>
  </si>
  <si>
    <t>SWZ</t>
  </si>
  <si>
    <t>TD</t>
  </si>
  <si>
    <t>Chad</t>
  </si>
  <si>
    <t>TCD</t>
  </si>
  <si>
    <t>TF</t>
  </si>
  <si>
    <t>French Southern Territories</t>
  </si>
  <si>
    <t>ATF</t>
  </si>
  <si>
    <t>TG</t>
  </si>
  <si>
    <t>Togo</t>
  </si>
  <si>
    <t>TGO</t>
  </si>
  <si>
    <t>TJ</t>
  </si>
  <si>
    <t>Tajikistan</t>
  </si>
  <si>
    <t>TJK</t>
  </si>
  <si>
    <t>TK</t>
  </si>
  <si>
    <t>Tokelau</t>
  </si>
  <si>
    <t>TKL</t>
  </si>
  <si>
    <t>TL</t>
  </si>
  <si>
    <t>Timor-Leste</t>
  </si>
  <si>
    <t>Timor-leste</t>
  </si>
  <si>
    <t>TLS</t>
  </si>
  <si>
    <t>TM</t>
  </si>
  <si>
    <t>Turkmenistan</t>
  </si>
  <si>
    <t>TKM</t>
  </si>
  <si>
    <t>TN</t>
  </si>
  <si>
    <t>Tunisia</t>
  </si>
  <si>
    <t>TUN</t>
  </si>
  <si>
    <t>TO</t>
  </si>
  <si>
    <t>Tonga</t>
  </si>
  <si>
    <t>TON</t>
  </si>
  <si>
    <t>TV</t>
  </si>
  <si>
    <t>Tuvalu</t>
  </si>
  <si>
    <t>TUV</t>
  </si>
  <si>
    <t>TZ</t>
  </si>
  <si>
    <t>Tanzania, United Republic of</t>
  </si>
  <si>
    <t>Tanzania</t>
  </si>
  <si>
    <t>TZA</t>
  </si>
  <si>
    <t>UA</t>
  </si>
  <si>
    <t>Ukraine</t>
  </si>
  <si>
    <t>UKR</t>
  </si>
  <si>
    <t>UG</t>
  </si>
  <si>
    <t>Uganda</t>
  </si>
  <si>
    <t>UGA</t>
  </si>
  <si>
    <t>UY</t>
  </si>
  <si>
    <t>Uruguay</t>
  </si>
  <si>
    <t>URY</t>
  </si>
  <si>
    <t>UZ</t>
  </si>
  <si>
    <t>Uzbekistan</t>
  </si>
  <si>
    <t>UZB</t>
  </si>
  <si>
    <t>VA</t>
  </si>
  <si>
    <t>Holy See (Vatican City State)</t>
  </si>
  <si>
    <t>Vatican City</t>
  </si>
  <si>
    <t>VAT</t>
  </si>
  <si>
    <t>VU</t>
  </si>
  <si>
    <t>Vanuatu</t>
  </si>
  <si>
    <t>VUT</t>
  </si>
  <si>
    <t>Wallis and Futuna</t>
  </si>
  <si>
    <t>WLF</t>
  </si>
  <si>
    <t>WS</t>
  </si>
  <si>
    <t>Samoa</t>
  </si>
  <si>
    <t>WSM</t>
  </si>
  <si>
    <t>XK</t>
  </si>
  <si>
    <t>Kosovo (temporary code)</t>
  </si>
  <si>
    <t>Kosavo</t>
  </si>
  <si>
    <t>XKX</t>
  </si>
  <si>
    <t>YE</t>
  </si>
  <si>
    <t>Yemen</t>
  </si>
  <si>
    <t>YEM</t>
  </si>
  <si>
    <t>YT</t>
  </si>
  <si>
    <t>Mayotte</t>
  </si>
  <si>
    <t>MYT</t>
  </si>
  <si>
    <t>ZA</t>
  </si>
  <si>
    <t>South Africa</t>
  </si>
  <si>
    <t>ZAF</t>
  </si>
  <si>
    <t>ZM</t>
  </si>
  <si>
    <t>Zambia</t>
  </si>
  <si>
    <t>ZMB</t>
  </si>
  <si>
    <t>ZW</t>
  </si>
  <si>
    <t>Zimbabwe</t>
  </si>
  <si>
    <t>Zimbabwe </t>
  </si>
  <si>
    <t>ZWE</t>
  </si>
  <si>
    <t>AG</t>
  </si>
  <si>
    <t>CB</t>
  </si>
  <si>
    <t>Antigua and Barbuda</t>
  </si>
  <si>
    <t>ATG</t>
  </si>
  <si>
    <t>AI</t>
  </si>
  <si>
    <t>Anguilla</t>
  </si>
  <si>
    <t>AIA</t>
  </si>
  <si>
    <t>AL</t>
  </si>
  <si>
    <t>Albania</t>
  </si>
  <si>
    <t>ALB</t>
  </si>
  <si>
    <t>AT</t>
  </si>
  <si>
    <t>Austria</t>
  </si>
  <si>
    <t>AUT</t>
  </si>
  <si>
    <t>AU</t>
  </si>
  <si>
    <t>Australia</t>
  </si>
  <si>
    <t>AUS</t>
  </si>
  <si>
    <t>AW</t>
  </si>
  <si>
    <t>Aruba</t>
  </si>
  <si>
    <t>ABW</t>
  </si>
  <si>
    <t>BB</t>
  </si>
  <si>
    <t>Barbados</t>
  </si>
  <si>
    <t>BRB</t>
  </si>
  <si>
    <t>BE</t>
  </si>
  <si>
    <t>Belgium</t>
  </si>
  <si>
    <t>BEL</t>
  </si>
  <si>
    <t>BG</t>
  </si>
  <si>
    <t>Bulgaria</t>
  </si>
  <si>
    <t>BGR</t>
  </si>
  <si>
    <t>BL</t>
  </si>
  <si>
    <t>Saint Barthélemy</t>
  </si>
  <si>
    <t>BLM</t>
  </si>
  <si>
    <t>BM</t>
  </si>
  <si>
    <t>Bermuda</t>
  </si>
  <si>
    <t>BMU</t>
  </si>
  <si>
    <t>BN</t>
  </si>
  <si>
    <t>AP</t>
  </si>
  <si>
    <t>Brunei Darussalam</t>
  </si>
  <si>
    <t>Brunei</t>
  </si>
  <si>
    <t>BRN</t>
  </si>
  <si>
    <t>BR</t>
  </si>
  <si>
    <t>AH</t>
  </si>
  <si>
    <t>Brazil</t>
  </si>
  <si>
    <t>BRA</t>
  </si>
  <si>
    <t>BS</t>
  </si>
  <si>
    <t>Bahamas</t>
  </si>
  <si>
    <t>BHS</t>
  </si>
  <si>
    <t>BZ</t>
  </si>
  <si>
    <t>AC</t>
  </si>
  <si>
    <t>Belize</t>
  </si>
  <si>
    <t>BLZ</t>
  </si>
  <si>
    <t>Canada</t>
  </si>
  <si>
    <t>CAN</t>
  </si>
  <si>
    <t>PR</t>
  </si>
  <si>
    <t>Puerto Rico</t>
  </si>
  <si>
    <t>PRI</t>
  </si>
  <si>
    <t>CH</t>
  </si>
  <si>
    <t>Switzerland</t>
  </si>
  <si>
    <t>CHE</t>
  </si>
  <si>
    <t>CL</t>
  </si>
  <si>
    <t>Chile</t>
  </si>
  <si>
    <t>CHL</t>
  </si>
  <si>
    <t>CN</t>
  </si>
  <si>
    <t>China</t>
  </si>
  <si>
    <t>CHN</t>
  </si>
  <si>
    <t>HK</t>
  </si>
  <si>
    <t>Hong Kong</t>
  </si>
  <si>
    <t>HKG</t>
  </si>
  <si>
    <t>CO</t>
  </si>
  <si>
    <t>Colombia</t>
  </si>
  <si>
    <t>COL</t>
  </si>
  <si>
    <t>DE</t>
  </si>
  <si>
    <t>Germany</t>
  </si>
  <si>
    <t>DEU</t>
  </si>
  <si>
    <t>KR</t>
  </si>
  <si>
    <t>Korea, Republic of</t>
  </si>
  <si>
    <t>South Korea</t>
  </si>
  <si>
    <t>KOR</t>
  </si>
  <si>
    <t>PH</t>
  </si>
  <si>
    <t>Philippines</t>
  </si>
  <si>
    <t>PHL</t>
  </si>
  <si>
    <t>TW</t>
  </si>
  <si>
    <t>Taiwan, Province of China</t>
  </si>
  <si>
    <t>Taiwan</t>
  </si>
  <si>
    <t>TWN</t>
  </si>
  <si>
    <t>US</t>
  </si>
  <si>
    <t>United States</t>
  </si>
  <si>
    <t>USA</t>
  </si>
  <si>
    <t>CR</t>
  </si>
  <si>
    <t>Costa Rica</t>
  </si>
  <si>
    <t>CRI</t>
  </si>
  <si>
    <t>CU</t>
  </si>
  <si>
    <t>Cuba</t>
  </si>
  <si>
    <t>CUB</t>
  </si>
  <si>
    <t>CY</t>
  </si>
  <si>
    <t>Cyprus</t>
  </si>
  <si>
    <t>CYP</t>
  </si>
  <si>
    <t>CZ</t>
  </si>
  <si>
    <t>Czechia</t>
  </si>
  <si>
    <t>Czech Republic</t>
  </si>
  <si>
    <t>CZE</t>
  </si>
  <si>
    <t>DK</t>
  </si>
  <si>
    <t>Denmark</t>
  </si>
  <si>
    <t>DNK</t>
  </si>
  <si>
    <t>DM</t>
  </si>
  <si>
    <t>Dominica</t>
  </si>
  <si>
    <t>DMA</t>
  </si>
  <si>
    <t>DO</t>
  </si>
  <si>
    <t>Dominican Republic</t>
  </si>
  <si>
    <t>DOM</t>
  </si>
  <si>
    <t>EC</t>
  </si>
  <si>
    <t>Ecuador</t>
  </si>
  <si>
    <t>ECU</t>
  </si>
  <si>
    <t>EE</t>
  </si>
  <si>
    <t>Estonia</t>
  </si>
  <si>
    <t>EST</t>
  </si>
  <si>
    <t>FR</t>
  </si>
  <si>
    <t>France</t>
  </si>
  <si>
    <t>FRA</t>
  </si>
  <si>
    <t>GB</t>
  </si>
  <si>
    <t>United Kingdom</t>
  </si>
  <si>
    <t>GBR</t>
  </si>
  <si>
    <t>GD</t>
  </si>
  <si>
    <t>Grenada</t>
  </si>
  <si>
    <t>GRD</t>
  </si>
  <si>
    <t>GP</t>
  </si>
  <si>
    <t>Guadeloupe</t>
  </si>
  <si>
    <t>GLP</t>
  </si>
  <si>
    <t>GR</t>
  </si>
  <si>
    <t>Greece</t>
  </si>
  <si>
    <t>GRC</t>
  </si>
  <si>
    <t>GT</t>
  </si>
  <si>
    <t>Guatemala</t>
  </si>
  <si>
    <t>GTM</t>
  </si>
  <si>
    <t>GU</t>
  </si>
  <si>
    <t>Guam</t>
  </si>
  <si>
    <t>GUM</t>
  </si>
  <si>
    <t>HN</t>
  </si>
  <si>
    <t>Honduras</t>
  </si>
  <si>
    <t>HND</t>
  </si>
  <si>
    <t>HT</t>
  </si>
  <si>
    <t>Haiti</t>
  </si>
  <si>
    <t>HTI</t>
  </si>
  <si>
    <t>HU</t>
  </si>
  <si>
    <t>Hungary</t>
  </si>
  <si>
    <t>HUN</t>
  </si>
  <si>
    <t>ID</t>
  </si>
  <si>
    <t>Indonesia</t>
  </si>
  <si>
    <t>IDN</t>
  </si>
  <si>
    <t>IE</t>
  </si>
  <si>
    <t>Ireland</t>
  </si>
  <si>
    <t>IRL</t>
  </si>
  <si>
    <t>IL</t>
  </si>
  <si>
    <t>Israel</t>
  </si>
  <si>
    <t>ISR</t>
  </si>
  <si>
    <t>IN</t>
  </si>
  <si>
    <t>India</t>
  </si>
  <si>
    <t>IND</t>
  </si>
  <si>
    <t>IT</t>
  </si>
  <si>
    <t>Italy</t>
  </si>
  <si>
    <t>ITA</t>
  </si>
  <si>
    <t>JM</t>
  </si>
  <si>
    <t>Jamaica</t>
  </si>
  <si>
    <t>JAM</t>
  </si>
  <si>
    <t>JP</t>
  </si>
  <si>
    <t>Japan</t>
  </si>
  <si>
    <t>JPN</t>
  </si>
  <si>
    <t>KN</t>
  </si>
  <si>
    <t>Saint Kitts &amp; Nevis</t>
  </si>
  <si>
    <t>Saint Kitts and Nevis</t>
  </si>
  <si>
    <t>KNA</t>
  </si>
  <si>
    <t>KY</t>
  </si>
  <si>
    <t>Cayman Islands</t>
  </si>
  <si>
    <t>CYM</t>
  </si>
  <si>
    <t>LC</t>
  </si>
  <si>
    <t>Saint Lucia</t>
  </si>
  <si>
    <t>LCA</t>
  </si>
  <si>
    <t>LI</t>
  </si>
  <si>
    <t>Liechtenstein</t>
  </si>
  <si>
    <t>LIE</t>
  </si>
  <si>
    <t>LT</t>
  </si>
  <si>
    <t>Lithuania</t>
  </si>
  <si>
    <t>LTU</t>
  </si>
  <si>
    <t>LU</t>
  </si>
  <si>
    <t>Luxembourg</t>
  </si>
  <si>
    <t>LUX</t>
  </si>
  <si>
    <t>LV</t>
  </si>
  <si>
    <t>Latvia</t>
  </si>
  <si>
    <t>LVA</t>
  </si>
  <si>
    <t>MF</t>
  </si>
  <si>
    <t>Saint Martin</t>
  </si>
  <si>
    <t>St. Martin (French Part)</t>
  </si>
  <si>
    <t>MAF</t>
  </si>
  <si>
    <t>MK</t>
  </si>
  <si>
    <t>Macedonia, The Former Yugoslav Republic Of</t>
  </si>
  <si>
    <t>Macedonia</t>
  </si>
  <si>
    <t>MKD</t>
  </si>
  <si>
    <t>MO</t>
  </si>
  <si>
    <t>Macao</t>
  </si>
  <si>
    <t>Macau / Macao</t>
  </si>
  <si>
    <t>MAC</t>
  </si>
  <si>
    <t>MQ</t>
  </si>
  <si>
    <t>Martinique</t>
  </si>
  <si>
    <t>MTQ</t>
  </si>
  <si>
    <t>MS</t>
  </si>
  <si>
    <t>Montserrat</t>
  </si>
  <si>
    <t>MSR</t>
  </si>
  <si>
    <t>MX</t>
  </si>
  <si>
    <t>Mexico</t>
  </si>
  <si>
    <t>MEX</t>
  </si>
  <si>
    <t>MY</t>
  </si>
  <si>
    <t>Malaysia</t>
  </si>
  <si>
    <t>MYS</t>
  </si>
  <si>
    <t>NI</t>
  </si>
  <si>
    <t>Nicaragua</t>
  </si>
  <si>
    <t>NIC</t>
  </si>
  <si>
    <t>NL</t>
  </si>
  <si>
    <t>Netherlands</t>
  </si>
  <si>
    <t>NLD</t>
  </si>
  <si>
    <t>NO</t>
  </si>
  <si>
    <t>Norway</t>
  </si>
  <si>
    <t>NOR</t>
  </si>
  <si>
    <t>NZ</t>
  </si>
  <si>
    <t>New Zealand</t>
  </si>
  <si>
    <t>NZL</t>
  </si>
  <si>
    <t>PA</t>
  </si>
  <si>
    <t>Panama</t>
  </si>
  <si>
    <t>PAN</t>
  </si>
  <si>
    <t>PE</t>
  </si>
  <si>
    <t>Peru</t>
  </si>
  <si>
    <t>PER</t>
  </si>
  <si>
    <t>PG</t>
  </si>
  <si>
    <t>Papua New Guinea</t>
  </si>
  <si>
    <t>PNG</t>
  </si>
  <si>
    <t>PL</t>
  </si>
  <si>
    <t>Poland</t>
  </si>
  <si>
    <t>POL</t>
  </si>
  <si>
    <t>PT</t>
  </si>
  <si>
    <t>Portugal</t>
  </si>
  <si>
    <t>PRT</t>
  </si>
  <si>
    <t>RO</t>
  </si>
  <si>
    <t>Romania</t>
  </si>
  <si>
    <t>ROU</t>
  </si>
  <si>
    <t>RS</t>
  </si>
  <si>
    <t>Republic of Serbia</t>
  </si>
  <si>
    <t>Serbia</t>
  </si>
  <si>
    <t>SRB</t>
  </si>
  <si>
    <t>SE</t>
  </si>
  <si>
    <t>Sweden</t>
  </si>
  <si>
    <t>SWE</t>
  </si>
  <si>
    <t>SG</t>
  </si>
  <si>
    <t>Singapore</t>
  </si>
  <si>
    <t>SGP</t>
  </si>
  <si>
    <t>SI</t>
  </si>
  <si>
    <t>Slovenia</t>
  </si>
  <si>
    <t>SVN</t>
  </si>
  <si>
    <t>SK</t>
  </si>
  <si>
    <t>Slovakia</t>
  </si>
  <si>
    <t>SVK</t>
  </si>
  <si>
    <t>SV</t>
  </si>
  <si>
    <t>El Salvador</t>
  </si>
  <si>
    <t>SLV</t>
  </si>
  <si>
    <t>SX</t>
  </si>
  <si>
    <t>Sint Maarten</t>
  </si>
  <si>
    <t>St. Maarten (Dutch part)</t>
  </si>
  <si>
    <t>SXM</t>
  </si>
  <si>
    <t>TC</t>
  </si>
  <si>
    <t>Turks and Caicos Islands</t>
  </si>
  <si>
    <t>TCA</t>
  </si>
  <si>
    <t>TH</t>
  </si>
  <si>
    <t>Thailand</t>
  </si>
  <si>
    <t>THA</t>
  </si>
  <si>
    <t>TR</t>
  </si>
  <si>
    <t>Turkey</t>
  </si>
  <si>
    <t>TUR</t>
  </si>
  <si>
    <t>TT</t>
  </si>
  <si>
    <t>Trinidad and Tobago</t>
  </si>
  <si>
    <t>TTO</t>
  </si>
  <si>
    <t>VC</t>
  </si>
  <si>
    <t>Saint Vincent and the Grenadines</t>
  </si>
  <si>
    <t>VCT</t>
  </si>
  <si>
    <t>VE</t>
  </si>
  <si>
    <t>Venezuela</t>
  </si>
  <si>
    <t>VEN</t>
  </si>
  <si>
    <t>VG</t>
  </si>
  <si>
    <t>Virgin Islands, British</t>
  </si>
  <si>
    <t>Virgin Islands British</t>
  </si>
  <si>
    <t>VRB</t>
  </si>
  <si>
    <t>VI</t>
  </si>
  <si>
    <t>Virgin Islands, U.S.</t>
  </si>
  <si>
    <t>Virgin Islands (US)</t>
  </si>
  <si>
    <t>VIR</t>
  </si>
  <si>
    <t>VN</t>
  </si>
  <si>
    <t>Vietnam</t>
  </si>
  <si>
    <t>VNM</t>
  </si>
  <si>
    <t>A1</t>
  </si>
  <si>
    <t>Alaska Offshore</t>
  </si>
  <si>
    <t>A2</t>
  </si>
  <si>
    <t>Angola Offshore</t>
  </si>
  <si>
    <t>A3</t>
  </si>
  <si>
    <t>Arctic Offshore</t>
  </si>
  <si>
    <t>A4</t>
  </si>
  <si>
    <t>Australasia Offshore</t>
  </si>
  <si>
    <t>AX</t>
  </si>
  <si>
    <t>Aland Islands</t>
  </si>
  <si>
    <t>ALA</t>
  </si>
  <si>
    <t>B1</t>
  </si>
  <si>
    <t>Bay of Campeche Offshore</t>
  </si>
  <si>
    <t>B2</t>
  </si>
  <si>
    <t>Brazil Offshore</t>
  </si>
  <si>
    <t>B3</t>
  </si>
  <si>
    <t>Baltic Sea Offshore</t>
  </si>
  <si>
    <t>C1</t>
  </si>
  <si>
    <t>Canada Offshore</t>
  </si>
  <si>
    <t>C2</t>
  </si>
  <si>
    <t>Caspian Sea</t>
  </si>
  <si>
    <t>C3</t>
  </si>
  <si>
    <t>China Offshore</t>
  </si>
  <si>
    <t>CD</t>
  </si>
  <si>
    <t>Congo  Republic Of</t>
  </si>
  <si>
    <t>CW</t>
  </si>
  <si>
    <t>Curacao</t>
  </si>
  <si>
    <t>E1</t>
  </si>
  <si>
    <t>East Africa Offshore</t>
  </si>
  <si>
    <t>E2</t>
  </si>
  <si>
    <t>Egypt Offshore</t>
  </si>
  <si>
    <t>F1</t>
  </si>
  <si>
    <t>Far East Offshore</t>
  </si>
  <si>
    <t>FI</t>
  </si>
  <si>
    <t>Finland</t>
  </si>
  <si>
    <t>FIN</t>
  </si>
  <si>
    <t>G1</t>
  </si>
  <si>
    <t>Gabon Offshore</t>
  </si>
  <si>
    <t>G2</t>
  </si>
  <si>
    <t>Gulf Of Mexico</t>
  </si>
  <si>
    <t>HM</t>
  </si>
  <si>
    <t>Heard Island and Mcdonald Islands</t>
  </si>
  <si>
    <t>I1</t>
  </si>
  <si>
    <t>Indian Subcontinent Offshore</t>
  </si>
  <si>
    <t>IO</t>
  </si>
  <si>
    <t>British Indian Ocean Territory</t>
  </si>
  <si>
    <t>IOT</t>
  </si>
  <si>
    <t>J1</t>
  </si>
  <si>
    <t>Japan/Korea Offshore</t>
  </si>
  <si>
    <t>KP</t>
  </si>
  <si>
    <t>Korea</t>
  </si>
  <si>
    <t>M1</t>
  </si>
  <si>
    <t>Mediterranean Offshore</t>
  </si>
  <si>
    <t>M2</t>
  </si>
  <si>
    <t>Middle East Offshore</t>
  </si>
  <si>
    <t>M3</t>
  </si>
  <si>
    <t>Mexico Offshore</t>
  </si>
  <si>
    <t>N1</t>
  </si>
  <si>
    <t>Nigeria Offshore</t>
  </si>
  <si>
    <t>N2</t>
  </si>
  <si>
    <t>Norway Offshore</t>
  </si>
  <si>
    <t>N3</t>
  </si>
  <si>
    <t>North Sea Offshore</t>
  </si>
  <si>
    <t>PS</t>
  </si>
  <si>
    <t>Palestinian Territories</t>
  </si>
  <si>
    <t>R1</t>
  </si>
  <si>
    <t>Russia Offshore</t>
  </si>
  <si>
    <t>S1</t>
  </si>
  <si>
    <t>South America Offshore</t>
  </si>
  <si>
    <t>S2</t>
  </si>
  <si>
    <t>Sweden Offshore</t>
  </si>
  <si>
    <t>S3</t>
  </si>
  <si>
    <t>South Asia Offshore</t>
  </si>
  <si>
    <t>SS</t>
  </si>
  <si>
    <t>South Sudan</t>
  </si>
  <si>
    <t>SSD</t>
  </si>
  <si>
    <t>T1</t>
  </si>
  <si>
    <t>Trinidad and Tobago Offshore</t>
  </si>
  <si>
    <t>U1</t>
  </si>
  <si>
    <t>United Kingdom Offshore</t>
  </si>
  <si>
    <t>UM</t>
  </si>
  <si>
    <t>United States Minor Outlying Islands</t>
  </si>
  <si>
    <t>UMI</t>
  </si>
  <si>
    <t>V1</t>
  </si>
  <si>
    <t>Venezuela Offshore</t>
  </si>
  <si>
    <t>V2</t>
  </si>
  <si>
    <t>Vietnam Offshore</t>
  </si>
  <si>
    <t>W4</t>
  </si>
  <si>
    <t>West Africa Offshore</t>
  </si>
  <si>
    <t>W5</t>
  </si>
  <si>
    <t>West US/California Offshore</t>
  </si>
  <si>
    <t>XB</t>
  </si>
  <si>
    <t>Bonaire</t>
  </si>
  <si>
    <t>XE</t>
  </si>
  <si>
    <t>St. Eustatius</t>
  </si>
  <si>
    <t>XS</t>
  </si>
  <si>
    <t>Saba</t>
  </si>
  <si>
    <t>XW</t>
  </si>
  <si>
    <t>Worldwide exposure - not used for modelling</t>
  </si>
  <si>
    <t>Region Code.1</t>
  </si>
  <si>
    <t>RegionGroup</t>
  </si>
  <si>
    <t>Unassigned</t>
  </si>
  <si>
    <t>Caribbean</t>
  </si>
  <si>
    <t>Europe</t>
  </si>
  <si>
    <t>Asia Pacific</t>
  </si>
  <si>
    <t>Latin America</t>
  </si>
  <si>
    <t>Central America</t>
  </si>
  <si>
    <t>PerilID</t>
  </si>
  <si>
    <t>Peril Description</t>
  </si>
  <si>
    <t>Code</t>
  </si>
  <si>
    <t>ShortName</t>
  </si>
  <si>
    <t>All EQ perils</t>
  </si>
  <si>
    <t>QQ1</t>
  </si>
  <si>
    <t>EQ</t>
  </si>
  <si>
    <t>Windstorm w/o storm surge</t>
  </si>
  <si>
    <t>WW2</t>
  </si>
  <si>
    <t>WS-noSurge</t>
  </si>
  <si>
    <t>Windstorm with storm surge</t>
  </si>
  <si>
    <t>WW1</t>
  </si>
  <si>
    <t>Flood w/o storm surge</t>
  </si>
  <si>
    <t>OO1</t>
  </si>
  <si>
    <t>FL</t>
  </si>
  <si>
    <t>Terrorism</t>
  </si>
  <si>
    <t>MM1</t>
  </si>
  <si>
    <t>Convective Storm</t>
  </si>
  <si>
    <t>XX1</t>
  </si>
  <si>
    <t>CS-noWT</t>
  </si>
  <si>
    <t>Winter storm</t>
  </si>
  <si>
    <t>ZZ1</t>
  </si>
  <si>
    <t>WT</t>
  </si>
  <si>
    <t>Convective storm (incl winter storm)</t>
  </si>
  <si>
    <t>XZ1</t>
  </si>
  <si>
    <t>CS</t>
  </si>
  <si>
    <t>Wildfire with smoke</t>
  </si>
  <si>
    <t>BB1</t>
  </si>
  <si>
    <t>All Pandemic perils</t>
  </si>
  <si>
    <t>PP1</t>
  </si>
  <si>
    <t>PD</t>
  </si>
  <si>
    <t>All Crop perils</t>
  </si>
  <si>
    <t>GG1</t>
  </si>
  <si>
    <t>All Cyber perils</t>
  </si>
  <si>
    <t>CC1</t>
  </si>
  <si>
    <t>All Volcanic perils</t>
  </si>
  <si>
    <t>VV1</t>
  </si>
  <si>
    <t>VO</t>
  </si>
  <si>
    <t>All perils</t>
  </si>
  <si>
    <t>AA1</t>
  </si>
  <si>
    <t>ALL</t>
  </si>
  <si>
    <t>Landslide</t>
  </si>
  <si>
    <t>QLS</t>
  </si>
  <si>
    <t>NonCat</t>
  </si>
  <si>
    <t>BFR</t>
  </si>
  <si>
    <t>Others</t>
  </si>
  <si>
    <t>Cat Family</t>
  </si>
  <si>
    <t>eventcode</t>
  </si>
  <si>
    <t>eventname</t>
  </si>
  <si>
    <t>start</t>
  </si>
  <si>
    <t>end</t>
  </si>
  <si>
    <t>enddate</t>
  </si>
  <si>
    <t>startdate</t>
  </si>
  <si>
    <t>year</t>
  </si>
  <si>
    <t>quarter</t>
  </si>
  <si>
    <t>uid</t>
  </si>
  <si>
    <t>peril</t>
  </si>
  <si>
    <t>region</t>
  </si>
  <si>
    <t>secondary peril</t>
  </si>
  <si>
    <t>Earthquake</t>
  </si>
  <si>
    <t>2017-0015</t>
  </si>
  <si>
    <t>2017 ITA Ground movement</t>
  </si>
  <si>
    <t>Storm</t>
  </si>
  <si>
    <t>2017-0022</t>
  </si>
  <si>
    <t>2017 USA Severe weather</t>
  </si>
  <si>
    <t>2017-0039</t>
  </si>
  <si>
    <t>2017 USA Blizzard/Winter storm</t>
  </si>
  <si>
    <t>2017-0062</t>
  </si>
  <si>
    <t>2017 USA Storm (General)</t>
  </si>
  <si>
    <t>2017-0070</t>
  </si>
  <si>
    <t>2017 USA Tornado</t>
  </si>
  <si>
    <t>2017-0086</t>
  </si>
  <si>
    <t>2017 Storm - 'Zeus'</t>
  </si>
  <si>
    <t>2017-0108</t>
  </si>
  <si>
    <t>Flood</t>
  </si>
  <si>
    <t>2017-0126</t>
  </si>
  <si>
    <t>2017 CAN Flood (General)</t>
  </si>
  <si>
    <t>2017-0136</t>
  </si>
  <si>
    <t>2017 USA Flood (General)</t>
  </si>
  <si>
    <t>Wildfire</t>
  </si>
  <si>
    <t>2017-0176</t>
  </si>
  <si>
    <t>2017 PRT Forest fire</t>
  </si>
  <si>
    <t>2017-0203</t>
  </si>
  <si>
    <t>2017 USA Hail</t>
  </si>
  <si>
    <t>2017-0234</t>
  </si>
  <si>
    <t>2017 USA Lightning/Thunderstorms</t>
  </si>
  <si>
    <t>2017-0253</t>
  </si>
  <si>
    <t>2017-0328</t>
  </si>
  <si>
    <t>2017 ITA Severe weather</t>
  </si>
  <si>
    <t>2017-0336</t>
  </si>
  <si>
    <t>2017-0360</t>
  </si>
  <si>
    <t>2017 DEU Severe weather</t>
  </si>
  <si>
    <t>2017-0362</t>
  </si>
  <si>
    <t>2017 Storm - Hurricane Harvey</t>
  </si>
  <si>
    <t>2017-0381</t>
  </si>
  <si>
    <t>2017 Storm - Hurricane 'Irma'</t>
  </si>
  <si>
    <t>2017-0383</t>
  </si>
  <si>
    <t>2017 Storm - Hurricane 'Maria'</t>
  </si>
  <si>
    <t>2017-0408</t>
  </si>
  <si>
    <t>2017 ITA Lightning/Thunderstorms</t>
  </si>
  <si>
    <t>2017-0410</t>
  </si>
  <si>
    <t>2017 Storm - Tropical depression'16/Hurricane 'Nate'</t>
  </si>
  <si>
    <t>2017-0417</t>
  </si>
  <si>
    <t>2017-0434</t>
  </si>
  <si>
    <t>2017 Wildfire - Tubbs, Atlas, Nuns Fires</t>
  </si>
  <si>
    <t>2017-0511</t>
  </si>
  <si>
    <t>2017 Wildfire - 'Thomas'</t>
  </si>
  <si>
    <t>2017-0512</t>
  </si>
  <si>
    <t>2017-0542</t>
  </si>
  <si>
    <t>2017-0544</t>
  </si>
  <si>
    <t>2017 ITA Riverine flood</t>
  </si>
  <si>
    <t>2017-0563</t>
  </si>
  <si>
    <t>2017-0564</t>
  </si>
  <si>
    <t>2017-0565</t>
  </si>
  <si>
    <t>2017 DEU Hail</t>
  </si>
  <si>
    <t>2018-0002</t>
  </si>
  <si>
    <t>2018 Storm - Eleanor</t>
  </si>
  <si>
    <t>Mass movement (wet)</t>
  </si>
  <si>
    <t>2018-0010</t>
  </si>
  <si>
    <t>2018 USA Mudslide</t>
  </si>
  <si>
    <t>2018-0025</t>
  </si>
  <si>
    <t>2018 Storm - 'Friederike' (David)</t>
  </si>
  <si>
    <t>2018-0037</t>
  </si>
  <si>
    <t>2018 FRA Flood (General)</t>
  </si>
  <si>
    <t>2018-0045</t>
  </si>
  <si>
    <t>2018 USA Blizzard/Winter storm</t>
  </si>
  <si>
    <t>2018-0046</t>
  </si>
  <si>
    <t>2018-0111</t>
  </si>
  <si>
    <t>2018-0129</t>
  </si>
  <si>
    <t>2018 USA Storm (General)</t>
  </si>
  <si>
    <t>2018-0130</t>
  </si>
  <si>
    <t>2018 USA Flood (General)</t>
  </si>
  <si>
    <t>2018-0170</t>
  </si>
  <si>
    <t>2018 Storm - Tropical storm 'Alberto'</t>
  </si>
  <si>
    <t>2018-0206</t>
  </si>
  <si>
    <t>2018-0258</t>
  </si>
  <si>
    <t>2018 Wildfire - Carr and Mendocino Complex fires</t>
  </si>
  <si>
    <t>2018-0279</t>
  </si>
  <si>
    <t>2018 USA Tornado</t>
  </si>
  <si>
    <t>2018-0331</t>
  </si>
  <si>
    <t>2018 USA Flash flood</t>
  </si>
  <si>
    <t>2018-0342</t>
  </si>
  <si>
    <t>2018 Storm - Hurricane Florence</t>
  </si>
  <si>
    <t>2018-0344</t>
  </si>
  <si>
    <t>2018 USA Lightning/Thunderstorms</t>
  </si>
  <si>
    <t>2018-0366</t>
  </si>
  <si>
    <t>2018 CAN Tornado</t>
  </si>
  <si>
    <t>2018-0373</t>
  </si>
  <si>
    <t>2018 Storm - Hurricane Michael</t>
  </si>
  <si>
    <t>2018-0375</t>
  </si>
  <si>
    <t>2018-0376</t>
  </si>
  <si>
    <t>2018 Storm - Storm 'Leslie'</t>
  </si>
  <si>
    <t>2018-0397</t>
  </si>
  <si>
    <t>2018 Storm - Storm 'Adrian'</t>
  </si>
  <si>
    <t>2018-0409</t>
  </si>
  <si>
    <t>2018 Wildfire - Camp Fire</t>
  </si>
  <si>
    <t>2018-0419</t>
  </si>
  <si>
    <t>2018 USA Riverine flood</t>
  </si>
  <si>
    <t>2018-0457</t>
  </si>
  <si>
    <t>2018-0468</t>
  </si>
  <si>
    <t>2018 Wildfire - Woolsey Fire</t>
  </si>
  <si>
    <t>2019-0045</t>
  </si>
  <si>
    <t>2019 USA Sand/Dust storm</t>
  </si>
  <si>
    <t>2019-0081</t>
  </si>
  <si>
    <t>2019 USA Tornado</t>
  </si>
  <si>
    <t>2019-0089</t>
  </si>
  <si>
    <t>2019 USA Lightning/Thunderstorms</t>
  </si>
  <si>
    <t>2019-0116</t>
  </si>
  <si>
    <t>2019 USA Riverine flood</t>
  </si>
  <si>
    <t>2019-0160</t>
  </si>
  <si>
    <t>2019-0171</t>
  </si>
  <si>
    <t>2019 CAN Flood (General)</t>
  </si>
  <si>
    <t>2019-0306</t>
  </si>
  <si>
    <t>2019 USA Ground movement</t>
  </si>
  <si>
    <t>2019-0335</t>
  </si>
  <si>
    <t>2019 Storm - Tropical cylone 'Barry'</t>
  </si>
  <si>
    <t>2019-0412</t>
  </si>
  <si>
    <t>2019 Storm - Tropical cyclone 'Dorian'</t>
  </si>
  <si>
    <t>2019-0417</t>
  </si>
  <si>
    <t>2019 Storm - Tropical storm ' Imelda'</t>
  </si>
  <si>
    <t>2019-0484</t>
  </si>
  <si>
    <t>2019 USA Severe weather</t>
  </si>
  <si>
    <t>2019-0513</t>
  </si>
  <si>
    <t>2019 Wildfire - Saddleridge fire &amp; Sandalwood fire</t>
  </si>
  <si>
    <t>2019-0517</t>
  </si>
  <si>
    <t>2019 Wildfire - Kincade Fire</t>
  </si>
  <si>
    <t>2019-0532</t>
  </si>
  <si>
    <t>2019 CAN Severe weather</t>
  </si>
  <si>
    <t>2019-0558</t>
  </si>
  <si>
    <t>2019 FRA Severe weather</t>
  </si>
  <si>
    <t>2019-0621</t>
  </si>
  <si>
    <t>2019 FRA Storm (General)</t>
  </si>
  <si>
    <t>2019-0624</t>
  </si>
  <si>
    <t>2020-0007</t>
  </si>
  <si>
    <t>2020 PRI Ground movement</t>
  </si>
  <si>
    <t>2020-0011</t>
  </si>
  <si>
    <t>2020 USA Severe weather</t>
  </si>
  <si>
    <t>2020-0082</t>
  </si>
  <si>
    <t>2020 USA Tornado</t>
  </si>
  <si>
    <t>2020-0089</t>
  </si>
  <si>
    <t>2020 USA Riverine flood</t>
  </si>
  <si>
    <t>2020-0148</t>
  </si>
  <si>
    <t>2020-0158</t>
  </si>
  <si>
    <t>2020-0167</t>
  </si>
  <si>
    <t>2020-0190</t>
  </si>
  <si>
    <t>2020-0191</t>
  </si>
  <si>
    <t>2020 CAN Riverine flood</t>
  </si>
  <si>
    <t>2020-0212</t>
  </si>
  <si>
    <t>2020 USA Flood (General)</t>
  </si>
  <si>
    <t>2020-0219</t>
  </si>
  <si>
    <t>2020 Storm - Tropical storm 'Cristobal'</t>
  </si>
  <si>
    <t>2020-0238</t>
  </si>
  <si>
    <t>2020-0266</t>
  </si>
  <si>
    <t>2020 CAN Severe weather</t>
  </si>
  <si>
    <t>2020-0312</t>
  </si>
  <si>
    <t>2020 Storm - Hurricane 'Isaias'</t>
  </si>
  <si>
    <t>2020-0316</t>
  </si>
  <si>
    <t>2020 Storm - Hurricane 'Hanna'</t>
  </si>
  <si>
    <t>2020-0331</t>
  </si>
  <si>
    <t>2020 GRC Flood (General)</t>
  </si>
  <si>
    <t>2020-0376</t>
  </si>
  <si>
    <t>2020 Storm - Hurricane 'Laura'</t>
  </si>
  <si>
    <t>2020-0406</t>
  </si>
  <si>
    <t>2020 ITA Severe weather</t>
  </si>
  <si>
    <t>2020-0412</t>
  </si>
  <si>
    <t>2020 Storm - Hurricane 'Delta'</t>
  </si>
  <si>
    <t>2020-0418</t>
  </si>
  <si>
    <t>2020 Storm - Storm 'Alex'</t>
  </si>
  <si>
    <t>2020-0438</t>
  </si>
  <si>
    <t>2020 Storm - Hurricane 'Sally'</t>
  </si>
  <si>
    <t>2020-0441</t>
  </si>
  <si>
    <t>2020 Wildfire - August Complex fire</t>
  </si>
  <si>
    <t>2020-0459</t>
  </si>
  <si>
    <t>2020 FRA Flash flood</t>
  </si>
  <si>
    <t>2020-0474</t>
  </si>
  <si>
    <t>2020 Storm - Hurricane 'Eta'</t>
  </si>
  <si>
    <t>2020-0483</t>
  </si>
  <si>
    <t>2020 Storm - Hurricane 'Zeta'</t>
  </si>
  <si>
    <t>2020-0521</t>
  </si>
  <si>
    <t>2020 ITA Flash flood</t>
  </si>
  <si>
    <t>2020-0538</t>
  </si>
  <si>
    <t>2020 USA Lightning/Thunderstorms</t>
  </si>
  <si>
    <t>2020-0540</t>
  </si>
  <si>
    <t>2020 ITA Flood (General)</t>
  </si>
  <si>
    <t>2020-0580</t>
  </si>
  <si>
    <t>2020 USA Derecho</t>
  </si>
  <si>
    <t>2020-0582</t>
  </si>
  <si>
    <t>2020-0583</t>
  </si>
  <si>
    <t>2020-0584</t>
  </si>
  <si>
    <t>2020 USA Hail</t>
  </si>
  <si>
    <t>2021-0011</t>
  </si>
  <si>
    <t>2021 USA Severe weather</t>
  </si>
  <si>
    <t>2021-0037</t>
  </si>
  <si>
    <t>2021 USA Tornado</t>
  </si>
  <si>
    <t>2021-0043</t>
  </si>
  <si>
    <t>2021-0059</t>
  </si>
  <si>
    <t>2021 USA Blizzard/Winter storm</t>
  </si>
  <si>
    <t>2021-0063</t>
  </si>
  <si>
    <t>2021 FRA Flood (General)</t>
  </si>
  <si>
    <t>2021-0096</t>
  </si>
  <si>
    <t>2021-0117</t>
  </si>
  <si>
    <t>2021 USA Riverine flood</t>
  </si>
  <si>
    <t>2021-0134</t>
  </si>
  <si>
    <t>2021 GRC Ground movement</t>
  </si>
  <si>
    <t>2021-0150</t>
  </si>
  <si>
    <t>2021 USA Flood (General)</t>
  </si>
  <si>
    <t>2021-0166</t>
  </si>
  <si>
    <t>2021-0178</t>
  </si>
  <si>
    <t>2021-0193</t>
  </si>
  <si>
    <t>2021-0199</t>
  </si>
  <si>
    <t>2021-0211</t>
  </si>
  <si>
    <t>2021-0250</t>
  </si>
  <si>
    <t>2021-0251</t>
  </si>
  <si>
    <t>2021-0266</t>
  </si>
  <si>
    <t>2021-0273</t>
  </si>
  <si>
    <t>2021-0305</t>
  </si>
  <si>
    <t>2021 Storm - Storm 'Claudette'</t>
  </si>
  <si>
    <t>2021-0335</t>
  </si>
  <si>
    <t>2021 USA Flash flood</t>
  </si>
  <si>
    <t>2021-0356</t>
  </si>
  <si>
    <t>2021 CAN Tornado</t>
  </si>
  <si>
    <t>2021-0357</t>
  </si>
  <si>
    <t>2021 Wildfire - Telegraph and Mescal Fires</t>
  </si>
  <si>
    <t>2021-0367</t>
  </si>
  <si>
    <t>2021 CAN Wildfire (General)</t>
  </si>
  <si>
    <t>2021-0373</t>
  </si>
  <si>
    <t>2021 Storm - Hurricane 'Elsa'</t>
  </si>
  <si>
    <t>2021-0410</t>
  </si>
  <si>
    <t>2021 Wildfire - Bootleg Fire</t>
  </si>
  <si>
    <t>2021-0411</t>
  </si>
  <si>
    <t>2021 DEU Flood (General)</t>
  </si>
  <si>
    <t>2021-0433</t>
  </si>
  <si>
    <t>2021 Wildfire - Dixie fire</t>
  </si>
  <si>
    <t>2021-0434</t>
  </si>
  <si>
    <t>2021 ITA Wildfire (General)</t>
  </si>
  <si>
    <t>2021-0442</t>
  </si>
  <si>
    <t>2021-0459</t>
  </si>
  <si>
    <t>2021 GRC Forest fire</t>
  </si>
  <si>
    <t>2021-0487</t>
  </si>
  <si>
    <t>2021-0488</t>
  </si>
  <si>
    <t>2021-0526</t>
  </si>
  <si>
    <t>2021 Wildfire - Caldor fire</t>
  </si>
  <si>
    <t>2021-0531</t>
  </si>
  <si>
    <t>2021 Storm - Tropical depression 'Henri'</t>
  </si>
  <si>
    <t>2021-0532</t>
  </si>
  <si>
    <t>2021 Storm - Tropical storm 'Fred'</t>
  </si>
  <si>
    <t>2021-0533</t>
  </si>
  <si>
    <t>2021-0551</t>
  </si>
  <si>
    <t>2021 Storm - Tropical storm 'Ida'</t>
  </si>
  <si>
    <t>2021-0562</t>
  </si>
  <si>
    <t>2021-0565</t>
  </si>
  <si>
    <t>2021 USA Lightning/Thunderstorms</t>
  </si>
  <si>
    <t>2021-0566</t>
  </si>
  <si>
    <t>2021-0583</t>
  </si>
  <si>
    <t>2021 Storm - Tropical storm 'Nicholas'</t>
  </si>
  <si>
    <t>2021-0627</t>
  </si>
  <si>
    <t>2021-0733</t>
  </si>
  <si>
    <t>2021-0741</t>
  </si>
  <si>
    <t>2021 CAN Flood (General)</t>
  </si>
  <si>
    <t>2021-0784</t>
  </si>
  <si>
    <t>2021-0792</t>
  </si>
  <si>
    <t>2021-0797</t>
  </si>
  <si>
    <t>2021-0815</t>
  </si>
  <si>
    <t>2021-0832</t>
  </si>
  <si>
    <t>2021 Wildfire - Middle Fork and the Marshall wildfires</t>
  </si>
  <si>
    <t>2022-0007</t>
  </si>
  <si>
    <t>2022 USA Blizzard/Winter storm</t>
  </si>
  <si>
    <t>2022-0080</t>
  </si>
  <si>
    <t>2022 USA Tornado</t>
  </si>
  <si>
    <t>2022-0091</t>
  </si>
  <si>
    <t>2022 PRI Flood (General)</t>
  </si>
  <si>
    <t>2022-0112</t>
  </si>
  <si>
    <t>2022 Storm - Storm 'Eunice' (Zeynep)</t>
  </si>
  <si>
    <t>2022-0126</t>
  </si>
  <si>
    <t>2022-0157</t>
  </si>
  <si>
    <t>2022-0185</t>
  </si>
  <si>
    <t>2022 USA Severe weather</t>
  </si>
  <si>
    <t>2022-0193</t>
  </si>
  <si>
    <t>2022-0212</t>
  </si>
  <si>
    <t>2022-0215</t>
  </si>
  <si>
    <t>2022 Wildfire - McBride, Nogal Canyon, Hermits Peak Fires</t>
  </si>
  <si>
    <t>2022-0227</t>
  </si>
  <si>
    <t>2022 USA Storm (General)</t>
  </si>
  <si>
    <t>2022-0244</t>
  </si>
  <si>
    <t>2022-0261</t>
  </si>
  <si>
    <t>2022-0284</t>
  </si>
  <si>
    <t>2022-0304</t>
  </si>
  <si>
    <t>2022 CAN Flood (General)</t>
  </si>
  <si>
    <t>2022-0325</t>
  </si>
  <si>
    <t>2022 USA Derecho</t>
  </si>
  <si>
    <t>2022-0480</t>
  </si>
  <si>
    <t>2022 USA Flood (General)</t>
  </si>
  <si>
    <t>2022-0486</t>
  </si>
  <si>
    <t>2022 Wildfire - McKinney &amp; Yeti Complex fires</t>
  </si>
  <si>
    <t>2022-0603</t>
  </si>
  <si>
    <t>2022 Storm - Hurricane 'Fiona'</t>
  </si>
  <si>
    <t>2022-0614</t>
  </si>
  <si>
    <t>2022 Storm - Hurricane 'Ian'</t>
  </si>
  <si>
    <t>2022-0734</t>
  </si>
  <si>
    <t>2022 Storm - Hurricane 'Nicole'</t>
  </si>
  <si>
    <t>2022-0735</t>
  </si>
  <si>
    <t>2022-0808</t>
  </si>
  <si>
    <t>2022 USA Ground movement</t>
  </si>
  <si>
    <t>2022-0811</t>
  </si>
  <si>
    <t>2022-0818</t>
  </si>
  <si>
    <t>2022 Storm - Storm 'Elliott'</t>
  </si>
  <si>
    <t>2022-0863</t>
  </si>
  <si>
    <t>2023-0032</t>
  </si>
  <si>
    <t>2023 USA Tornado</t>
  </si>
  <si>
    <t>2023-0122</t>
  </si>
  <si>
    <t>2023 USA Storm (General)</t>
  </si>
  <si>
    <t>2023-0135</t>
  </si>
  <si>
    <t>2023 USA Severe weather</t>
  </si>
  <si>
    <t>2023-0176</t>
  </si>
  <si>
    <t>2023-0192</t>
  </si>
  <si>
    <t>2023-0206</t>
  </si>
  <si>
    <t>2023-0225</t>
  </si>
  <si>
    <t>2023 USA Flash flood</t>
  </si>
  <si>
    <t>2023-0239</t>
  </si>
  <si>
    <t>2023-0253</t>
  </si>
  <si>
    <t>2023-0280</t>
  </si>
  <si>
    <t>2023 CAN Forest fire</t>
  </si>
  <si>
    <t>2023-0288</t>
  </si>
  <si>
    <t>2023-0293</t>
  </si>
  <si>
    <t>2023 ITA Flood (General)</t>
  </si>
  <si>
    <t>2023-0323</t>
  </si>
  <si>
    <t>2023 FRA Ground movement</t>
  </si>
  <si>
    <t>2023-0324</t>
  </si>
  <si>
    <t>2023-0332</t>
  </si>
  <si>
    <t>2023-0370</t>
  </si>
  <si>
    <t>2023-0426</t>
  </si>
  <si>
    <t>2023 USA Flood (General)</t>
  </si>
  <si>
    <t>2023-0466</t>
  </si>
  <si>
    <t>2023 ITA Severe weather</t>
  </si>
  <si>
    <t>2023-0524</t>
  </si>
  <si>
    <t>2023 Wildfire - 'Lahaina' wildfire</t>
  </si>
  <si>
    <t>2023-0535</t>
  </si>
  <si>
    <t>2023 GRC Forest fire</t>
  </si>
  <si>
    <t>2023-0565</t>
  </si>
  <si>
    <t>2023 Storm - Hurricane 'Idalia'</t>
  </si>
  <si>
    <t>2023-0656</t>
  </si>
  <si>
    <t>2023-0734</t>
  </si>
  <si>
    <t>2023 FRA Flood (General)</t>
  </si>
  <si>
    <t>2023-0761</t>
  </si>
  <si>
    <t>2023 Storm - Storm 'Frederico</t>
  </si>
  <si>
    <t>2023-0826</t>
  </si>
  <si>
    <t>2023-0843</t>
  </si>
  <si>
    <t>DisNo.</t>
  </si>
  <si>
    <t>Event Name</t>
  </si>
  <si>
    <t>Hurricane</t>
  </si>
  <si>
    <t>Hurricane Harvey</t>
  </si>
  <si>
    <t>2017-0362-USA</t>
  </si>
  <si>
    <t>Hurricane Irma</t>
  </si>
  <si>
    <t>2017-0381-USA</t>
  </si>
  <si>
    <t>Hurricane 'Irma'</t>
  </si>
  <si>
    <t>2017-0383-USA</t>
  </si>
  <si>
    <t>Hurricane 'Maria'</t>
  </si>
  <si>
    <t>Hurricane Maria</t>
  </si>
  <si>
    <t>2017-0410-USA</t>
  </si>
  <si>
    <t>Tropical depression'16/Hurricane 'Nate'</t>
  </si>
  <si>
    <t>2018-0170-USA</t>
  </si>
  <si>
    <t>Tropical storm 'Alberto'</t>
  </si>
  <si>
    <t>Hurricane Nate</t>
  </si>
  <si>
    <t>2018-0342-USA</t>
  </si>
  <si>
    <t>Hurricane Florence</t>
  </si>
  <si>
    <t>Winter Storm</t>
  </si>
  <si>
    <t>Windstorm Doris</t>
  </si>
  <si>
    <t>2018-0373-USA</t>
  </si>
  <si>
    <t>Hurricane Michael</t>
  </si>
  <si>
    <t>Wind And Thunderstorm Event</t>
  </si>
  <si>
    <t>Berlin Floods</t>
  </si>
  <si>
    <t>2019-0335-USA</t>
  </si>
  <si>
    <t>Tropical cylone 'Barry'</t>
  </si>
  <si>
    <t>Hurricane Ophelia</t>
  </si>
  <si>
    <t>2019-0412-USA</t>
  </si>
  <si>
    <t>Tropical cyclone 'Dorian'</t>
  </si>
  <si>
    <t>Puerto Rico October Rains</t>
  </si>
  <si>
    <t>2019-0417-USA</t>
  </si>
  <si>
    <t>Tropical storm ' Imelda'</t>
  </si>
  <si>
    <t>Tropical Storm</t>
  </si>
  <si>
    <t>Subtropical Storm Alberto</t>
  </si>
  <si>
    <t>2020-0219-USA</t>
  </si>
  <si>
    <t>Tropical storm 'Cristobal'</t>
  </si>
  <si>
    <t>Hurricane Lane</t>
  </si>
  <si>
    <t>2020-0312-USA</t>
  </si>
  <si>
    <t>Hurricane 'Isaias'</t>
  </si>
  <si>
    <t>Tropical Storm Gordon</t>
  </si>
  <si>
    <t>2020-0316-USA</t>
  </si>
  <si>
    <t>Hurricane 'Hanna'</t>
  </si>
  <si>
    <t>2020-0376-USA</t>
  </si>
  <si>
    <t>Hurricane 'Laura'</t>
  </si>
  <si>
    <t>2020-0412-USA</t>
  </si>
  <si>
    <t>Hurricane 'Delta'</t>
  </si>
  <si>
    <t>Hurricane Leslie</t>
  </si>
  <si>
    <t>2020-0438-USA</t>
  </si>
  <si>
    <t>Hurricane 'Sally'</t>
  </si>
  <si>
    <t>Wisconsin Flood</t>
  </si>
  <si>
    <t>2020-0474-USA</t>
  </si>
  <si>
    <t>Hurricane 'Eta'</t>
  </si>
  <si>
    <t>Hurricane Barry</t>
  </si>
  <si>
    <t>2020-0483-USA</t>
  </si>
  <si>
    <t>Hurricane 'Zeta'</t>
  </si>
  <si>
    <t>Hurricane Dorian</t>
  </si>
  <si>
    <t>2021-0373-USA</t>
  </si>
  <si>
    <t>Hurricane 'Elsa'</t>
  </si>
  <si>
    <t>Tropical Storm Imelda</t>
  </si>
  <si>
    <t>2021-0531-USA</t>
  </si>
  <si>
    <t>Tropical depression 'Henri'</t>
  </si>
  <si>
    <t>Tropical Storm Nestor</t>
  </si>
  <si>
    <t>2021-0532-USA</t>
  </si>
  <si>
    <t>Tropical storm 'Fred'</t>
  </si>
  <si>
    <t>Tropical Storm Olga</t>
  </si>
  <si>
    <t>2021-0551-USA</t>
  </si>
  <si>
    <t>Tropical storm 'Ida'</t>
  </si>
  <si>
    <t>Puerto Rico Earthquake</t>
  </si>
  <si>
    <t>2021-0583-USA</t>
  </si>
  <si>
    <t>Tropical storm 'Nicholas'</t>
  </si>
  <si>
    <t>Tropical Storm Cristobal</t>
  </si>
  <si>
    <t>2022-0614-USA</t>
  </si>
  <si>
    <t>Hurricane 'Ian'</t>
  </si>
  <si>
    <t>Tropical Storm Fay</t>
  </si>
  <si>
    <t>2022-0734-USA</t>
  </si>
  <si>
    <t>Hurricane 'Nicole'</t>
  </si>
  <si>
    <t>Hurricane Hanna</t>
  </si>
  <si>
    <t>2023-0565-USA</t>
  </si>
  <si>
    <t>Hurricane 'Idalia'</t>
  </si>
  <si>
    <t>Tropical Storm Isaias</t>
  </si>
  <si>
    <t>2024-0422-USA</t>
  </si>
  <si>
    <t>Hurricane 'Beryl'</t>
  </si>
  <si>
    <t>Wildland Fire</t>
  </si>
  <si>
    <t>LNU Lightning Complex Fire</t>
  </si>
  <si>
    <t>CZU Lightning Complex Fire</t>
  </si>
  <si>
    <t>Hurricane Laura</t>
  </si>
  <si>
    <t>Carmel Fire</t>
  </si>
  <si>
    <t>SCU Lightning Complex Fire</t>
  </si>
  <si>
    <t>Creek Fire</t>
  </si>
  <si>
    <t>Almeda Fire</t>
  </si>
  <si>
    <t>Bear/Claremont/Sheep Complex Fire</t>
  </si>
  <si>
    <t>Babb Fire</t>
  </si>
  <si>
    <t>Beachie Creek Fire</t>
  </si>
  <si>
    <t>Holiday Farm Fire</t>
  </si>
  <si>
    <t>Hurricane Sally</t>
  </si>
  <si>
    <t>Riverside Fire</t>
  </si>
  <si>
    <t>Echo Mountain Fire</t>
  </si>
  <si>
    <t>Slater Fire</t>
  </si>
  <si>
    <t>Tropical Storm Beta</t>
  </si>
  <si>
    <t>Glass</t>
  </si>
  <si>
    <t>Bobcat Fire</t>
  </si>
  <si>
    <t>Hurricane Delta</t>
  </si>
  <si>
    <t>Cameron Peak Fire</t>
  </si>
  <si>
    <t>East Troublesome Fire</t>
  </si>
  <si>
    <t>Hurricane Zeta</t>
  </si>
  <si>
    <t>Tropical Storm Eta</t>
  </si>
  <si>
    <t>Storm Brendan</t>
  </si>
  <si>
    <t>Storm Dennis</t>
  </si>
  <si>
    <t>Storm Jorge</t>
  </si>
  <si>
    <t>Storm Francis</t>
  </si>
  <si>
    <t>Cyclone</t>
  </si>
  <si>
    <t>Cyclone IANOS</t>
  </si>
  <si>
    <t>Storm Alex</t>
  </si>
  <si>
    <t>Silverado Fire</t>
  </si>
  <si>
    <t>Storm Bella</t>
  </si>
  <si>
    <t>June Texas Flooding and Hail</t>
  </si>
  <si>
    <t>Tropical Storm Claudette</t>
  </si>
  <si>
    <t>Tropical Storm Elsa</t>
  </si>
  <si>
    <t>Tropical Storm Fred</t>
  </si>
  <si>
    <t>Tropical Storm Henri</t>
  </si>
  <si>
    <t>Aug Tennessee Flooding</t>
  </si>
  <si>
    <t>Hurricane Ida</t>
  </si>
  <si>
    <t>Tropical Storm Nicholas</t>
  </si>
  <si>
    <t>Oct Northwest Flooding</t>
  </si>
  <si>
    <t>Nov PacNW Storms</t>
  </si>
  <si>
    <t>Storm Christoph</t>
  </si>
  <si>
    <t>UK Summer Storms</t>
  </si>
  <si>
    <t>Storm Bernd - Continental Europe</t>
  </si>
  <si>
    <t>Hurricane Fiona</t>
  </si>
  <si>
    <t>Hurricane Ian</t>
  </si>
  <si>
    <t>Hurricane Nicole</t>
  </si>
  <si>
    <t>Yellowstone National Park Flooding</t>
  </si>
  <si>
    <t>Tropical Storm Kay</t>
  </si>
  <si>
    <t>January Southern Storms</t>
  </si>
  <si>
    <t>January Storms</t>
  </si>
  <si>
    <t>January Texas and Louisiana Storms</t>
  </si>
  <si>
    <t>February Southern Plains Storm</t>
  </si>
  <si>
    <t>PCS No. 2325 South Central Wind Storms</t>
  </si>
  <si>
    <t>PCS No. 2330 March West South Central Wind and Thunderstorms</t>
  </si>
  <si>
    <t>PCS No. 2332 March Southern Storms</t>
  </si>
  <si>
    <t>PCS No. 2333 Southern Wind and Thunderstorms</t>
  </si>
  <si>
    <t>Turkey Earthquake</t>
  </si>
  <si>
    <t>Canadian Western Wildfires</t>
  </si>
  <si>
    <t>Italy Early May Floods</t>
  </si>
  <si>
    <t>Mid May Northern Italy Storms and Floods</t>
  </si>
  <si>
    <t>PCS No. 1724</t>
  </si>
  <si>
    <t>Apr 2  2017</t>
  </si>
  <si>
    <t xml:space="preserve"> Apr 3 2017</t>
  </si>
  <si>
    <t>65c0277ea758218c418ef9580692af22</t>
  </si>
  <si>
    <t>PCS No. 1725</t>
  </si>
  <si>
    <t>Apr 4  2017</t>
  </si>
  <si>
    <t xml:space="preserve"> Apr 6 2017</t>
  </si>
  <si>
    <t>e4f26beeb0ae24b92ffd355f5e9c5fda</t>
  </si>
  <si>
    <t>PCS No. 1726</t>
  </si>
  <si>
    <t>Apr 7  2017</t>
  </si>
  <si>
    <t xml:space="preserve"> Apr 8 2017</t>
  </si>
  <si>
    <t>12f6de45d4efe308cfeeca3f1d0bc3af</t>
  </si>
  <si>
    <t>PCS No. 1727</t>
  </si>
  <si>
    <t>Apr 10 2017</t>
  </si>
  <si>
    <t xml:space="preserve"> Apr 11 2017</t>
  </si>
  <si>
    <t>7cb85538a4093e82fe8c551341057388</t>
  </si>
  <si>
    <t>N. Texas Hailstorm</t>
  </si>
  <si>
    <t>Apr 21  2017</t>
  </si>
  <si>
    <t xml:space="preserve"> Apr 25 2017</t>
  </si>
  <si>
    <t>c512bddcbdebb96f50d886ccb249a752</t>
  </si>
  <si>
    <t>PCS No. 1729</t>
  </si>
  <si>
    <t>Apr 26 2017</t>
  </si>
  <si>
    <t>c40ddeb230354b0371189e8e84b6a576</t>
  </si>
  <si>
    <t>Heartland Storms And Floods</t>
  </si>
  <si>
    <t>Apr 28  2017</t>
  </si>
  <si>
    <t xml:space="preserve"> May 1 2017</t>
  </si>
  <si>
    <t>74d2b98d66f5e375d2ee3a7d9e4e1354</t>
  </si>
  <si>
    <t>PCS No. 1731</t>
  </si>
  <si>
    <t>May 3  2017</t>
  </si>
  <si>
    <t xml:space="preserve"> May 5 2017</t>
  </si>
  <si>
    <t>9dfe163fd649f3b985fa8efd30a54391</t>
  </si>
  <si>
    <t>Colorado Hailstorm</t>
  </si>
  <si>
    <t>May 8  2017</t>
  </si>
  <si>
    <t xml:space="preserve"> May 9 2017</t>
  </si>
  <si>
    <t>02921182231b86367ac80f0a6cfcb901</t>
  </si>
  <si>
    <t>PCS No. 1733</t>
  </si>
  <si>
    <t>May 15  2017</t>
  </si>
  <si>
    <t xml:space="preserve"> May 18 2017</t>
  </si>
  <si>
    <t>fbc4bc535f95f5f8d1b30bf34e4b4fbe</t>
  </si>
  <si>
    <t>PCS No. 1734</t>
  </si>
  <si>
    <t>May 27  2017</t>
  </si>
  <si>
    <t xml:space="preserve"> May 28 2017</t>
  </si>
  <si>
    <t>85da0ea73f51b181e3ce81a57d62f5b8</t>
  </si>
  <si>
    <t>PCS No. 1735</t>
  </si>
  <si>
    <t>Jun 2  2017</t>
  </si>
  <si>
    <t xml:space="preserve"> Jun 4 2017</t>
  </si>
  <si>
    <t>58ef9df15219a07d73b176b3e664d735</t>
  </si>
  <si>
    <t>PCS No. 1736</t>
  </si>
  <si>
    <t>Jun 11 2017</t>
  </si>
  <si>
    <t>68ad8922e887bc33e8f1bfd2ba26e6c8</t>
  </si>
  <si>
    <t>TX &amp; WY Severe Storms</t>
  </si>
  <si>
    <t>Jun 12  2017</t>
  </si>
  <si>
    <t xml:space="preserve"> Jun 14 2017</t>
  </si>
  <si>
    <t>5739286cebed3495484f106535d1932a</t>
  </si>
  <si>
    <t>PCS No. 1738</t>
  </si>
  <si>
    <t>Jun 16  2017</t>
  </si>
  <si>
    <t xml:space="preserve"> Jun 19 2017</t>
  </si>
  <si>
    <t>02bf1a8bb2a792e32a8b9d57c293b349</t>
  </si>
  <si>
    <t>PCS No. 1739</t>
  </si>
  <si>
    <t>Jun 27  2017</t>
  </si>
  <si>
    <t xml:space="preserve"> Jun 29 2017</t>
  </si>
  <si>
    <t>b228fef87b3d5a1f8f8f5d8af8a1ea25</t>
  </si>
  <si>
    <t>NW Texas Hail</t>
  </si>
  <si>
    <t>Jun 8 2017</t>
  </si>
  <si>
    <t>647c4a3fb8adf93fe1fd2d8f9e7f84e1</t>
  </si>
  <si>
    <t>April Hailstorm</t>
  </si>
  <si>
    <t>Apr 3  2018</t>
  </si>
  <si>
    <t xml:space="preserve"> Apr 5 2018</t>
  </si>
  <si>
    <t>abe91e465b7716462b975aa2c7f2b221</t>
  </si>
  <si>
    <t>Texas And Louisiana Storms</t>
  </si>
  <si>
    <t>Apr 6  2018</t>
  </si>
  <si>
    <t xml:space="preserve"> Apr 7 2018</t>
  </si>
  <si>
    <t>2be1f64cae97e3767efd3c0bef7b0779</t>
  </si>
  <si>
    <t>Idaho Hail Storm</t>
  </si>
  <si>
    <t>Apr 7  2018</t>
  </si>
  <si>
    <t>75f3a8fbbb2af06371e02ea8bce5aa65</t>
  </si>
  <si>
    <t>Mid-Western Storms</t>
  </si>
  <si>
    <t>Apr 13  2018</t>
  </si>
  <si>
    <t xml:space="preserve"> Apr 17 2018</t>
  </si>
  <si>
    <t>9677548ee4ee2f157590053c5c5f56c4</t>
  </si>
  <si>
    <t>Colorado Storm</t>
  </si>
  <si>
    <t>Apr 17  2018</t>
  </si>
  <si>
    <t xml:space="preserve"> Apr 18 2018</t>
  </si>
  <si>
    <t>aeb1a5f7eb1d81499e7d93dd105d9430</t>
  </si>
  <si>
    <t>Central Plains Severe Storms</t>
  </si>
  <si>
    <t>Apr 28  2018</t>
  </si>
  <si>
    <t xml:space="preserve"> May 5 2018</t>
  </si>
  <si>
    <t>67850e1842b9a87088817efe86d05e1d</t>
  </si>
  <si>
    <t>Mid May Hail Storm</t>
  </si>
  <si>
    <t>May 12  2018</t>
  </si>
  <si>
    <t xml:space="preserve"> May 16 2018</t>
  </si>
  <si>
    <t>44cfe8d9745f15f8c1534bf55714ad0a</t>
  </si>
  <si>
    <t>Northern Texas Hail Storm</t>
  </si>
  <si>
    <t>May 19  2018</t>
  </si>
  <si>
    <t xml:space="preserve"> May 20 2018</t>
  </si>
  <si>
    <t>7c2298145b05dcbb16dac39a625011c4</t>
  </si>
  <si>
    <t>Maryland Storm</t>
  </si>
  <si>
    <t>May 27  2018</t>
  </si>
  <si>
    <t xml:space="preserve"> May 28 2018</t>
  </si>
  <si>
    <t>8031e8f282c78983bc47cc24ce5d90d3</t>
  </si>
  <si>
    <t>Midwest Hail Storm</t>
  </si>
  <si>
    <t>May 29  2018</t>
  </si>
  <si>
    <t xml:space="preserve"> Jun 1 2018</t>
  </si>
  <si>
    <t>305a36410e0226dff92a16e99555ba5f</t>
  </si>
  <si>
    <t>Southern Hail Storm</t>
  </si>
  <si>
    <t>Jun 3  2018</t>
  </si>
  <si>
    <t xml:space="preserve"> Jun 6 2018</t>
  </si>
  <si>
    <t>231182acb75cdce3350df92d900c7f91</t>
  </si>
  <si>
    <t>Colorado Thunderstorm</t>
  </si>
  <si>
    <t>Jun 12  2018</t>
  </si>
  <si>
    <t xml:space="preserve"> Jun 13 2018</t>
  </si>
  <si>
    <t>a188f3460170e7c988fb9a27034f0f06</t>
  </si>
  <si>
    <t>Pennsylvania Severe Storm</t>
  </si>
  <si>
    <t>Jun 13  2018</t>
  </si>
  <si>
    <t xml:space="preserve"> Jun14 2018</t>
  </si>
  <si>
    <t>84464b3e226fd6b271dd79e4216a5245</t>
  </si>
  <si>
    <t>Northern Colorado Hail Storm</t>
  </si>
  <si>
    <t>Jun 18  2018</t>
  </si>
  <si>
    <t xml:space="preserve"> Jun 20 2018</t>
  </si>
  <si>
    <t>80fe651f52abe7a9ea11a3cc79f5a170</t>
  </si>
  <si>
    <t>Southern Texas Flood</t>
  </si>
  <si>
    <t>Jun 19  2018</t>
  </si>
  <si>
    <t xml:space="preserve"> Jun 21 2018</t>
  </si>
  <si>
    <t>061302bf5f62eaa1ff5b3ff03c19b13b</t>
  </si>
  <si>
    <t>South-Central Plains Storm</t>
  </si>
  <si>
    <t>Jun 24  2018</t>
  </si>
  <si>
    <t xml:space="preserve"> Jun 26 2018</t>
  </si>
  <si>
    <t>3ae61e77e832062a4e9ce4956b303937</t>
  </si>
  <si>
    <t>Mid Atlantic Thunderstorm</t>
  </si>
  <si>
    <t>Jun 28  2018</t>
  </si>
  <si>
    <t xml:space="preserve"> Jun 28 2018</t>
  </si>
  <si>
    <t>60cab8d25a3d32111c3290219c0b872b</t>
  </si>
  <si>
    <t>Midwest Severe Storms</t>
  </si>
  <si>
    <t>Jun 29  2018</t>
  </si>
  <si>
    <t xml:space="preserve"> Jul 1 2018</t>
  </si>
  <si>
    <t>3af7f46272a016915551cac327041001</t>
  </si>
  <si>
    <t>Summer Thunderstorm Event</t>
  </si>
  <si>
    <t xml:space="preserve"> May 31 2018</t>
  </si>
  <si>
    <t>6627a69dbc37004e43fe0e1b18086f3a</t>
  </si>
  <si>
    <t>Apr 4  2019</t>
  </si>
  <si>
    <t xml:space="preserve"> Apr 7 2019</t>
  </si>
  <si>
    <t>c5f453687c90109e1f24e56e728a5470</t>
  </si>
  <si>
    <t>Southern Tornadoes</t>
  </si>
  <si>
    <t>Apr 12  2019</t>
  </si>
  <si>
    <t xml:space="preserve"> Apr 15 2019</t>
  </si>
  <si>
    <t>7c9758f23dd298c91fc4bef194ac9b7b</t>
  </si>
  <si>
    <t>April Severe Storms</t>
  </si>
  <si>
    <t>Apr 17 2019</t>
  </si>
  <si>
    <t xml:space="preserve"> Apr 20 2019</t>
  </si>
  <si>
    <t>685138c78cb1942acc9676a476c59909</t>
  </si>
  <si>
    <t>Southern Severe Storms</t>
  </si>
  <si>
    <t>Apr 23 2019</t>
  </si>
  <si>
    <t xml:space="preserve"> Apr 25 2019</t>
  </si>
  <si>
    <t>69ceed2a4ffe2ae23f8abf71d534a4bd</t>
  </si>
  <si>
    <t>Southern and Central Plains Thunderstorm</t>
  </si>
  <si>
    <t>Apr 30  2019</t>
  </si>
  <si>
    <t xml:space="preserve"> May2 2019</t>
  </si>
  <si>
    <t>6a269e454c941c0d21cc80b949ddc4c9</t>
  </si>
  <si>
    <t>Texas/Kansas Storms</t>
  </si>
  <si>
    <t>May 7  2019</t>
  </si>
  <si>
    <t xml:space="preserve"> May 10 2019</t>
  </si>
  <si>
    <t>fee63dbf9ecae028b17151670b5945ff</t>
  </si>
  <si>
    <t>North Carolina Hail Storm</t>
  </si>
  <si>
    <t>May 13  2019</t>
  </si>
  <si>
    <t xml:space="preserve"> May13 2019</t>
  </si>
  <si>
    <t>6be210fa28284f66de0df4b76f288fe7</t>
  </si>
  <si>
    <t>Lower Great Lakes Severe Storms</t>
  </si>
  <si>
    <t>May 16  2019</t>
  </si>
  <si>
    <t xml:space="preserve"> May 17 2019</t>
  </si>
  <si>
    <t>dffa5b524eb9e13af2378a34612ddc03</t>
  </si>
  <si>
    <t>Texas Tornadoes and Thunderstorms</t>
  </si>
  <si>
    <t>May 17  2019</t>
  </si>
  <si>
    <t xml:space="preserve"> May 18 2019</t>
  </si>
  <si>
    <t>23b3ec0c082bcc9d9b0c4e25989bdd22</t>
  </si>
  <si>
    <t>Midwest Thunderstorm</t>
  </si>
  <si>
    <t>May 20  2019</t>
  </si>
  <si>
    <t xml:space="preserve"> May 22 2019</t>
  </si>
  <si>
    <t>e57d5fa2d518200b6e8115f6161768e1</t>
  </si>
  <si>
    <t>Texas/Oklahoma Thunderstorm</t>
  </si>
  <si>
    <t>May 24  2019</t>
  </si>
  <si>
    <t xml:space="preserve"> May 25 2019</t>
  </si>
  <si>
    <t>d52a77a7e1cfe7d483b6539171b03e64</t>
  </si>
  <si>
    <t>Great/Central Plains Thunderstorms</t>
  </si>
  <si>
    <t>May 26  2019</t>
  </si>
  <si>
    <t xml:space="preserve"> May 29 2019</t>
  </si>
  <si>
    <t>41de57ab08378f2242821fadf055128b</t>
  </si>
  <si>
    <t>Texas/Oklahoma June Storm</t>
  </si>
  <si>
    <t>Jun 9  2019</t>
  </si>
  <si>
    <t xml:space="preserve"> Jun 10 2019</t>
  </si>
  <si>
    <t>1f6a5655478c2f55c9c37207e46a6415</t>
  </si>
  <si>
    <t>Indiana Thunderstorm</t>
  </si>
  <si>
    <t>Jun 15  2019</t>
  </si>
  <si>
    <t xml:space="preserve"> Jun 16 2019</t>
  </si>
  <si>
    <t>cd7c61ef36c7ef4733b4f88fa19f403e</t>
  </si>
  <si>
    <t>Texas Hail and Thunderstorm</t>
  </si>
  <si>
    <t>Jun 16  2019</t>
  </si>
  <si>
    <t xml:space="preserve"> Jun 17 2019</t>
  </si>
  <si>
    <t>3afe923266f0b23c836dcc7ce34a6a7a</t>
  </si>
  <si>
    <t>Texas Hailstorm 19037</t>
  </si>
  <si>
    <t>Jun 23  2019</t>
  </si>
  <si>
    <t xml:space="preserve"> Jun 24 2019</t>
  </si>
  <si>
    <t>7278d0d386dcc62e9c1bd86449fd41de</t>
  </si>
  <si>
    <t>New York Thunderstorm</t>
  </si>
  <si>
    <t>Jun 29  2019</t>
  </si>
  <si>
    <t xml:space="preserve"> Jun 30 2019</t>
  </si>
  <si>
    <t>f559cf7514371d4acdaa13b23279b874</t>
  </si>
  <si>
    <t>Eastern Illinois Thunderstorm</t>
  </si>
  <si>
    <t>16a8df1b9fc4ed0c3af66ea89567b0bb</t>
  </si>
  <si>
    <t>June Northern Plains Hail Storm</t>
  </si>
  <si>
    <t>Jun 4  2019</t>
  </si>
  <si>
    <t xml:space="preserve"> Jun 6 2019</t>
  </si>
  <si>
    <t>7558a03211f17086e4b8d0fbd35e9a6a</t>
  </si>
  <si>
    <t>April Wind and Thunderstorm Event</t>
  </si>
  <si>
    <t>Apr 7  2020</t>
  </si>
  <si>
    <t xml:space="preserve"> Apr9 2020</t>
  </si>
  <si>
    <t>80ce4326387c091af8b8647f3292c818</t>
  </si>
  <si>
    <t>April Midwest Wind and Thunderstorm Event</t>
  </si>
  <si>
    <t>Apr 10  2020</t>
  </si>
  <si>
    <t xml:space="preserve"> Apr14 2020</t>
  </si>
  <si>
    <t>60c75132dc4a848c0e2c0caa4df8df19</t>
  </si>
  <si>
    <t>April Southern Wind and Thunderstorm Event</t>
  </si>
  <si>
    <t>Apr 18  2020</t>
  </si>
  <si>
    <t xml:space="preserve"> Apr 20 2020</t>
  </si>
  <si>
    <t>573572e4e9a8486a02fbc7eeeaffba7b</t>
  </si>
  <si>
    <t>April Southern Tornado and Storm Event</t>
  </si>
  <si>
    <t>Apr 21  2020</t>
  </si>
  <si>
    <t xml:space="preserve"> Apr 23 2020</t>
  </si>
  <si>
    <t>39458c39f6951df4f647321c79c993c8</t>
  </si>
  <si>
    <t>April Southern Hail and Wind Event</t>
  </si>
  <si>
    <t>Apr 24  2020</t>
  </si>
  <si>
    <t xml:space="preserve"> Apr 26 2020</t>
  </si>
  <si>
    <t>99a805bc0d0845bf489b9b09ad69ea30</t>
  </si>
  <si>
    <t>April Midwest and Southern Wind and Hail Event</t>
  </si>
  <si>
    <t>Apr 27  2020</t>
  </si>
  <si>
    <t xml:space="preserve"> Apr 29 2020</t>
  </si>
  <si>
    <t>b465588866e564006c1257d85e1fe609</t>
  </si>
  <si>
    <t>May Wind and Thunderstorm Event</t>
  </si>
  <si>
    <t>May 2  2020</t>
  </si>
  <si>
    <t xml:space="preserve"> May 3 2020</t>
  </si>
  <si>
    <t>73b0224bc6bcf2334b92e18bf15ef7e9</t>
  </si>
  <si>
    <t>May Wind and Hail Event</t>
  </si>
  <si>
    <t>May 4  2020</t>
  </si>
  <si>
    <t xml:space="preserve"> May 5 2020</t>
  </si>
  <si>
    <t>91d5cf69202ac51fca62d47a43e024fc</t>
  </si>
  <si>
    <t>May Thunderstorm Event</t>
  </si>
  <si>
    <t>May 7  2020</t>
  </si>
  <si>
    <t xml:space="preserve"> May 8 2020</t>
  </si>
  <si>
    <t>09ce3c5fe952c1b21211e3f0ae3bb757</t>
  </si>
  <si>
    <t>May Midwest Wind and Thunderstorm Event</t>
  </si>
  <si>
    <t>May 13  2020</t>
  </si>
  <si>
    <t xml:space="preserve"> May 15 2020</t>
  </si>
  <si>
    <t>c4d2cec38fa1da8b5d37758873c3678d</t>
  </si>
  <si>
    <t>May Southern Wind and Thunderstorm Event</t>
  </si>
  <si>
    <t>May 16  2020</t>
  </si>
  <si>
    <t xml:space="preserve"> May 21 2020</t>
  </si>
  <si>
    <t>cc0c03944d54e6fb0a27aa25d3c43dfc</t>
  </si>
  <si>
    <t>May Texas Wind and Thunderstorm Event</t>
  </si>
  <si>
    <t>May 20  2020</t>
  </si>
  <si>
    <t xml:space="preserve"> May 24 2020</t>
  </si>
  <si>
    <t>17cc53731572f4cbf6eaaa130e9ca10d</t>
  </si>
  <si>
    <t>May Texas Hail and Wind Event</t>
  </si>
  <si>
    <t>May 25  2020</t>
  </si>
  <si>
    <t xml:space="preserve"> May 26 2020</t>
  </si>
  <si>
    <t>abcd57b3f26fd98d60f6c1f85d1e48de</t>
  </si>
  <si>
    <t>May Southern Wind and Hail Event</t>
  </si>
  <si>
    <t>May 27  2020</t>
  </si>
  <si>
    <t xml:space="preserve"> May 28 2020</t>
  </si>
  <si>
    <t>0dec9888c9eef9448e080a18d01d5220</t>
  </si>
  <si>
    <t>June Northern Wind and Thunderstorm Event</t>
  </si>
  <si>
    <t>Jun 2  2020</t>
  </si>
  <si>
    <t xml:space="preserve"> Jun 3 2020</t>
  </si>
  <si>
    <t>e6782087caa9679395ea9100ae5d0ea3</t>
  </si>
  <si>
    <t>Plain States Wind and Thunderstorm Event</t>
  </si>
  <si>
    <t>Jun 5  2020</t>
  </si>
  <si>
    <t xml:space="preserve"> Jun 11 2020</t>
  </si>
  <si>
    <t>2fe4b13d9f35cdcf8083d1525b42c81c</t>
  </si>
  <si>
    <t>South Dakota Wind and Thunderstorm Event</t>
  </si>
  <si>
    <t>Jun 4  2020</t>
  </si>
  <si>
    <t xml:space="preserve"> Jun4 2020</t>
  </si>
  <si>
    <t>a0e60a138fbb31f5fbea2fb761e30c69</t>
  </si>
  <si>
    <t>June Texas Thunderstorm</t>
  </si>
  <si>
    <t>Jun 19  2020</t>
  </si>
  <si>
    <t xml:space="preserve"> Jun 21 2020</t>
  </si>
  <si>
    <t>ed8b6e740b9f8822cc39ac4c62a211af</t>
  </si>
  <si>
    <t>April Wind and Hail</t>
  </si>
  <si>
    <t>Apr 6  2021</t>
  </si>
  <si>
    <t xml:space="preserve"> Apr 8 2021</t>
  </si>
  <si>
    <t>11d0f51d9aced381efa5ce3214d9228e</t>
  </si>
  <si>
    <t>April Southern Plains Wind and Storm</t>
  </si>
  <si>
    <t>Apr 9  2021</t>
  </si>
  <si>
    <t xml:space="preserve"> Apr 11 2021</t>
  </si>
  <si>
    <t>a11b84b38879d751f48fa321120f0c55</t>
  </si>
  <si>
    <t>April Southern Hail Storm</t>
  </si>
  <si>
    <t>Apr 12  2021</t>
  </si>
  <si>
    <t xml:space="preserve"> Apr 14 2021</t>
  </si>
  <si>
    <t>61e670052abeb520b2e8ddd7b57c845e</t>
  </si>
  <si>
    <t>April South Central Thunderstorm</t>
  </si>
  <si>
    <t>Apr 15  2021</t>
  </si>
  <si>
    <t xml:space="preserve"> Apr 16 2021</t>
  </si>
  <si>
    <t>636e4b73ee4f49965cd001bdb75fe1d1</t>
  </si>
  <si>
    <t>April Southern Tornadoes</t>
  </si>
  <si>
    <t>Apr 23  2021</t>
  </si>
  <si>
    <t xml:space="preserve"> Apr 25 2021</t>
  </si>
  <si>
    <t>1d8535d9bbe1c66cb6ba50e7f9bb9ee9</t>
  </si>
  <si>
    <t>April Hail and Tornadoes</t>
  </si>
  <si>
    <t>Apr 27  2021</t>
  </si>
  <si>
    <t xml:space="preserve"> May 2 2021</t>
  </si>
  <si>
    <t>366971226c73b87ab69e87918b9338a5</t>
  </si>
  <si>
    <t>May Southern Hail and Wind</t>
  </si>
  <si>
    <t>May 3  2021</t>
  </si>
  <si>
    <t xml:space="preserve"> May 4 2021</t>
  </si>
  <si>
    <t>d3ed9e3df6007d59a203f7b692880796</t>
  </si>
  <si>
    <t>May Wind and Thunderstorms</t>
  </si>
  <si>
    <t>May 7  2021</t>
  </si>
  <si>
    <t xml:space="preserve"> May 11 2021</t>
  </si>
  <si>
    <t>bc7386076e4bf0bd4c58874726403e1e</t>
  </si>
  <si>
    <t>May Hail Storm</t>
  </si>
  <si>
    <t>May 14  2021</t>
  </si>
  <si>
    <t xml:space="preserve"> May 19 2021</t>
  </si>
  <si>
    <t>fba6c96d44ce830a1d5886fab5a15fa5</t>
  </si>
  <si>
    <t>May Midwest Hail and Tornadoes</t>
  </si>
  <si>
    <t>May 26  2021</t>
  </si>
  <si>
    <t xml:space="preserve"> May 28 2021</t>
  </si>
  <si>
    <t>c9ce1073ab925d72782e22228ac4e2b7</t>
  </si>
  <si>
    <t>May Northeast Severe Thunderstorms</t>
  </si>
  <si>
    <t>May 25  2021</t>
  </si>
  <si>
    <t xml:space="preserve"> May 26 2021</t>
  </si>
  <si>
    <t>0f66d5d47cc484792935962c50253404</t>
  </si>
  <si>
    <t>May Tornado and Hail</t>
  </si>
  <si>
    <t>May 29  2021</t>
  </si>
  <si>
    <t xml:space="preserve"> May 31 2021</t>
  </si>
  <si>
    <t>71497f728b86b55d965edbf1849cca8d</t>
  </si>
  <si>
    <t>June Wind and Thunderstorm</t>
  </si>
  <si>
    <t>Jun 11  2021</t>
  </si>
  <si>
    <t xml:space="preserve"> Jun 13 2021</t>
  </si>
  <si>
    <t>936e8d43184bc47ef34e25e426c508fe</t>
  </si>
  <si>
    <t>June Midwest Severe Storms</t>
  </si>
  <si>
    <t>Jun 17  2021</t>
  </si>
  <si>
    <t xml:space="preserve"> Jun 20 2021</t>
  </si>
  <si>
    <t>6c366534a48f3e57554bedb024240e1a</t>
  </si>
  <si>
    <t>June Midwest Tornadoes</t>
  </si>
  <si>
    <t>Jun 24  2021</t>
  </si>
  <si>
    <t xml:space="preserve"> Jun 28 2021</t>
  </si>
  <si>
    <t>03994131659f561249054ea1c99097f7</t>
  </si>
  <si>
    <t>April Wind and Thunderstorms</t>
  </si>
  <si>
    <t>Apr 2  2022</t>
  </si>
  <si>
    <t xml:space="preserve"> Apr 4 2022</t>
  </si>
  <si>
    <t>e7e4f740f97a38c313a9abc2ec6ab85e</t>
  </si>
  <si>
    <t>April Southern Storms</t>
  </si>
  <si>
    <t>Apr 3  2022</t>
  </si>
  <si>
    <t xml:space="preserve"> Apr 7 2022</t>
  </si>
  <si>
    <t>6c23fdb32b57c00398f53e90a3714bd3</t>
  </si>
  <si>
    <t>April Storms</t>
  </si>
  <si>
    <t>Apr 10  2022</t>
  </si>
  <si>
    <t xml:space="preserve"> Apr 12 2022</t>
  </si>
  <si>
    <t>62509b585210b8dd3e871ca3c23f186b</t>
  </si>
  <si>
    <t>April Southern Hail and Tornadoes</t>
  </si>
  <si>
    <t>Apr 15  2022</t>
  </si>
  <si>
    <t xml:space="preserve"> Apr 19 2022</t>
  </si>
  <si>
    <t>2bec3f7f8208e144c8fa1484d642eb47</t>
  </si>
  <si>
    <t>April Midwest Storms</t>
  </si>
  <si>
    <t>Apr 21  2022</t>
  </si>
  <si>
    <t xml:space="preserve"> Apr 24 2022</t>
  </si>
  <si>
    <t>12f743edf866f7a7ff81368543dcd1a1</t>
  </si>
  <si>
    <t>April Southern Severe Storms</t>
  </si>
  <si>
    <t>Apr 26  2022</t>
  </si>
  <si>
    <t xml:space="preserve"> Apr 30 2022</t>
  </si>
  <si>
    <t>63aeb41b7837b24999c7766adda70a24</t>
  </si>
  <si>
    <t>May Southern Storms</t>
  </si>
  <si>
    <t>May 1  2022</t>
  </si>
  <si>
    <t xml:space="preserve"> May 3 2022</t>
  </si>
  <si>
    <t>69930733ad15478fdd5332faf5a3a662</t>
  </si>
  <si>
    <t>May South Central Storms</t>
  </si>
  <si>
    <t>May 4  2022</t>
  </si>
  <si>
    <t xml:space="preserve"> May 8 2022</t>
  </si>
  <si>
    <t>eb4ccb5a339da7a1f01b8f9688896b65</t>
  </si>
  <si>
    <t>Midwest Tornadoes and Hail</t>
  </si>
  <si>
    <t>May 9  2022</t>
  </si>
  <si>
    <t xml:space="preserve"> May 10 2022</t>
  </si>
  <si>
    <t>7f6411f044f4af764d78c7f31af15b2c</t>
  </si>
  <si>
    <t>May 11  2022</t>
  </si>
  <si>
    <t xml:space="preserve"> May 12 2022</t>
  </si>
  <si>
    <t>4cdd31af4e1036bd1d21858cbae5fbe5</t>
  </si>
  <si>
    <t>May Severe Storms</t>
  </si>
  <si>
    <t>May 13  2022</t>
  </si>
  <si>
    <t xml:space="preserve"> May 16 2022</t>
  </si>
  <si>
    <t>085a2f56bfb27cb2e44ef3c457591b96</t>
  </si>
  <si>
    <t>May Tornadoes and Wind</t>
  </si>
  <si>
    <t>May 19  2022</t>
  </si>
  <si>
    <t xml:space="preserve"> May 22 2022</t>
  </si>
  <si>
    <t>83f075354ac93f60d1c1ac9a15399196</t>
  </si>
  <si>
    <t>May Midwestern Storms</t>
  </si>
  <si>
    <t>May 17  2022</t>
  </si>
  <si>
    <t>15cf5f505ec38de721bfc1036ae585aa</t>
  </si>
  <si>
    <t>May Southern Hail and Tornadoes</t>
  </si>
  <si>
    <t>May 23  2022</t>
  </si>
  <si>
    <t xml:space="preserve"> May 25 2022</t>
  </si>
  <si>
    <t>2a519dc383bbb4f07ad74720bb1a5fbf</t>
  </si>
  <si>
    <t>May Midwest Hail and Wind</t>
  </si>
  <si>
    <t>May 29  2022</t>
  </si>
  <si>
    <t xml:space="preserve"> May 29 2022</t>
  </si>
  <si>
    <t>b90010f47ac493fc027e5727059032d4</t>
  </si>
  <si>
    <t>Memorial Day Storms</t>
  </si>
  <si>
    <t>May 30  2022</t>
  </si>
  <si>
    <t xml:space="preserve"> May 31 2022</t>
  </si>
  <si>
    <t>9a2e8514e94644ccfdd458ab892635e0</t>
  </si>
  <si>
    <t>June Southeast Storms</t>
  </si>
  <si>
    <t>Jun 3  2022</t>
  </si>
  <si>
    <t xml:space="preserve"> Jun 6 2022</t>
  </si>
  <si>
    <t>58531c85829c056175c3c27c7360e9fd</t>
  </si>
  <si>
    <t>June Texas Storms</t>
  </si>
  <si>
    <t>Jun 1  2022</t>
  </si>
  <si>
    <t xml:space="preserve"> Jun 3 2022</t>
  </si>
  <si>
    <t>e936cd0726594710711f6be2a3fc1ddf</t>
  </si>
  <si>
    <t>Jun 4  2022</t>
  </si>
  <si>
    <t xml:space="preserve"> Jun 8 2022</t>
  </si>
  <si>
    <t>d2ee7c802d33276b97b3298931e82303</t>
  </si>
  <si>
    <t>June Midwest Hail and Wind</t>
  </si>
  <si>
    <t>Jun 11  2022</t>
  </si>
  <si>
    <t xml:space="preserve"> Jun 17 2022</t>
  </si>
  <si>
    <t>40e058330f014c529b23bcb157f7da4a</t>
  </si>
  <si>
    <t>Eastern Storms</t>
  </si>
  <si>
    <t>Jun 22  2022</t>
  </si>
  <si>
    <t xml:space="preserve"> Jun 23 2022</t>
  </si>
  <si>
    <t>7fc7b7979ce9c02bb7a36e5500726053</t>
  </si>
  <si>
    <t>PCS No. 2334 Texas Wind and Thunderstorms</t>
  </si>
  <si>
    <t>Apr 2  2023</t>
  </si>
  <si>
    <t xml:space="preserve"> Apr 2 2023</t>
  </si>
  <si>
    <t>73ca2872fcef4234578eb337b4932d3c</t>
  </si>
  <si>
    <t>PCS No. 2335 Midwest and Central Wind and Thunderstorms</t>
  </si>
  <si>
    <t>Apr 3  2023</t>
  </si>
  <si>
    <t xml:space="preserve"> Apr 7 2023</t>
  </si>
  <si>
    <t>407c334809565d941338efc9e3a9f687</t>
  </si>
  <si>
    <t>PCS No. 2336 Florida Wind and Thunderstorms</t>
  </si>
  <si>
    <t>Apr 10  2023</t>
  </si>
  <si>
    <t xml:space="preserve"> Apr 13 2023</t>
  </si>
  <si>
    <t>3f1176741b1b079bdc7a2e7f208c902f</t>
  </si>
  <si>
    <t>PCS No. 2337 Midwest and Southern Storms</t>
  </si>
  <si>
    <t>Apr 14  2023</t>
  </si>
  <si>
    <t xml:space="preserve"> Apr 16 2023</t>
  </si>
  <si>
    <t>4c2aeb849fab47239887f8bf9c8e6278</t>
  </si>
  <si>
    <t>PCS No. 2338 Midwest and Central Wind and Thunderstorms</t>
  </si>
  <si>
    <t>Apr 18  2023</t>
  </si>
  <si>
    <t xml:space="preserve"> Apr 22 2023</t>
  </si>
  <si>
    <t>65d21a7a6d0b2a830a6984823f17d4ce</t>
  </si>
  <si>
    <t>PCS No. 2339 South and South Central Wind and Thunderstorms</t>
  </si>
  <si>
    <t>Apr 23  2023</t>
  </si>
  <si>
    <t xml:space="preserve"> Apr 27 2023</t>
  </si>
  <si>
    <t>2563f41ff7c8f1b9ead213bbf8e1cb1e</t>
  </si>
  <si>
    <t>PCS No. 2340 East Coast and Southern Storms</t>
  </si>
  <si>
    <t>Apr 28  2023</t>
  </si>
  <si>
    <t xml:space="preserve"> May 1 2023</t>
  </si>
  <si>
    <t>97f59593ea116ffeac4aae79181c2d86</t>
  </si>
  <si>
    <t>PCS No. 2341 South Central Wind and Thunderstorms</t>
  </si>
  <si>
    <t>May 2  2023</t>
  </si>
  <si>
    <t xml:space="preserve"> May 9 2023</t>
  </si>
  <si>
    <t>98465964ca8cd261e30c525aae7ba618</t>
  </si>
  <si>
    <t>PCS No. 2342 May Texas Storms</t>
  </si>
  <si>
    <t>May 17  2023</t>
  </si>
  <si>
    <t xml:space="preserve"> May 20 2023</t>
  </si>
  <si>
    <t>3d4a20644de04c214240d6125c8d5a8d</t>
  </si>
  <si>
    <t>PCS No. 2342 West and Central Storms</t>
  </si>
  <si>
    <t>May 9  2023</t>
  </si>
  <si>
    <t xml:space="preserve"> May 16 2023</t>
  </si>
  <si>
    <t>723c26b3460897d11db04474db0e0501</t>
  </si>
  <si>
    <t>PCS No. 2344 Southern May Storms</t>
  </si>
  <si>
    <t>May 22  2023</t>
  </si>
  <si>
    <t xml:space="preserve"> May 26 2023</t>
  </si>
  <si>
    <t>855e5174548682b7a505e1ae43ba96b5</t>
  </si>
  <si>
    <t>PCS No. 2346 Southwest Wind and Thunderstorms</t>
  </si>
  <si>
    <t>May 31  2023</t>
  </si>
  <si>
    <t xml:space="preserve"> Jun 4 2023</t>
  </si>
  <si>
    <t>940933a3808de5a280648f1a8fd1ae74</t>
  </si>
  <si>
    <t>PCS No. 2347 June West, Midwest and Southern Storms</t>
  </si>
  <si>
    <t>June 5 2023</t>
  </si>
  <si>
    <t xml:space="preserve"> June 8 2023</t>
  </si>
  <si>
    <t>74d1e312f2320de5a6c94d0bece3923e</t>
  </si>
  <si>
    <t>PCS No. 2348 Texas June Wind and Thunderstorm Event</t>
  </si>
  <si>
    <t>Jun 9  2023</t>
  </si>
  <si>
    <t xml:space="preserve"> Jun 14 2023</t>
  </si>
  <si>
    <t>174ef86b57d96cc97c185dfcdaf12858</t>
  </si>
  <si>
    <t>PCS No. 2349 June Midwest and Southern Wind and Thunderstorm Event</t>
  </si>
  <si>
    <t>Jun 15  2023</t>
  </si>
  <si>
    <t xml:space="preserve"> Jun 20 2023</t>
  </si>
  <si>
    <t>d5a9ee07f24fb62f40781d00df2d47db</t>
  </si>
  <si>
    <t>PCS No. 2350 June Midwest and Ohio Valley Storms</t>
  </si>
  <si>
    <t>June 15 2023</t>
  </si>
  <si>
    <t xml:space="preserve"> June 16 2023</t>
  </si>
  <si>
    <t>624207dedffe0a35c058d63d600213f4</t>
  </si>
  <si>
    <t>PCS No. 2351 Midwest and Southwest Wind and Thunderstorms</t>
  </si>
  <si>
    <t>Jun 21  2023</t>
  </si>
  <si>
    <t xml:space="preserve"> Jun 27 2023</t>
  </si>
  <si>
    <t>9a9ca45c1a515ab0b82445bedc0563d3</t>
  </si>
  <si>
    <t>PCS No. 1740</t>
  </si>
  <si>
    <t>Jul 11  2017</t>
  </si>
  <si>
    <t xml:space="preserve"> Jul 12 2017</t>
  </si>
  <si>
    <t>9680c4b2639ed223c2793005f0048418</t>
  </si>
  <si>
    <t>PCS No. 1741</t>
  </si>
  <si>
    <t>Jul 21  2017</t>
  </si>
  <si>
    <t xml:space="preserve"> Jul 23 2017</t>
  </si>
  <si>
    <t>9426e9770a77cbcaefe1fb3a7e36327d</t>
  </si>
  <si>
    <t>Central Plains Storms</t>
  </si>
  <si>
    <t>Aug 5  2017</t>
  </si>
  <si>
    <t xml:space="preserve"> Aug 8 2017</t>
  </si>
  <si>
    <t>9a96179f5027c861921aaa4c88ddcf85</t>
  </si>
  <si>
    <t>Arizona Severe Storm</t>
  </si>
  <si>
    <t>Jul 15  2017</t>
  </si>
  <si>
    <t xml:space="preserve"> Jul 16 2017</t>
  </si>
  <si>
    <t>f3a493fb0b6dc6357b9d89d6bdc1f2af</t>
  </si>
  <si>
    <t>Arizona Thunderstorm</t>
  </si>
  <si>
    <t>Jul 8  2018</t>
  </si>
  <si>
    <t xml:space="preserve"> Jul 10 2018</t>
  </si>
  <si>
    <t>62b4521aec8fe13ad75560a2b41b2f95</t>
  </si>
  <si>
    <t>Lower Midwest Hail Storm</t>
  </si>
  <si>
    <t>Jul19  2018</t>
  </si>
  <si>
    <t xml:space="preserve"> Jul 22 2018</t>
  </si>
  <si>
    <t>152c97a9bb6f2ababc2c73a46cfef7a3</t>
  </si>
  <si>
    <t>East Coast Storm</t>
  </si>
  <si>
    <t>Jul 21  2018</t>
  </si>
  <si>
    <t xml:space="preserve"> Jul 26 2018</t>
  </si>
  <si>
    <t>a4396f61160d9bfa1ea9114dacd37247</t>
  </si>
  <si>
    <t>July Colorado Storm</t>
  </si>
  <si>
    <t>Jul 22  2018</t>
  </si>
  <si>
    <t xml:space="preserve"> Jul 24 2018</t>
  </si>
  <si>
    <t>7e132d103ce54fda527e88a13a3d1540</t>
  </si>
  <si>
    <t>Northwestern Storm</t>
  </si>
  <si>
    <t>Jul 26  2018</t>
  </si>
  <si>
    <t xml:space="preserve"> Jul 29 2018</t>
  </si>
  <si>
    <t>3ff5042bc9d37fc481ca2b15f46618d7</t>
  </si>
  <si>
    <t>Southwestern Storm</t>
  </si>
  <si>
    <t>Jul 30  2018</t>
  </si>
  <si>
    <t xml:space="preserve"> Jul 31 2018</t>
  </si>
  <si>
    <t>8b3bff7384cfaa945eaf210e4df4692f</t>
  </si>
  <si>
    <t>August Colorado Hail Storm</t>
  </si>
  <si>
    <t>Aug 6  2018</t>
  </si>
  <si>
    <t>Aug 7 2018</t>
  </si>
  <si>
    <t>0c7a625d5077d3baab054e3c91323a77</t>
  </si>
  <si>
    <t>East Coast Severe Thunderstorm</t>
  </si>
  <si>
    <t>Aug11 2018</t>
  </si>
  <si>
    <t xml:space="preserve"> Aug 14 2018</t>
  </si>
  <si>
    <t>8a42fb391ac55add6aac8811ffaea5f5</t>
  </si>
  <si>
    <t>Great Lakes Thunderstorms</t>
  </si>
  <si>
    <t>Aug 27 2018</t>
  </si>
  <si>
    <t xml:space="preserve"> Aug 28 2018</t>
  </si>
  <si>
    <t>7e21ec944d904ced4ee44c4b9104e8e4</t>
  </si>
  <si>
    <t>Upper Midwest Thunderstorms</t>
  </si>
  <si>
    <t>Sep 20  2018</t>
  </si>
  <si>
    <t xml:space="preserve"> Sep 21 2018</t>
  </si>
  <si>
    <t>51331fcd89d45304a118755678da4a8b</t>
  </si>
  <si>
    <t>Southern Midwest Thunderstorms</t>
  </si>
  <si>
    <t>Sep21  2018</t>
  </si>
  <si>
    <t xml:space="preserve"> Sep 24 2018</t>
  </si>
  <si>
    <t>2fcf433e2ef21ffdb3745d4a1ad2faf7</t>
  </si>
  <si>
    <t>Northeastern Thunderstorm</t>
  </si>
  <si>
    <t>Sep 25  2018</t>
  </si>
  <si>
    <t xml:space="preserve"> Sep 26 2018</t>
  </si>
  <si>
    <t>7aaba5f3511f56128e7130c2973e0503</t>
  </si>
  <si>
    <t>California Hail Storm</t>
  </si>
  <si>
    <t>Jul 29  2018</t>
  </si>
  <si>
    <t>3f3d00da06bb333dafc5705b5b29039a</t>
  </si>
  <si>
    <t>Arizona Monsoon</t>
  </si>
  <si>
    <t xml:space="preserve"> Aug 11 2018</t>
  </si>
  <si>
    <t>7a7b4862f2e69483a113f471c2f98acf</t>
  </si>
  <si>
    <t>Colorado Hail and Thunderstorm</t>
  </si>
  <si>
    <t>Jul 4  2019</t>
  </si>
  <si>
    <t xml:space="preserve"> Jul 5 2019</t>
  </si>
  <si>
    <t>86ad2abe9aa87efa03c4bbee3fb005b2</t>
  </si>
  <si>
    <t>DC Area Storm</t>
  </si>
  <si>
    <t>Jul 7  2019</t>
  </si>
  <si>
    <t xml:space="preserve"> Jul 8 2019</t>
  </si>
  <si>
    <t>6b5d0830f5e349e537c9c4d427f2614f</t>
  </si>
  <si>
    <t>Northwestern Thunderstorm</t>
  </si>
  <si>
    <t>Jul 17  2019</t>
  </si>
  <si>
    <t xml:space="preserve"> Jul 18 2019</t>
  </si>
  <si>
    <t>e64a98242922f7799ec4a0ad6999924f</t>
  </si>
  <si>
    <t>Northern Midwest Thunderstorm</t>
  </si>
  <si>
    <t>Jul 19  2019</t>
  </si>
  <si>
    <t xml:space="preserve"> Jul 23 2019</t>
  </si>
  <si>
    <t>d69fe70acfb29c30d1a8a7735bc53b58</t>
  </si>
  <si>
    <t>Minnesota Thunderstorm</t>
  </si>
  <si>
    <t>Jul 26  2019</t>
  </si>
  <si>
    <t xml:space="preserve"> Jul 27 2019</t>
  </si>
  <si>
    <t>acf25149ba32bda3fc88c2abd6eb3e97</t>
  </si>
  <si>
    <t>Northern Great Plains Thunderstorm</t>
  </si>
  <si>
    <t>Aug 4  2019</t>
  </si>
  <si>
    <t xml:space="preserve"> Aug 5 2019</t>
  </si>
  <si>
    <t>2979158b9c1e72755a8961f03e3580f5</t>
  </si>
  <si>
    <t>Dakota Hail Storms</t>
  </si>
  <si>
    <t>Aug 6  2019</t>
  </si>
  <si>
    <t xml:space="preserve"> Aug 6 2019</t>
  </si>
  <si>
    <t>ad7b25e2374b423547e6783add6d7428</t>
  </si>
  <si>
    <t>Montana Thunderstorm</t>
  </si>
  <si>
    <t>Aug 10  2019</t>
  </si>
  <si>
    <t xml:space="preserve"> Aug 11 2019</t>
  </si>
  <si>
    <t>ae93f6696a2a89b67aa6fb45092eded7</t>
  </si>
  <si>
    <t>Central Great Plains Thunderstorms</t>
  </si>
  <si>
    <t>Aug 14  2019</t>
  </si>
  <si>
    <t xml:space="preserve"> Aug 16 2019</t>
  </si>
  <si>
    <t>9016512cbdfaa7634ba35dd446297b7b</t>
  </si>
  <si>
    <t>August Midwestern Storm</t>
  </si>
  <si>
    <t>Aug 17  2019</t>
  </si>
  <si>
    <t xml:space="preserve"> Aug 18 2019</t>
  </si>
  <si>
    <t>1464c98e03f4acaaa81a96ada1b8c61c</t>
  </si>
  <si>
    <t>August Great Plains Thunderstorms</t>
  </si>
  <si>
    <t>Aug 25  2019</t>
  </si>
  <si>
    <t xml:space="preserve"> Aug 26 2019</t>
  </si>
  <si>
    <t>da5cfc421d669f067695b76deae947d9</t>
  </si>
  <si>
    <t>South Dakota Thunderstorms</t>
  </si>
  <si>
    <t>Sep 10  2019</t>
  </si>
  <si>
    <t xml:space="preserve"> Sep 11 2019</t>
  </si>
  <si>
    <t>850618e22f83f152773d2a3e51168812</t>
  </si>
  <si>
    <t>September Midwest Storm</t>
  </si>
  <si>
    <t>Sep 27  2019</t>
  </si>
  <si>
    <t xml:space="preserve"> Sep 28 2019</t>
  </si>
  <si>
    <t>7cbaaa9b7b79120a7e12db5b2e51137f</t>
  </si>
  <si>
    <t>July Northeast Wind and Thunderstorm Event</t>
  </si>
  <si>
    <t>Jul 5 2020</t>
  </si>
  <si>
    <t xml:space="preserve"> July 7 2020</t>
  </si>
  <si>
    <t>8ab40c2001dceb9682e4c6e10cb75b64</t>
  </si>
  <si>
    <t>July Midwest Hail and Tornadoes</t>
  </si>
  <si>
    <t>Jul 10 2020</t>
  </si>
  <si>
    <t xml:space="preserve"> July 12 2020</t>
  </si>
  <si>
    <t>b3a153ec4be947cbee37d78cead6552b</t>
  </si>
  <si>
    <t>July Wind and Thunderstorm Event</t>
  </si>
  <si>
    <t>July 17 2020</t>
  </si>
  <si>
    <t xml:space="preserve"> July 19 2020</t>
  </si>
  <si>
    <t>c4bb5a353be47442aa65df4e7ec64cae</t>
  </si>
  <si>
    <t>Colorado Wind and Thunderstorm Event</t>
  </si>
  <si>
    <t>Aug 4  2020</t>
  </si>
  <si>
    <t xml:space="preserve"> Aug 5 2020</t>
  </si>
  <si>
    <t>745c7d75786602f3105a69845316ff61</t>
  </si>
  <si>
    <t>August Midwest Wind and Thunderstorm Event</t>
  </si>
  <si>
    <t>Aug 8  2020</t>
  </si>
  <si>
    <t xml:space="preserve"> Aug 11 2020</t>
  </si>
  <si>
    <t>47248f6127fcae1dd2b9a47d43aa4c9d</t>
  </si>
  <si>
    <t>August Wind and Thunderstorm Event</t>
  </si>
  <si>
    <t>Aug 13  2020</t>
  </si>
  <si>
    <t xml:space="preserve"> Aug 17 2020</t>
  </si>
  <si>
    <t>a52168f7d6bd25d2d4e7f6a927ce5977</t>
  </si>
  <si>
    <t>August Northeast Wind and Thunderstorm Event</t>
  </si>
  <si>
    <t>Aug 26  2020</t>
  </si>
  <si>
    <t xml:space="preserve"> Aug 28 2020</t>
  </si>
  <si>
    <t>3fd7c6aa5a7c30527f3d2a42f89ca530</t>
  </si>
  <si>
    <t>August Texas Wind and Thunderstorm Event</t>
  </si>
  <si>
    <t>Aug 29   202</t>
  </si>
  <si>
    <t xml:space="preserve"> Aug 30  202</t>
  </si>
  <si>
    <t>4207dd934a10a875741e7c8936bc720f</t>
  </si>
  <si>
    <t>September Wind and Thunderstorm Event</t>
  </si>
  <si>
    <t>Sep 5  2020</t>
  </si>
  <si>
    <t xml:space="preserve"> Sep6 2020</t>
  </si>
  <si>
    <t>05d9badacfacac78a47cc067c4e90353</t>
  </si>
  <si>
    <t>September Wind Event</t>
  </si>
  <si>
    <t>Sep 7  2020</t>
  </si>
  <si>
    <t xml:space="preserve"> Sep9 2020</t>
  </si>
  <si>
    <t>bd5bbd79ead46e4172253e0d862b5246</t>
  </si>
  <si>
    <t>July Midwest Tornadoes and Hail</t>
  </si>
  <si>
    <t>Jul 8  2021</t>
  </si>
  <si>
    <t xml:space="preserve"> Jul 10 2021</t>
  </si>
  <si>
    <t>9dcba86641df3c4ee2ec515eecf72b46</t>
  </si>
  <si>
    <t>July Southwest Wind and Hail</t>
  </si>
  <si>
    <t>Jul 9  2021</t>
  </si>
  <si>
    <t xml:space="preserve"> Jul 11 2021</t>
  </si>
  <si>
    <t>663ad9fa2aa6c2af4e1d8915e2c6fd9a</t>
  </si>
  <si>
    <t>July Southwest Thunderstorms</t>
  </si>
  <si>
    <t>Jul 22  2021</t>
  </si>
  <si>
    <t xml:space="preserve"> Jul 23 2021</t>
  </si>
  <si>
    <t>1e81285f8a20c333002a35aaec157225</t>
  </si>
  <si>
    <t>July Michigan Storms</t>
  </si>
  <si>
    <t>Jul 24  2021</t>
  </si>
  <si>
    <t xml:space="preserve"> Jul 24 2021</t>
  </si>
  <si>
    <t>1d1e62052e90a97409270f31326f5b0e</t>
  </si>
  <si>
    <t>July Severe Storms</t>
  </si>
  <si>
    <t>Jul 28  2021</t>
  </si>
  <si>
    <t xml:space="preserve"> Jul 29 2021</t>
  </si>
  <si>
    <t>10c29792a08f56790e68db8a55f52fc7</t>
  </si>
  <si>
    <t>July Texas Flooding and Hail</t>
  </si>
  <si>
    <t>Aug 1  2021</t>
  </si>
  <si>
    <t xml:space="preserve"> Aug 1 2021</t>
  </si>
  <si>
    <t>02d1c57bee2e1f4096c95c7b1f9f4238</t>
  </si>
  <si>
    <t>Aug Great Plains Storms</t>
  </si>
  <si>
    <t>Aug 7  2021</t>
  </si>
  <si>
    <t xml:space="preserve"> Aug 9 2021</t>
  </si>
  <si>
    <t>f8531013695084f6fd79ed6d8e24b2d6</t>
  </si>
  <si>
    <t>Aug Great Lakes Storms</t>
  </si>
  <si>
    <t>Aug 10  2021</t>
  </si>
  <si>
    <t xml:space="preserve"> Aug 13 2021</t>
  </si>
  <si>
    <t>b1196e4d5f25b0c1c3e45ee482191aad</t>
  </si>
  <si>
    <t>Aug Arizona Wind and Thunderstorm</t>
  </si>
  <si>
    <t xml:space="preserve"> Aug 16 2021</t>
  </si>
  <si>
    <t>5b465c13fd8cac3b9baf4af74bc0069a</t>
  </si>
  <si>
    <t>Aug Southwest Storms</t>
  </si>
  <si>
    <t>Aug 17  2021</t>
  </si>
  <si>
    <t>Aug 19 2021</t>
  </si>
  <si>
    <t>0962e5897373acba79bc05179dd70492</t>
  </si>
  <si>
    <t>Aug Wind and Thunderstorm</t>
  </si>
  <si>
    <t>Aug 26  2021</t>
  </si>
  <si>
    <t xml:space="preserve"> Aug 28 2021</t>
  </si>
  <si>
    <t>23b766e49fad4b4f985175948e10e201</t>
  </si>
  <si>
    <t>Sep. Midwest Storms</t>
  </si>
  <si>
    <t>Sep 6  2021</t>
  </si>
  <si>
    <t xml:space="preserve"> Sep 7 2021</t>
  </si>
  <si>
    <t>0129a222fe10c9896db191c537694699</t>
  </si>
  <si>
    <t>Sep. Wind and Thunderstorm</t>
  </si>
  <si>
    <t>Sep 15  2021</t>
  </si>
  <si>
    <t xml:space="preserve"> Sep 17 2021</t>
  </si>
  <si>
    <t>71173877ba479d192fa6cf41ef10e995</t>
  </si>
  <si>
    <t>Sep. Thunderstorms</t>
  </si>
  <si>
    <t>Sep 24 2021</t>
  </si>
  <si>
    <t xml:space="preserve"> Sep 29 2021</t>
  </si>
  <si>
    <t>21445b7069345a1a850ee2daacfd5d8e</t>
  </si>
  <si>
    <t>July Midwest Storms</t>
  </si>
  <si>
    <t>Jul 2  2022</t>
  </si>
  <si>
    <t xml:space="preserve"> Jul 6 2022</t>
  </si>
  <si>
    <t>976f1ecb676aa1bb3bb86ed84e79cdfa</t>
  </si>
  <si>
    <t>July Midwest Hail and Wind</t>
  </si>
  <si>
    <t>Jul 7  2022</t>
  </si>
  <si>
    <t xml:space="preserve"> Jul 13 2022</t>
  </si>
  <si>
    <t>27c2eee02ba24911d6d88b05da1340f2</t>
  </si>
  <si>
    <t>July Arizona Microburst</t>
  </si>
  <si>
    <t>Jul 16  2022</t>
  </si>
  <si>
    <t xml:space="preserve"> Jul 17 2022</t>
  </si>
  <si>
    <t>da3c55e3be0a795729261bfd8776a627</t>
  </si>
  <si>
    <t>Jul 21  2022</t>
  </si>
  <si>
    <t xml:space="preserve"> Jul 25 2022</t>
  </si>
  <si>
    <t>2bee829bed9516889344bb4a675d7e38</t>
  </si>
  <si>
    <t>July Missouri Flooding</t>
  </si>
  <si>
    <t>Jul 25  2022</t>
  </si>
  <si>
    <t xml:space="preserve"> Jul 28 2022</t>
  </si>
  <si>
    <t>72d77c3011a916a4403e8342c57c6782</t>
  </si>
  <si>
    <t>July Colorado Hail and Wind</t>
  </si>
  <si>
    <t>Jul 26  2022</t>
  </si>
  <si>
    <t>988969200cb769535c9ff0ce49e36719</t>
  </si>
  <si>
    <t>August Western Hail</t>
  </si>
  <si>
    <t>Aug 11  2022</t>
  </si>
  <si>
    <t xml:space="preserve"> Aug 12 2022</t>
  </si>
  <si>
    <t>9087fba46cda4f8063b397bf472f226c</t>
  </si>
  <si>
    <t>August Southwestern Storms</t>
  </si>
  <si>
    <t xml:space="preserve"> Aug 14 2022</t>
  </si>
  <si>
    <t>d23828354a4c3e1d7a9c30e02cde198b</t>
  </si>
  <si>
    <t>August Midwest Storms</t>
  </si>
  <si>
    <t>Aug 18  2022</t>
  </si>
  <si>
    <t xml:space="preserve"> Aug 20 2022</t>
  </si>
  <si>
    <t>950a8aff103afad782f73cd0a48f912a</t>
  </si>
  <si>
    <t>August Southern Flooding</t>
  </si>
  <si>
    <t xml:space="preserve"> Aug 22 2022</t>
  </si>
  <si>
    <t>e3f8cedce7f1fa45b35ceccfdcb7249f</t>
  </si>
  <si>
    <t>August Midwest Wind and Hail</t>
  </si>
  <si>
    <t>Aug 27  2022</t>
  </si>
  <si>
    <t xml:space="preserve"> Aug 29 2022</t>
  </si>
  <si>
    <t>8371d58a2140475594cb7a1c22f0baaa</t>
  </si>
  <si>
    <t>August Texas Rain and Flooding</t>
  </si>
  <si>
    <t>Aug 28  2022</t>
  </si>
  <si>
    <t xml:space="preserve"> Sep 5 2022</t>
  </si>
  <si>
    <t>77ebef784ecdb4ce5591340311adb2e9</t>
  </si>
  <si>
    <t>September Midwest Heavy Rain</t>
  </si>
  <si>
    <t>Sep 11  2022</t>
  </si>
  <si>
    <t xml:space="preserve"> Sep 12 2022</t>
  </si>
  <si>
    <t>c7e791b16611deca87a347c22ce64e11</t>
  </si>
  <si>
    <t>September Midwest Severe Storms</t>
  </si>
  <si>
    <t>Sep 18  2022</t>
  </si>
  <si>
    <t xml:space="preserve"> Sep 21 2022</t>
  </si>
  <si>
    <t>23f1d15c461a87be388777aef426538a</t>
  </si>
  <si>
    <t>PCS No. 1714</t>
  </si>
  <si>
    <t>Feb 7 2017</t>
  </si>
  <si>
    <t>373321f3ae1bebd3f6818359b0f8f6e6</t>
  </si>
  <si>
    <t>PCS No. 1715</t>
  </si>
  <si>
    <t>Feb 16  2017</t>
  </si>
  <si>
    <t xml:space="preserve"> Feb 18 2017</t>
  </si>
  <si>
    <t>690f9037d32604b195becdf8dce82890</t>
  </si>
  <si>
    <t>PCS No. 1716</t>
  </si>
  <si>
    <t>Feb 19  2017</t>
  </si>
  <si>
    <t xml:space="preserve"> Feb 20 2017</t>
  </si>
  <si>
    <t>a26e06b13f79d245c0ea522d3a398da0</t>
  </si>
  <si>
    <t>PCS No. 1717</t>
  </si>
  <si>
    <t xml:space="preserve"> Feb 21 2017</t>
  </si>
  <si>
    <t>a3444e049a3a88560cba360c18001932</t>
  </si>
  <si>
    <t>PCS No. 1718</t>
  </si>
  <si>
    <t>Feb 25 2017</t>
  </si>
  <si>
    <t>d3db718a011f94f39dd49b576d785b08</t>
  </si>
  <si>
    <t>PCS No. 1719</t>
  </si>
  <si>
    <t>Feb 28  2017</t>
  </si>
  <si>
    <t xml:space="preserve"> Mar 2 2017</t>
  </si>
  <si>
    <t>597a335cf6a10ec4f1861d6397a2fcdf</t>
  </si>
  <si>
    <t>Plains And Great Lakes Storms</t>
  </si>
  <si>
    <t>Mar 6  2017</t>
  </si>
  <si>
    <t xml:space="preserve"> Mar 9 2017</t>
  </si>
  <si>
    <t>408ea263486e7815e5e5cce5ee432353</t>
  </si>
  <si>
    <t>PCS No. 1721</t>
  </si>
  <si>
    <t>Mar 21  2017</t>
  </si>
  <si>
    <t xml:space="preserve"> Mar 22 2017</t>
  </si>
  <si>
    <t>3418782f19ba5d9a4e992474eb65d250</t>
  </si>
  <si>
    <t>PCS No. 1722</t>
  </si>
  <si>
    <t>Mar 26  2017</t>
  </si>
  <si>
    <t xml:space="preserve"> Mar 28 2017</t>
  </si>
  <si>
    <t>15322a5c9ba9bef26eb1388393e25a01</t>
  </si>
  <si>
    <t>PCS No. 1723</t>
  </si>
  <si>
    <t>Mar 28  2017</t>
  </si>
  <si>
    <t xml:space="preserve"> Mar 31 2017</t>
  </si>
  <si>
    <t>4768620a673136ae86da54a779b72766</t>
  </si>
  <si>
    <t>PCS No. 1750</t>
  </si>
  <si>
    <t>Oct 14  2017</t>
  </si>
  <si>
    <t xml:space="preserve"> Oct 15 2017</t>
  </si>
  <si>
    <t>9aeadabd8172e574de598c611e410eed</t>
  </si>
  <si>
    <t>PCS No. 1751</t>
  </si>
  <si>
    <t>Oct 23  2017</t>
  </si>
  <si>
    <t xml:space="preserve"> Oct 24 2017</t>
  </si>
  <si>
    <t>ba66841940a5fb383b6258d37ed444dc</t>
  </si>
  <si>
    <t>PCS No. 1752</t>
  </si>
  <si>
    <t>Oct 29  2017</t>
  </si>
  <si>
    <t xml:space="preserve"> Oct 30 2017</t>
  </si>
  <si>
    <t>40ab3567559c1b511cd5f61365aae953</t>
  </si>
  <si>
    <t>Ohio Valley Severe Storms</t>
  </si>
  <si>
    <t>Nov 5  2017</t>
  </si>
  <si>
    <t xml:space="preserve"> Nov 6 2017</t>
  </si>
  <si>
    <t>b527e953c64bdaef2ca06d4b3c4e59b1</t>
  </si>
  <si>
    <t>February Southeast Storm</t>
  </si>
  <si>
    <t>Feb 24 2018</t>
  </si>
  <si>
    <t xml:space="preserve"> Feb 26 2018</t>
  </si>
  <si>
    <t>4c23374db8294de6d286140eee01eb5f</t>
  </si>
  <si>
    <t>Texas Hail Storm</t>
  </si>
  <si>
    <t>Mar 18  2018</t>
  </si>
  <si>
    <t xml:space="preserve"> Mar 21 2018</t>
  </si>
  <si>
    <t>a561e7ebcac8441387d4fe143fdef87f</t>
  </si>
  <si>
    <t>Texas Storm and Flood</t>
  </si>
  <si>
    <t>Oct 15  2018</t>
  </si>
  <si>
    <t xml:space="preserve"> Oct 19 2018</t>
  </si>
  <si>
    <t>76ea811ab0fa4779bc19b003bec98570</t>
  </si>
  <si>
    <t>November Storm and Mudslides</t>
  </si>
  <si>
    <t>Nov 29  2018</t>
  </si>
  <si>
    <t xml:space="preserve"> Dec 2 2018</t>
  </si>
  <si>
    <t>94133569fa68cdac680ed55b978ddb39</t>
  </si>
  <si>
    <t>Pacific Northwest Storms</t>
  </si>
  <si>
    <t>Dec 17  2018</t>
  </si>
  <si>
    <t xml:space="preserve"> Dec 18 2018</t>
  </si>
  <si>
    <t>35ebd81d922e78aa7a2645c737181fa2</t>
  </si>
  <si>
    <t>California Storms</t>
  </si>
  <si>
    <t>Feb1  2019</t>
  </si>
  <si>
    <t xml:space="preserve"> Feb3 2019</t>
  </si>
  <si>
    <t>a4e1d10a7a8bc2dae8f3d9936475502f</t>
  </si>
  <si>
    <t>February Wind Storm</t>
  </si>
  <si>
    <t>Feb 23  2019</t>
  </si>
  <si>
    <t xml:space="preserve"> Feb 25 2019</t>
  </si>
  <si>
    <t>16e12822445d7ba7d4433330dd22b91b</t>
  </si>
  <si>
    <t>Northen California Flooding</t>
  </si>
  <si>
    <t>Feb 26  2019</t>
  </si>
  <si>
    <t xml:space="preserve"> Feb 28 2019</t>
  </si>
  <si>
    <t>6d3b4379cb470122a94f95b809910011</t>
  </si>
  <si>
    <t>Southeast Tornadoes</t>
  </si>
  <si>
    <t>Mar 3  2019</t>
  </si>
  <si>
    <t xml:space="preserve"> Mar 4 2019</t>
  </si>
  <si>
    <t>d3c54c14c14c2f5900dddd0d16974251</t>
  </si>
  <si>
    <t>Texas/Oklahoma Storm</t>
  </si>
  <si>
    <t>Mar 23  2019</t>
  </si>
  <si>
    <t xml:space="preserve"> Mar 25 2019</t>
  </si>
  <si>
    <t>6c412bd41e67b8d773d5651ed76c984e</t>
  </si>
  <si>
    <t>Florida Thunderstorm</t>
  </si>
  <si>
    <t>Mar 26  2019</t>
  </si>
  <si>
    <t xml:space="preserve"> Mar 27 2019</t>
  </si>
  <si>
    <t>159fc249207cc45fd95a7e17308aaba1</t>
  </si>
  <si>
    <t>Northeastern Thunderstorms</t>
  </si>
  <si>
    <t>Oct 16  2019</t>
  </si>
  <si>
    <t xml:space="preserve"> Oct 17 2019</t>
  </si>
  <si>
    <t>ee3e2bda9df62dc0c091db891154cf34</t>
  </si>
  <si>
    <t>Southern Plains Severe Storms</t>
  </si>
  <si>
    <t>Oct 20  2019</t>
  </si>
  <si>
    <t xml:space="preserve"> Oct 21 2019</t>
  </si>
  <si>
    <t>07662abf6d1635f05215d0614a1b6329</t>
  </si>
  <si>
    <t>California Severe Wind Event</t>
  </si>
  <si>
    <t>Oct 26  2019</t>
  </si>
  <si>
    <t xml:space="preserve"> Oct 27 2019</t>
  </si>
  <si>
    <t>88e55a033cf994dc7a12e1cd3bd94148</t>
  </si>
  <si>
    <t>Halloween East Coast Storm</t>
  </si>
  <si>
    <t>Oct 31  2019</t>
  </si>
  <si>
    <t xml:space="preserve"> Nov 1 2019</t>
  </si>
  <si>
    <t>fe6f3afebbe889231eac68c1ba5f8815</t>
  </si>
  <si>
    <t>Arizona Storm</t>
  </si>
  <si>
    <t>Nov 19  2019</t>
  </si>
  <si>
    <t xml:space="preserve"> Nov 21 2019</t>
  </si>
  <si>
    <t>7ed94938c403c962c1798fe420759807</t>
  </si>
  <si>
    <t>Thanksgiving Storm</t>
  </si>
  <si>
    <t>Nov 26  2019</t>
  </si>
  <si>
    <t xml:space="preserve"> Nov 28 2019</t>
  </si>
  <si>
    <t>7fc67a493d49abe6d0500d56675f41b2</t>
  </si>
  <si>
    <t>California November Storms</t>
  </si>
  <si>
    <t xml:space="preserve"> Nov 29 2019</t>
  </si>
  <si>
    <t>55b815e096cacb06e3e556d22e8d106c</t>
  </si>
  <si>
    <t>Louisiana Tornadoes and Storms</t>
  </si>
  <si>
    <t>Dec 16  2019</t>
  </si>
  <si>
    <t xml:space="preserve"> Dec 17 2019</t>
  </si>
  <si>
    <t>301f15170f8fa6dfaac42989e3eed1af</t>
  </si>
  <si>
    <t>Southeast Storms</t>
  </si>
  <si>
    <t>Dec 21  2019</t>
  </si>
  <si>
    <t xml:space="preserve"> Dec 24 2019</t>
  </si>
  <si>
    <t>5855ca6943b39eebcf37a20cf7e4626c</t>
  </si>
  <si>
    <t>Midwest and Southeast Severe Storms</t>
  </si>
  <si>
    <t>Jan10  2020</t>
  </si>
  <si>
    <t xml:space="preserve"> Jan12 2020</t>
  </si>
  <si>
    <t>6eab78f10219a83895b2e2d71dc0656e</t>
  </si>
  <si>
    <t>Southern Wind and Thunderstorm Event</t>
  </si>
  <si>
    <t>Feb 5  2020</t>
  </si>
  <si>
    <t xml:space="preserve"> Feb 8 2020</t>
  </si>
  <si>
    <t>6c6b56eeda970754d230cbfb815779b0</t>
  </si>
  <si>
    <t>California Wind and Thunderstorm Event</t>
  </si>
  <si>
    <t>Feb 8  2020</t>
  </si>
  <si>
    <t xml:space="preserve"> Feb 11 2020</t>
  </si>
  <si>
    <t>20e3c52b6204040da78744a257a6dc73</t>
  </si>
  <si>
    <t>Midwest Wind and Thunderstorm Event</t>
  </si>
  <si>
    <t>Mar 2  2020</t>
  </si>
  <si>
    <t xml:space="preserve"> Mar 4 2020</t>
  </si>
  <si>
    <t>180123dccc1e079eb3dff759832cb255</t>
  </si>
  <si>
    <t>March Midwest and Southern Wind and Thunderstorm Event</t>
  </si>
  <si>
    <t>Mar 17  2020</t>
  </si>
  <si>
    <t xml:space="preserve"> Mar 20 2020</t>
  </si>
  <si>
    <t>f42ecaa3e45ed749f2894e6427e68694</t>
  </si>
  <si>
    <t>March Wind and Thunderstorm Event</t>
  </si>
  <si>
    <t>Mar 27  2020</t>
  </si>
  <si>
    <t xml:space="preserve"> Mar 30 2020</t>
  </si>
  <si>
    <t>1d103fb53db40d37fc4166d697532321</t>
  </si>
  <si>
    <t>January Wind and Tornadoes</t>
  </si>
  <si>
    <t>Jan 25  2021</t>
  </si>
  <si>
    <t xml:space="preserve"> Jan 26 2021</t>
  </si>
  <si>
    <t>2ea3ff45d620f62b6669490c57394f3c</t>
  </si>
  <si>
    <t>Southwestern Wind and Hail</t>
  </si>
  <si>
    <t>Jan 24  2021</t>
  </si>
  <si>
    <t xml:space="preserve"> Jan 27 2021</t>
  </si>
  <si>
    <t>47b263e3b40d20089f2d73695fd2c2bb</t>
  </si>
  <si>
    <t>Feb 25  2021</t>
  </si>
  <si>
    <t xml:space="preserve"> Feb 26 2021</t>
  </si>
  <si>
    <t>6395ac11383a175ff4f80a4c628f64a8</t>
  </si>
  <si>
    <t>March Midwest Thunderstorm</t>
  </si>
  <si>
    <t>Mar 9  2021</t>
  </si>
  <si>
    <t xml:space="preserve"> Mar 11 2021</t>
  </si>
  <si>
    <t>e585c2ea8a6ff12e60c1c3e07d024079</t>
  </si>
  <si>
    <t>March Thunderstorm</t>
  </si>
  <si>
    <t>Mar 15  2021</t>
  </si>
  <si>
    <t xml:space="preserve"> Mar 19 2021</t>
  </si>
  <si>
    <t>f90399d380904e64e59ceb60ce084cf4</t>
  </si>
  <si>
    <t>March Southern Thunderstorm</t>
  </si>
  <si>
    <t>Mar 22  2021</t>
  </si>
  <si>
    <t xml:space="preserve"> Mar 23 2021</t>
  </si>
  <si>
    <t>8569aad08bd79e68d8a5d2b2ee505408</t>
  </si>
  <si>
    <t>March Southern Wind and Hail</t>
  </si>
  <si>
    <t>Mar 24  2021</t>
  </si>
  <si>
    <t xml:space="preserve"> Mar 26 2021</t>
  </si>
  <si>
    <t>e8e64db539e34e76a55975b07ab716ff</t>
  </si>
  <si>
    <t>March US Storm Event</t>
  </si>
  <si>
    <t>Mar 27  2021</t>
  </si>
  <si>
    <t>Mar 29 2021</t>
  </si>
  <si>
    <t>393418aa6851c719aac2d2d6216f5159</t>
  </si>
  <si>
    <t>Sep. Texas Storms</t>
  </si>
  <si>
    <t>Sep 30  2021</t>
  </si>
  <si>
    <t xml:space="preserve"> Oct 2 2021</t>
  </si>
  <si>
    <t>432d21897a775dc82ab5815ac9217fa5</t>
  </si>
  <si>
    <t>Oct Southern Flooding and Hail</t>
  </si>
  <si>
    <t>Oct 4  2021</t>
  </si>
  <si>
    <t xml:space="preserve"> Oct 7 2021</t>
  </si>
  <si>
    <t>710049f9a52cd294d54b75d46ad3d2db</t>
  </si>
  <si>
    <t>Oct Southern Wind and Tornadoes</t>
  </si>
  <si>
    <t>Oct 10  2021</t>
  </si>
  <si>
    <t xml:space="preserve"> Oct 11 2021</t>
  </si>
  <si>
    <t>5ee3d718e484b7fee862c8d6a7b89c84</t>
  </si>
  <si>
    <t>Oct Western Wind and Thunderstorm</t>
  </si>
  <si>
    <t xml:space="preserve"> Oct 12 2021</t>
  </si>
  <si>
    <t>1fda978e43e5b8d6947b190fa7b15c95</t>
  </si>
  <si>
    <t>Oct Midwest Tornadoes</t>
  </si>
  <si>
    <t>Oct 24  2021</t>
  </si>
  <si>
    <t xml:space="preserve"> Oct 25 2021</t>
  </si>
  <si>
    <t>738c875d02a61f56eb30127ae50d0c88</t>
  </si>
  <si>
    <t>Nov Northeast Tornadoes</t>
  </si>
  <si>
    <t>Nov 12 2021</t>
  </si>
  <si>
    <t>Nov 13 2021</t>
  </si>
  <si>
    <t>1441762ea1630bc0605fdcef3984e996</t>
  </si>
  <si>
    <t>Nov Texas Hail Storm</t>
  </si>
  <si>
    <t>Nov 10  2021</t>
  </si>
  <si>
    <t xml:space="preserve"> Nov 11 2021</t>
  </si>
  <si>
    <t>edcb4ffdaa57a1bfa3fecb75aec6e53b</t>
  </si>
  <si>
    <t>December Tornadoes</t>
  </si>
  <si>
    <t>Dec 10  2021</t>
  </si>
  <si>
    <t xml:space="preserve"> Dec 12 2021</t>
  </si>
  <si>
    <t>d9f69d6ca121fc20a0c854b91483958c</t>
  </si>
  <si>
    <t>December Wind and Flooding</t>
  </si>
  <si>
    <t>Dec 13  2021</t>
  </si>
  <si>
    <t xml:space="preserve"> Dec 16 2021</t>
  </si>
  <si>
    <t>8d725eb1826fee2e7d5f852a1d63d14f</t>
  </si>
  <si>
    <t>Texas Winter Thunderstorm</t>
  </si>
  <si>
    <t>Dec 17  2021</t>
  </si>
  <si>
    <t xml:space="preserve"> Dec 18 2021</t>
  </si>
  <si>
    <t>ececec2d9bd1d1b5dd0411fb766e2f70</t>
  </si>
  <si>
    <t>December Southeast Thunderstorm</t>
  </si>
  <si>
    <t>Dec 21  2021</t>
  </si>
  <si>
    <t xml:space="preserve"> Dec 21 2021</t>
  </si>
  <si>
    <t>cef5524641d35342a138832d05ffe4e9</t>
  </si>
  <si>
    <t>Feb Texas Thunderstorm</t>
  </si>
  <si>
    <t>Feb 21  2022</t>
  </si>
  <si>
    <t xml:space="preserve"> Feb 22 2022</t>
  </si>
  <si>
    <t>fd22a77ffd3cc179b3c1407d6ea0637b</t>
  </si>
  <si>
    <t>March Tornadoes and Storms</t>
  </si>
  <si>
    <t>Mar 5  2022</t>
  </si>
  <si>
    <t xml:space="preserve"> Mar 7 2022</t>
  </si>
  <si>
    <t>c6d7395d35ba2f3d2ac7626e19e87d73</t>
  </si>
  <si>
    <t>March Southern Thunderstorms</t>
  </si>
  <si>
    <t>Mar 14  2022</t>
  </si>
  <si>
    <t xml:space="preserve"> Mar 16 2022</t>
  </si>
  <si>
    <t>bcbe273f4a8b880191c91c0b27cc66df</t>
  </si>
  <si>
    <t>March Southern Tornadoes and Hail</t>
  </si>
  <si>
    <t>Mar 21  2022</t>
  </si>
  <si>
    <t xml:space="preserve"> Mar 23 2022</t>
  </si>
  <si>
    <t>47f64e755012d2865986a027f473d3c3</t>
  </si>
  <si>
    <t>March Wind and Thunderstorms</t>
  </si>
  <si>
    <t>Mar 29  2022</t>
  </si>
  <si>
    <t xml:space="preserve"> Apr 1 2022</t>
  </si>
  <si>
    <t>a0ea4e0a2ec1bdc5625b3e941e7ab287</t>
  </si>
  <si>
    <t>October Arizona Storms</t>
  </si>
  <si>
    <t>Oct 1  2022</t>
  </si>
  <si>
    <t xml:space="preserve"> Oct 4 2022</t>
  </si>
  <si>
    <t>cc5e82c68af96ec8554ac4ae9cea008d</t>
  </si>
  <si>
    <t>October Southern Plains Storms</t>
  </si>
  <si>
    <t>Oct 24  2022</t>
  </si>
  <si>
    <t xml:space="preserve"> Oct 25 2022</t>
  </si>
  <si>
    <t>9c8f9728c5c3be5ef64f32ed3d49f02e</t>
  </si>
  <si>
    <t>November Midwest, Plains and Southern Storms</t>
  </si>
  <si>
    <t>Nov 4  2022</t>
  </si>
  <si>
    <t xml:space="preserve"> Nov 5 2022</t>
  </si>
  <si>
    <t>0bfda19bd8d869e39d1996f29b9c6133</t>
  </si>
  <si>
    <t>November Texas Storms</t>
  </si>
  <si>
    <t>Nov 11  2022</t>
  </si>
  <si>
    <t xml:space="preserve"> Nov 11 2022</t>
  </si>
  <si>
    <t>fb7850115a917d3ab720269da3e667de</t>
  </si>
  <si>
    <t>November Southern Storms</t>
  </si>
  <si>
    <t>Nov 29  2022</t>
  </si>
  <si>
    <t xml:space="preserve"> Nov 30 2022</t>
  </si>
  <si>
    <t>8fa350192410b66f44295dc88a5435c5</t>
  </si>
  <si>
    <t>February Midwest South Central Storms</t>
  </si>
  <si>
    <t>Feb 7  2023</t>
  </si>
  <si>
    <t xml:space="preserve"> Feb 9 2023</t>
  </si>
  <si>
    <t>0c66ecade1fe6cf8e9c92080459986ff</t>
  </si>
  <si>
    <t>Jan 12  2023</t>
  </si>
  <si>
    <t xml:space="preserve"> Jan 12 2023</t>
  </si>
  <si>
    <t>38e24a8dc975055bda678660a0620bb6</t>
  </si>
  <si>
    <t>Jan 11  2023</t>
  </si>
  <si>
    <t xml:space="preserve"> Jan 16 2023</t>
  </si>
  <si>
    <t>8549c938065011dc634e597bacb611de</t>
  </si>
  <si>
    <t>Jan 24  2023</t>
  </si>
  <si>
    <t xml:space="preserve"> Jan 24 2023</t>
  </si>
  <si>
    <t>5c9dc137c4e9543d7e4001d7bdef7413</t>
  </si>
  <si>
    <t>Mar 1  2023</t>
  </si>
  <si>
    <t xml:space="preserve"> Mar 3 2023</t>
  </si>
  <si>
    <t>c4c98da153c360c232e1494b9cdd8cea</t>
  </si>
  <si>
    <t>Mar 16  2023</t>
  </si>
  <si>
    <t xml:space="preserve"> Mar 17 2023</t>
  </si>
  <si>
    <t>8153efae49e1b88abeaaef5a05ae14bb</t>
  </si>
  <si>
    <t>Mar 23  2023</t>
  </si>
  <si>
    <t xml:space="preserve"> Mar 28 2023</t>
  </si>
  <si>
    <t>5f75d40f9fe2fba50285983dfddfe82b</t>
  </si>
  <si>
    <t>Mar 30  2023</t>
  </si>
  <si>
    <t xml:space="preserve"> Apr 1 2023</t>
  </si>
  <si>
    <t>eff58775e5cf76bcf61f6c6b36767721</t>
  </si>
  <si>
    <t>PCS No. 1711</t>
  </si>
  <si>
    <t>Jan 1  2017</t>
  </si>
  <si>
    <t xml:space="preserve"> Jan 3 2017</t>
  </si>
  <si>
    <t>25819c8fe224033cc89bafa6a16cdd04</t>
  </si>
  <si>
    <t>Western States Winter Storm</t>
  </si>
  <si>
    <t>Jan 6  2017</t>
  </si>
  <si>
    <t xml:space="preserve"> Jan 9 2017</t>
  </si>
  <si>
    <t>1780e9ba97e0174d231898c0bbfe79b5</t>
  </si>
  <si>
    <t>California And Southeast Storms</t>
  </si>
  <si>
    <t>Jan 18  2017</t>
  </si>
  <si>
    <t xml:space="preserve"> Jan 23 2017</t>
  </si>
  <si>
    <t>3ee2f957cab60715fac7a587a62fab46</t>
  </si>
  <si>
    <t>California Mudslide</t>
  </si>
  <si>
    <t>Jan 8  2018</t>
  </si>
  <si>
    <t xml:space="preserve"> Jan 10 2018</t>
  </si>
  <si>
    <t>ae2308e6a29b8ed8d6cac3410fcf3191</t>
  </si>
  <si>
    <t>Aug 20  2018</t>
  </si>
  <si>
    <t xml:space="preserve"> Aug 21 2018</t>
  </si>
  <si>
    <t>bd226797c6f94e77d81ea064be12e2ee</t>
  </si>
  <si>
    <t>Ohio Severe Storm</t>
  </si>
  <si>
    <t>Dec 28  2019</t>
  </si>
  <si>
    <t xml:space="preserve"> Dec 31 2019</t>
  </si>
  <si>
    <t>04c8c4a7a2d66b7cc814225d70159d9b</t>
  </si>
  <si>
    <t>Jun 6  2020</t>
  </si>
  <si>
    <t xml:space="preserve"> Jun 9 2020</t>
  </si>
  <si>
    <t>40eae2780e80243bf0324b4557ee2fd8</t>
  </si>
  <si>
    <t>October Upper Northeast Wind and Thunderstorm Event</t>
  </si>
  <si>
    <t>Oct 7  2020</t>
  </si>
  <si>
    <t xml:space="preserve"> Oct 8 2020</t>
  </si>
  <si>
    <t>a211ea6965ec4a24fa63078baa56a8d4</t>
  </si>
  <si>
    <t>October Cold Front</t>
  </si>
  <si>
    <t>Oct 25  2020</t>
  </si>
  <si>
    <t xml:space="preserve"> Oct 28 2020</t>
  </si>
  <si>
    <t>9142830d6d64b2525493c9922149ceec</t>
  </si>
  <si>
    <t>November Great Lakes/East Coast Thunderstorm</t>
  </si>
  <si>
    <t>Nov 10  2020</t>
  </si>
  <si>
    <t xml:space="preserve"> Nov 12 2020</t>
  </si>
  <si>
    <t>996c1e5fc73b842fb7a51bafcab3ffce</t>
  </si>
  <si>
    <t>Eastern Wind and Thunderstorm</t>
  </si>
  <si>
    <t>Nov 15  2020</t>
  </si>
  <si>
    <t xml:space="preserve"> Nov 16 2020</t>
  </si>
  <si>
    <t>0841e501109ad2474e51874dc351bd2b</t>
  </si>
  <si>
    <t>Nov/Dec Eastern Wind and Thunderstorm</t>
  </si>
  <si>
    <t>Nov 30  2020</t>
  </si>
  <si>
    <t xml:space="preserve"> Dec 1 2020</t>
  </si>
  <si>
    <t>f9b2c114ad004e341ac06bdb07c62fda</t>
  </si>
  <si>
    <t>Northeastern Christmas Wind and Thunderstorm</t>
  </si>
  <si>
    <t>Dec 24  2020</t>
  </si>
  <si>
    <t xml:space="preserve"> Dec 25 2020</t>
  </si>
  <si>
    <t>58a7e42277b10f6112e4780ac6cde319</t>
  </si>
  <si>
    <t>California Wind and Thunderstorm</t>
  </si>
  <si>
    <t>Jan 17  2021</t>
  </si>
  <si>
    <t xml:space="preserve"> Jan 20 2021</t>
  </si>
  <si>
    <t>22cc70b02596865f1ec15c5b156574fb</t>
  </si>
  <si>
    <t>Jun 7  2021</t>
  </si>
  <si>
    <t xml:space="preserve"> Jun 9 2021</t>
  </si>
  <si>
    <t>9a568a2aa8c19a3155607f84137d92a8</t>
  </si>
  <si>
    <t>Aug 21 2021</t>
  </si>
  <si>
    <t>Aug 22 2021</t>
  </si>
  <si>
    <t>79ed69cea0c5acff725c343bfd68e469</t>
  </si>
  <si>
    <t>Sep 12  2021</t>
  </si>
  <si>
    <t xml:space="preserve"> Sep 16 2021</t>
  </si>
  <si>
    <t>007203e95299b072b3a5e6f1f3d4c725</t>
  </si>
  <si>
    <t xml:space="preserve"> Oct 28 2021</t>
  </si>
  <si>
    <t>f1b0f08180f4711cedb7b7d71ae7d3c6</t>
  </si>
  <si>
    <t>Oct Noreaster</t>
  </si>
  <si>
    <t>Oct 25  2021</t>
  </si>
  <si>
    <t xml:space="preserve"> Oct 27 2021</t>
  </si>
  <si>
    <t>b5e2cbde919747030eea9e4fcf8f36b8</t>
  </si>
  <si>
    <t>Nov 14 2021</t>
  </si>
  <si>
    <t>Nov 16 2021</t>
  </si>
  <si>
    <t>e3998932e2e851de8a24b733628c29de</t>
  </si>
  <si>
    <t>December Western Winter Storm</t>
  </si>
  <si>
    <t>Dec 23  2021</t>
  </si>
  <si>
    <t xml:space="preserve"> Dec 24 2021</t>
  </si>
  <si>
    <t>96b6715edb4b085b70f0cff47d43a1ed</t>
  </si>
  <si>
    <t>Jan California Wind</t>
  </si>
  <si>
    <t>Jan 21  2022</t>
  </si>
  <si>
    <t xml:space="preserve"> Jan 22 2022</t>
  </si>
  <si>
    <t>2d1fc7492245772b81ed0555881afc31</t>
  </si>
  <si>
    <t>Feb Wind and Thunderstorm</t>
  </si>
  <si>
    <t>Feb 16  2022</t>
  </si>
  <si>
    <t xml:space="preserve"> Feb 18 2022</t>
  </si>
  <si>
    <t>ae7ec2b45beed17d0786e97d65a39e8d</t>
  </si>
  <si>
    <t>March Southeastern Storms</t>
  </si>
  <si>
    <t>Mar 11  2022</t>
  </si>
  <si>
    <t xml:space="preserve"> Mar 12 2022</t>
  </si>
  <si>
    <t>28e5d9958f5359e46ea056ecb6684485</t>
  </si>
  <si>
    <t>April Northwest Storms</t>
  </si>
  <si>
    <t>Apr 4  2022</t>
  </si>
  <si>
    <t>d5cc7743b1af1094b27afd0cccd8faee</t>
  </si>
  <si>
    <t>Jun 13  2022</t>
  </si>
  <si>
    <t xml:space="preserve"> Jun 22 2022</t>
  </si>
  <si>
    <t>c355ad5f712913873a1a26edd15c93de</t>
  </si>
  <si>
    <t>October West and South Storms</t>
  </si>
  <si>
    <t>Oct 15  2022</t>
  </si>
  <si>
    <t xml:space="preserve"> Oct 16 2022</t>
  </si>
  <si>
    <t>e7c26e48b7ee853cbf5e49de5d800745</t>
  </si>
  <si>
    <t>November Northwest Storms</t>
  </si>
  <si>
    <t>6e99ed46f817de00fa66a0650286d735</t>
  </si>
  <si>
    <t>December Southern Storms</t>
  </si>
  <si>
    <t>Dec 12  2022</t>
  </si>
  <si>
    <t xml:space="preserve"> Dec 15 2022</t>
  </si>
  <si>
    <t>86db3b646f1bf959eb7fbefcf4ed02d2</t>
  </si>
  <si>
    <t>Feb 15  2023</t>
  </si>
  <si>
    <t xml:space="preserve"> Feb 16 2023</t>
  </si>
  <si>
    <t>98050d16424bad1b20a11b80951999c3</t>
  </si>
  <si>
    <t>January California Floods</t>
  </si>
  <si>
    <t>Jan 17  2023</t>
  </si>
  <si>
    <t xml:space="preserve"> Jan 19 2023</t>
  </si>
  <si>
    <t>f3185c7a754e703e273f163cff3897e5</t>
  </si>
  <si>
    <t>West Coast Earth Movement and Storms</t>
  </si>
  <si>
    <t>Jan 4  2023</t>
  </si>
  <si>
    <t xml:space="preserve"> Jan 10 2023</t>
  </si>
  <si>
    <t>7ac87615974cf475233fff33102414a7</t>
  </si>
  <si>
    <t>Oct 7  2017</t>
  </si>
  <si>
    <t xml:space="preserve"> Oct 9 2017</t>
  </si>
  <si>
    <t>db90e948252c7d1753efe6fc9612dabe</t>
  </si>
  <si>
    <t>Atlas Fire</t>
  </si>
  <si>
    <t>Oct 8  2017</t>
  </si>
  <si>
    <t xml:space="preserve"> Oct 20 2017</t>
  </si>
  <si>
    <t>d118d975f3cdf403187a078f3a06f866</t>
  </si>
  <si>
    <t>Tubbs Fire</t>
  </si>
  <si>
    <t>83584fd991eed3055f7b446843f1200e</t>
  </si>
  <si>
    <t>Mendocino Lake Complex Fire</t>
  </si>
  <si>
    <t>f9c8cde98a8d6dfda2273e26fedaeda8</t>
  </si>
  <si>
    <t>Thomas Fire</t>
  </si>
  <si>
    <t>Dec 4  2017</t>
  </si>
  <si>
    <t xml:space="preserve"> Dec 21 2017</t>
  </si>
  <si>
    <t>07fb6ce39032041f0d9e1cbeb08f2fb2</t>
  </si>
  <si>
    <t>Dec 5  2017</t>
  </si>
  <si>
    <t xml:space="preserve"> Dec 12 2017</t>
  </si>
  <si>
    <t>4e9d4f159d588700cf812f18d9920017</t>
  </si>
  <si>
    <t>Lilac Fire</t>
  </si>
  <si>
    <t>Dec 7  2017</t>
  </si>
  <si>
    <t>2f834c6dc78805618e628fa9f02a39e4</t>
  </si>
  <si>
    <t>Fire - Other</t>
  </si>
  <si>
    <t>Las Vegas Shooting</t>
  </si>
  <si>
    <t>Oct 11 2017</t>
  </si>
  <si>
    <t>7bcab4942f4f7e074eb4f7b4ecdf4f61</t>
  </si>
  <si>
    <t>January Winter Storms</t>
  </si>
  <si>
    <t>Jan 3  2018</t>
  </si>
  <si>
    <t xml:space="preserve"> Jan 6 2018</t>
  </si>
  <si>
    <t>45ebd93b65d907b7f84545b9aed9af8f</t>
  </si>
  <si>
    <t>February Winter Storms</t>
  </si>
  <si>
    <t>Feb 19  2018</t>
  </si>
  <si>
    <t xml:space="preserve"> Feb 22 2018</t>
  </si>
  <si>
    <t>87da4431e0eed76ea31c948f8310ca79</t>
  </si>
  <si>
    <t>Winter Storm Riley</t>
  </si>
  <si>
    <t>Mar 1  2018</t>
  </si>
  <si>
    <t xml:space="preserve"> Mar 3 2018</t>
  </si>
  <si>
    <t>96bcb45a6e30b2b3381934344b10a7ce</t>
  </si>
  <si>
    <t>Winter Storm Quinn</t>
  </si>
  <si>
    <t>Mar 7  2018</t>
  </si>
  <si>
    <t xml:space="preserve"> Mar 8 2018</t>
  </si>
  <si>
    <t>3ab58ac7f8dbc97557145ef30f1a486a</t>
  </si>
  <si>
    <t>Jan 1 2018</t>
  </si>
  <si>
    <t>Jan 19 2018</t>
  </si>
  <si>
    <t>860df126db301831a32055bea29fb4da</t>
  </si>
  <si>
    <t>May 28  2018</t>
  </si>
  <si>
    <t>999adfe23d3bda876af50397a462f7d8</t>
  </si>
  <si>
    <t>Spring Creek Fire</t>
  </si>
  <si>
    <t>Jun 27  2018</t>
  </si>
  <si>
    <t xml:space="preserve"> Jul 11 2018</t>
  </si>
  <si>
    <t>8c2f5f957d2d9711d2fa5d20cfd511e8</t>
  </si>
  <si>
    <t>New Mexico Wildfire</t>
  </si>
  <si>
    <t>May 31  2018</t>
  </si>
  <si>
    <t xml:space="preserve"> Jun 8 2018</t>
  </si>
  <si>
    <t>a588b762d68fe60225d3de3c647a52b9</t>
  </si>
  <si>
    <t>Carr Fire</t>
  </si>
  <si>
    <t>Jul 23  2018</t>
  </si>
  <si>
    <t xml:space="preserve"> Aug 15 2018</t>
  </si>
  <si>
    <t>877d85181eb41f6b8db45bd2d29a97b4</t>
  </si>
  <si>
    <t>Mendocino Complex</t>
  </si>
  <si>
    <t>Jul 27 2018</t>
  </si>
  <si>
    <t xml:space="preserve"> Aug 31 2018</t>
  </si>
  <si>
    <t>4fea1a6421a72296a12cd7898b93858e</t>
  </si>
  <si>
    <t>Sep 3  2018</t>
  </si>
  <si>
    <t xml:space="preserve"> Sep7 2018</t>
  </si>
  <si>
    <t>dd5f1fd8442d4ba6b35dd13c9db44343</t>
  </si>
  <si>
    <t>Sep 13  2018</t>
  </si>
  <si>
    <t xml:space="preserve"> Sep 19 2018</t>
  </si>
  <si>
    <t>58f170c366f582dba770b94119f6099a</t>
  </si>
  <si>
    <t>Oct 10  2018</t>
  </si>
  <si>
    <t xml:space="preserve"> Oct 11 2018</t>
  </si>
  <si>
    <t>706449df952ee5a68b92454ec61a18c4</t>
  </si>
  <si>
    <t>Camp Fire</t>
  </si>
  <si>
    <t>Nov 8  2018</t>
  </si>
  <si>
    <t xml:space="preserve"> Nov 25 2018</t>
  </si>
  <si>
    <t>b9b4228fec4cd35410468b0f59eb955a</t>
  </si>
  <si>
    <t>Woolsey Fire</t>
  </si>
  <si>
    <t xml:space="preserve"> Nov 21 2018</t>
  </si>
  <si>
    <t>58f0c31fbecfaeccb4c08eb37ea9e4f7</t>
  </si>
  <si>
    <t>Northeastern Winter Storm</t>
  </si>
  <si>
    <t>Nov 14  2018</t>
  </si>
  <si>
    <t xml:space="preserve"> Nov16 2018</t>
  </si>
  <si>
    <t>b64f6155563e634a2e0c13b684e73a1f</t>
  </si>
  <si>
    <t>Alaska Earthquake</t>
  </si>
  <si>
    <t>Nov 30  2018</t>
  </si>
  <si>
    <t xml:space="preserve"> Nov 30 2018</t>
  </si>
  <si>
    <t>ef864ebbb6f6386038671578e2548cdf</t>
  </si>
  <si>
    <t>Southeastern Winter Storms</t>
  </si>
  <si>
    <t>Dec 7  2018</t>
  </si>
  <si>
    <t xml:space="preserve"> Dec 10 2018</t>
  </si>
  <si>
    <t>a0db07376ffdd25bdd4eb084b03d5908</t>
  </si>
  <si>
    <t>Northwest Winter Storm</t>
  </si>
  <si>
    <t>Jan 5  2019</t>
  </si>
  <si>
    <t xml:space="preserve"> Jan 6 2019</t>
  </si>
  <si>
    <t>4839e9401ca59a31a153bfc202e3971e</t>
  </si>
  <si>
    <t>California Winter Storm</t>
  </si>
  <si>
    <t>Jan 16  2019</t>
  </si>
  <si>
    <t xml:space="preserve"> Jan 18 2019</t>
  </si>
  <si>
    <t>e35026a2b91f352db22bfef0e693c2e3</t>
  </si>
  <si>
    <t>Jan 20  2019</t>
  </si>
  <si>
    <t xml:space="preserve"> Jan 23 2019</t>
  </si>
  <si>
    <t>edd6a7e04e7f4dd932a5c44f282f9b4e</t>
  </si>
  <si>
    <t>Great Lakes Winter Storm</t>
  </si>
  <si>
    <t>Jan29  2019</t>
  </si>
  <si>
    <t xml:space="preserve"> Feb 1 2019</t>
  </si>
  <si>
    <t>4e8f015d5644555f9723e2468c19fbe4</t>
  </si>
  <si>
    <t>Central and Southern Plains Storm</t>
  </si>
  <si>
    <t>Mar 12  2019</t>
  </si>
  <si>
    <t xml:space="preserve"> Mar 17 2019</t>
  </si>
  <si>
    <t>16d459c4b261f3015061a7cc7362851c</t>
  </si>
  <si>
    <t>Montana Snow Event</t>
  </si>
  <si>
    <t>Mar 6  2019</t>
  </si>
  <si>
    <t xml:space="preserve"> Mar 6 2019</t>
  </si>
  <si>
    <t>63ea2c642aaee001d818604fe1d9a811</t>
  </si>
  <si>
    <t>Southern California Earthquakes</t>
  </si>
  <si>
    <t>8d297a658bd8918ca2428789005950df</t>
  </si>
  <si>
    <t>Jul 10  2019</t>
  </si>
  <si>
    <t>60d2f1e9a5d618bdc95426f85848c724</t>
  </si>
  <si>
    <t>Sep 16  2019</t>
  </si>
  <si>
    <t xml:space="preserve"> Sep 21 2019</t>
  </si>
  <si>
    <t>1d03d95d9ecec536919aef1b00f99915</t>
  </si>
  <si>
    <t>Saddle Ridge Fire</t>
  </si>
  <si>
    <t>Oct 10  2019</t>
  </si>
  <si>
    <t xml:space="preserve"> Oct23 2019</t>
  </si>
  <si>
    <t>4d9b45c6f8d4b9d814b0ca849a6c6dda</t>
  </si>
  <si>
    <t>Oct 18  2019</t>
  </si>
  <si>
    <t xml:space="preserve"> Oct 20 2019</t>
  </si>
  <si>
    <t>8f2ba96517924ee3d08ec132c4bad818</t>
  </si>
  <si>
    <t>Kincade Wildfire</t>
  </si>
  <si>
    <t>Oct 23  2019</t>
  </si>
  <si>
    <t xml:space="preserve"> Nov 6 2019</t>
  </si>
  <si>
    <t>c703c1c23ad683836fe8c1acce9b850a</t>
  </si>
  <si>
    <t>Oct 25  2019</t>
  </si>
  <si>
    <t xml:space="preserve"> Oct 26 2019</t>
  </si>
  <si>
    <t>26c79831bb09706f44a4e975518b1997</t>
  </si>
  <si>
    <t>SoCal Wildfires</t>
  </si>
  <si>
    <t>Oct 21  2019</t>
  </si>
  <si>
    <t xml:space="preserve"> Oct 31 2019</t>
  </si>
  <si>
    <t>0f178c4bac39101d7d38a61e4c420b26</t>
  </si>
  <si>
    <t>Pacific Northwest Flooding Event</t>
  </si>
  <si>
    <t>Feb 6  2020</t>
  </si>
  <si>
    <t xml:space="preserve"> Feb 10 2020</t>
  </si>
  <si>
    <t>88839a645726325fcbd8419f5fb05d45</t>
  </si>
  <si>
    <t>Utah Earthquake</t>
  </si>
  <si>
    <t>Mar 18  2020</t>
  </si>
  <si>
    <t xml:space="preserve"> Mar 18 2020</t>
  </si>
  <si>
    <t>282a2cdbc876bbf52133b885447d4750</t>
  </si>
  <si>
    <t>Riot</t>
  </si>
  <si>
    <t>Minnesota Riots</t>
  </si>
  <si>
    <t>May 26  2020</t>
  </si>
  <si>
    <t xml:space="preserve"> Jun 8 2020</t>
  </si>
  <si>
    <t>93fbe03d0e7b762d188a63f89bc1b75f</t>
  </si>
  <si>
    <t>91024559c37865feea27551343dfafe8</t>
  </si>
  <si>
    <t>Jul 25 2020</t>
  </si>
  <si>
    <t xml:space="preserve"> July 27 2020</t>
  </si>
  <si>
    <t>1cea227cb2ca29383f916aef863a2dd8</t>
  </si>
  <si>
    <t>Jul 30 2020</t>
  </si>
  <si>
    <t>c19dc3cf9b0ced13099cc512d5ccaec4</t>
  </si>
  <si>
    <t>Aug 17  2020</t>
  </si>
  <si>
    <t xml:space="preserve"> Sep 16 2020</t>
  </si>
  <si>
    <t>0d29d12b8c2169b35189bdffd68a7995</t>
  </si>
  <si>
    <t xml:space="preserve"> Sep 22 2020</t>
  </si>
  <si>
    <t>f9d15850234291f8df6f03c468fb5cc7</t>
  </si>
  <si>
    <t>e7a791ef7b3cccca6510dcc82ac48291</t>
  </si>
  <si>
    <t>Aug 18  2020</t>
  </si>
  <si>
    <t xml:space="preserve"> Sep 4 2020</t>
  </si>
  <si>
    <t>482bd57ea95bb42cc15c82d63af42ea9</t>
  </si>
  <si>
    <t>Aug 16  2020</t>
  </si>
  <si>
    <t>aed56e569b6d56dc436e9c9d9bce42dd</t>
  </si>
  <si>
    <t>Sep 4  2020</t>
  </si>
  <si>
    <t xml:space="preserve"> Oct 12 2020</t>
  </si>
  <si>
    <t>b1823297adf46a9cadba8244c11655ad</t>
  </si>
  <si>
    <t>0a3c79e912ed10a932239ea1af3aa9d3</t>
  </si>
  <si>
    <t>9b567223cada8f26e92a5223b1c7d8a8</t>
  </si>
  <si>
    <t>Sep 6  2020</t>
  </si>
  <si>
    <t>4e9f20772a3fa0c83f76dae9c6e06008</t>
  </si>
  <si>
    <t xml:space="preserve"> Oct 10 2020</t>
  </si>
  <si>
    <t>6c23f690da75b90d954fe4d90e42a73d</t>
  </si>
  <si>
    <t xml:space="preserve"> Oct 3 2020</t>
  </si>
  <si>
    <t>8321e047fb413f251abf34adf1e49a1b</t>
  </si>
  <si>
    <t>Sep 14  2020</t>
  </si>
  <si>
    <t xml:space="preserve"> Sep 18 2020</t>
  </si>
  <si>
    <t>06df3703b8d7910418d900604aa1bf86</t>
  </si>
  <si>
    <t>Sep 8  2020</t>
  </si>
  <si>
    <t>b689e747d1360e42e9dbb90fa68d9e83</t>
  </si>
  <si>
    <t>Sep, 7  2020</t>
  </si>
  <si>
    <t>039b9f5c48fb1bbea76b82b43d43ea74</t>
  </si>
  <si>
    <t xml:space="preserve"> Oct 9 2020</t>
  </si>
  <si>
    <t>5e7b46caa9a02a3e3af097af5d27fab5</t>
  </si>
  <si>
    <t>Sep 20  2020</t>
  </si>
  <si>
    <t xml:space="preserve"> Sep 23 2020</t>
  </si>
  <si>
    <t>b398807ae3446a3fc2aface42e1c1aff</t>
  </si>
  <si>
    <t>Sep 27  2020</t>
  </si>
  <si>
    <t xml:space="preserve"> Oct 19 2020</t>
  </si>
  <si>
    <t>cd3ae697a7a2f79d3909f2f6c41b51c7</t>
  </si>
  <si>
    <t xml:space="preserve"> Oct 23 2020</t>
  </si>
  <si>
    <t>5237ae9876978e9caf31d2c54ffdb106</t>
  </si>
  <si>
    <t xml:space="preserve"> Nov 6 2020</t>
  </si>
  <si>
    <t>402505605ae8401eb9598484ae1472ff</t>
  </si>
  <si>
    <t>Oct 9  2020</t>
  </si>
  <si>
    <t>ac539936ccf02065d63dbae632df5d4a</t>
  </si>
  <si>
    <t>Oct 14  2020</t>
  </si>
  <si>
    <t xml:space="preserve"> Nov 9 2020</t>
  </si>
  <si>
    <t>aad82857fab8c954239645e7bf631827</t>
  </si>
  <si>
    <t>Oct 26  2020</t>
  </si>
  <si>
    <t xml:space="preserve"> Nov 7 2020</t>
  </si>
  <si>
    <t>8f1598093c04c82a4dbf0211ede8ed10</t>
  </si>
  <si>
    <t>January NW Winter Storm</t>
  </si>
  <si>
    <t>Jan 11  2021</t>
  </si>
  <si>
    <t xml:space="preserve"> Jan 13 2021</t>
  </si>
  <si>
    <t>1c21b0912f1088c26479be9299203f2b</t>
  </si>
  <si>
    <t>NAM February Winter Storm</t>
  </si>
  <si>
    <t>Feb 12  2021</t>
  </si>
  <si>
    <t xml:space="preserve"> Feb 15 2021</t>
  </si>
  <si>
    <t>f8901656b0f02a487c453b1479be1f46</t>
  </si>
  <si>
    <t>February Eastern Winter Storm</t>
  </si>
  <si>
    <t xml:space="preserve"> Feb 14 2021</t>
  </si>
  <si>
    <t>2854675c4cd60e1c303659b5b78c89fa</t>
  </si>
  <si>
    <t>February Southern Winter Storm</t>
  </si>
  <si>
    <t>Feb 16  2021</t>
  </si>
  <si>
    <t xml:space="preserve"> Feb 20 2021</t>
  </si>
  <si>
    <t>be84663149780a7ca5a112689df4dc7a</t>
  </si>
  <si>
    <t>Jun 18  2021</t>
  </si>
  <si>
    <t xml:space="preserve"> Jun 21 2021</t>
  </si>
  <si>
    <t>db49d990bff2b2c5e1ac041cba78b21c</t>
  </si>
  <si>
    <t>Jul 6  2021</t>
  </si>
  <si>
    <t xml:space="preserve"> Jul 9 2021</t>
  </si>
  <si>
    <t>f3717533a90a8ecb1de730050beab052</t>
  </si>
  <si>
    <t>Bootleg Fire</t>
  </si>
  <si>
    <t xml:space="preserve"> Aug 4 2021</t>
  </si>
  <si>
    <t>aba0914ea8fdd89e9755d3a90ab757ff</t>
  </si>
  <si>
    <t>Dixie Fire</t>
  </si>
  <si>
    <t>Jul 14  2021</t>
  </si>
  <si>
    <t xml:space="preserve"> Oct 5 2021</t>
  </si>
  <si>
    <t>0f6e041384095b93e25ee082e4ceb061</t>
  </si>
  <si>
    <t>Aug 14  2021</t>
  </si>
  <si>
    <t xml:space="preserve"> Aug 18 2021</t>
  </si>
  <si>
    <t>c9cb01d4b65b151ac87d80ce4da3db1b</t>
  </si>
  <si>
    <t>Caldor Fire</t>
  </si>
  <si>
    <t>79eaddfac4d679d6cc0d9b07456c4ae1</t>
  </si>
  <si>
    <t>46e6d0f07b047818edf84360acd315c7</t>
  </si>
  <si>
    <t>Corkscrew Fire</t>
  </si>
  <si>
    <t>Aug 15  2021</t>
  </si>
  <si>
    <t xml:space="preserve"> Aug 30 2021</t>
  </si>
  <si>
    <t>3448ee847ece99c2cc9e25a0a57ffeb5</t>
  </si>
  <si>
    <t>Aug 29  2021</t>
  </si>
  <si>
    <t xml:space="preserve"> Sep 2 2021</t>
  </si>
  <si>
    <t>416b9feb0ec119ee3914f27ceda31d79</t>
  </si>
  <si>
    <t>Marshall Fire</t>
  </si>
  <si>
    <t>Dec 30  2021</t>
  </si>
  <si>
    <t xml:space="preserve"> Jan 3 2021</t>
  </si>
  <si>
    <t>f097e1436435f978e0b8f404c8b848d3</t>
  </si>
  <si>
    <t>Alisal Wildfire</t>
  </si>
  <si>
    <t>Oct 11  2021</t>
  </si>
  <si>
    <t xml:space="preserve"> Oct 31 2021</t>
  </si>
  <si>
    <t>4537a9e98e90f416dadaedd65c416843</t>
  </si>
  <si>
    <t>New Year Winter Storm</t>
  </si>
  <si>
    <t>Jan 1  2022</t>
  </si>
  <si>
    <t xml:space="preserve"> Jan 3 2022</t>
  </si>
  <si>
    <t>c2fe9a007bc6d74f028178c5bb912476</t>
  </si>
  <si>
    <t>Jan Eastern Winter Storm</t>
  </si>
  <si>
    <t>Jan 15  2022</t>
  </si>
  <si>
    <t xml:space="preserve"> Jan 17 2022</t>
  </si>
  <si>
    <t>455b3cee95ff9200035018456ef17edc</t>
  </si>
  <si>
    <t>Feb Winter Storm</t>
  </si>
  <si>
    <t>Feb 2  2022</t>
  </si>
  <si>
    <t xml:space="preserve"> Feb 3 2022</t>
  </si>
  <si>
    <t>b3785677f32d08b06e8ee22caa4ffe69</t>
  </si>
  <si>
    <t>Hermits Peak Fire</t>
  </si>
  <si>
    <t>Apr 6  2022</t>
  </si>
  <si>
    <t xml:space="preserve"> June 17 2022</t>
  </si>
  <si>
    <t>45b9286d3c43405ceea31f47c09a2006</t>
  </si>
  <si>
    <t>Sep 9  2022</t>
  </si>
  <si>
    <t>Sep 12 2022</t>
  </si>
  <si>
    <t>3802a790a46bbd07be516237da0ff53d</t>
  </si>
  <si>
    <t>Nov 9  2022</t>
  </si>
  <si>
    <t>c846afeb972dd0fcad60f3f6194ec0ae</t>
  </si>
  <si>
    <t>December Western Storm</t>
  </si>
  <si>
    <t>Dec 10  2022</t>
  </si>
  <si>
    <t xml:space="preserve"> Dec 12 2022</t>
  </si>
  <si>
    <t>a74e88cfc53686ce828fb037d0f2041e</t>
  </si>
  <si>
    <t>California Late February Winter Storm</t>
  </si>
  <si>
    <t>Feb 26  2023</t>
  </si>
  <si>
    <t xml:space="preserve"> Mar 2 2023</t>
  </si>
  <si>
    <t>69fff0089c76f15d19e8fc6d11532d25</t>
  </si>
  <si>
    <t>February California Winter Storm</t>
  </si>
  <si>
    <t>Feb 21  2023</t>
  </si>
  <si>
    <t xml:space="preserve"> Feb 22 2023</t>
  </si>
  <si>
    <t>e31187e638aaf1bb37a436452de8230e</t>
  </si>
  <si>
    <t>February Central Winter Storms</t>
  </si>
  <si>
    <t xml:space="preserve"> Feb 28 2023</t>
  </si>
  <si>
    <t>58870b99a70bb2a12cdff2aee701d915</t>
  </si>
  <si>
    <t>February Upper Midwest Storm</t>
  </si>
  <si>
    <t xml:space="preserve"> Feb 23 2023</t>
  </si>
  <si>
    <t>8f0c515e934bbf18ceaff7e9782be37e</t>
  </si>
  <si>
    <t>February Winter Storm</t>
  </si>
  <si>
    <t>Feb 2  2023</t>
  </si>
  <si>
    <t xml:space="preserve"> Feb 5 2023</t>
  </si>
  <si>
    <t>a78f38f1d46f350ba1b7685b57d15be3</t>
  </si>
  <si>
    <t>Late February California Winter Storm</t>
  </si>
  <si>
    <t>Feb 23  2023</t>
  </si>
  <si>
    <t xml:space="preserve"> Feb 25 2023</t>
  </si>
  <si>
    <t>bf6359dde093be2a8575fdfd62e5bcb8</t>
  </si>
  <si>
    <t>March Central California Winter Storm</t>
  </si>
  <si>
    <t>Mar 9  2023</t>
  </si>
  <si>
    <t xml:space="preserve"> Mar 12 2023</t>
  </si>
  <si>
    <t>df03af942339bf722676fd2f752f2a1f</t>
  </si>
  <si>
    <t>March Noreaster</t>
  </si>
  <si>
    <t>Mar 13  2023</t>
  </si>
  <si>
    <t xml:space="preserve"> Mar 15 2023</t>
  </si>
  <si>
    <t>27ab2e099af3df31bb3a67cece587ffe</t>
  </si>
  <si>
    <t>PCS No. 2329 March California Winter Storm</t>
  </si>
  <si>
    <t>3065e37608eff557bbbd771c9c0fb34b</t>
  </si>
  <si>
    <t>PCS No. 2331 March Southern California Costal Floods</t>
  </si>
  <si>
    <t>Mar 21  2023</t>
  </si>
  <si>
    <t xml:space="preserve"> Mar 22 2023</t>
  </si>
  <si>
    <t>d737189c860997de183e19bea00ade7b</t>
  </si>
  <si>
    <t>Texas Ice Storm</t>
  </si>
  <si>
    <t>Jan 31  2023</t>
  </si>
  <si>
    <t xml:space="preserve"> Feb 2 2023</t>
  </si>
  <si>
    <t>1a3bdfab1712e521f60a127020afac41</t>
  </si>
  <si>
    <t>Typhoon</t>
  </si>
  <si>
    <t>Typhoon Mawar</t>
  </si>
  <si>
    <t>May 21  2023</t>
  </si>
  <si>
    <t xml:space="preserve"> June 4 2023</t>
  </si>
  <si>
    <t>daccd87747bf3626e603e5750195c368</t>
  </si>
  <si>
    <t>Central Italy Earthquakes</t>
  </si>
  <si>
    <t xml:space="preserve"> Jan 18 2017</t>
  </si>
  <si>
    <t>2b0499a38c552014f2ff4a1df8abe8d2</t>
  </si>
  <si>
    <t>Portugal Fires</t>
  </si>
  <si>
    <t>Oct 15  2017</t>
  </si>
  <si>
    <t xml:space="preserve"> Oct 17 2017</t>
  </si>
  <si>
    <t>f06a642b52d91adfa0168b737bd60db9</t>
  </si>
  <si>
    <t>Oct7  2017</t>
  </si>
  <si>
    <t xml:space="preserve"> Oct9 2017</t>
  </si>
  <si>
    <t>cd0cf300399ab394be7892d2048f7898</t>
  </si>
  <si>
    <t>Volcanic Eruption</t>
  </si>
  <si>
    <t>Volcanic Eruption Mt. Kilauea</t>
  </si>
  <si>
    <t>May 3  2018</t>
  </si>
  <si>
    <t xml:space="preserve"> Aug 23 2018</t>
  </si>
  <si>
    <t>18a7f966b0a5c8bc7da57ca7a7521c4f</t>
  </si>
  <si>
    <t>Ontario Ice Storm</t>
  </si>
  <si>
    <t>Apr 14 2018</t>
  </si>
  <si>
    <t>b1b207a09a44e6a5528fb4c90ae85143</t>
  </si>
  <si>
    <t>Ontario Wind Storm</t>
  </si>
  <si>
    <t>May 4  2018</t>
  </si>
  <si>
    <t xml:space="preserve"> May 4 2018</t>
  </si>
  <si>
    <t>f054b5ec85806d988f6f73518b7ab358</t>
  </si>
  <si>
    <t>Italy Storms</t>
  </si>
  <si>
    <t>Oct 29  2018</t>
  </si>
  <si>
    <t xml:space="preserve"> Nov 4 2018</t>
  </si>
  <si>
    <t>e5d29d3c97a838c22a1f19ece2f45a1a</t>
  </si>
  <si>
    <t>Canadian Winter Storm</t>
  </si>
  <si>
    <t>Feb 21 2019</t>
  </si>
  <si>
    <t>4c72c61607ee5069a12fc62b912c3bdc</t>
  </si>
  <si>
    <t>Germany Hailstorms</t>
  </si>
  <si>
    <t>Jun 10  2019</t>
  </si>
  <si>
    <t xml:space="preserve"> Jun 13 2019</t>
  </si>
  <si>
    <t>9bd78711ca7a73f270c150b52d9756f8</t>
  </si>
  <si>
    <t>Canadian Rainstorm</t>
  </si>
  <si>
    <t>Jun 21  2019</t>
  </si>
  <si>
    <t xml:space="preserve"> Jun 21 2019</t>
  </si>
  <si>
    <t>5b04bd53d09643498576fb2bf876a707</t>
  </si>
  <si>
    <t>Water Damage</t>
  </si>
  <si>
    <t>UK November Floods</t>
  </si>
  <si>
    <t>Nov 6  2019</t>
  </si>
  <si>
    <t xml:space="preserve"> Nov 13 2019</t>
  </si>
  <si>
    <t>aa768fe5e5cf9cfd7ef3e584264107d8</t>
  </si>
  <si>
    <t>Jan 6  2020</t>
  </si>
  <si>
    <t xml:space="preserve"> Jan 7 2020</t>
  </si>
  <si>
    <t>ac09bdc10c90d57bd2d9117485ce3fa7</t>
  </si>
  <si>
    <t>Fort McMurray, Alberta Flooding Event\xa0</t>
  </si>
  <si>
    <t>Apr 26  2020</t>
  </si>
  <si>
    <t xml:space="preserve"> Apr 28 2020</t>
  </si>
  <si>
    <t>d60642d771d69f91ab31dc215ab74b52</t>
  </si>
  <si>
    <t>Greece/Turkey Earthquake</t>
  </si>
  <si>
    <t>Oct 30  2020</t>
  </si>
  <si>
    <t xml:space="preserve"> Nov 3 2020</t>
  </si>
  <si>
    <t>632e701d45bdd7eab08afe74d6bd1534</t>
  </si>
  <si>
    <t>Jul 11  2021</t>
  </si>
  <si>
    <t xml:space="preserve"> Jul 14 2021</t>
  </si>
  <si>
    <t>acec40d7cb2fc91f4fe388dd0fc29d03</t>
  </si>
  <si>
    <t>Greece Forest Fire</t>
  </si>
  <si>
    <t xml:space="preserve"> Aug 12 2021</t>
  </si>
  <si>
    <t>c3fdcb6bbc2bd6e8263cceb41c22b64b</t>
  </si>
  <si>
    <t>Ontario and Quebec Derecho</t>
  </si>
  <si>
    <t>May 21  2022</t>
  </si>
  <si>
    <t xml:space="preserve"> May 21 2022</t>
  </si>
  <si>
    <t>819706c2dff857bc7da716b69357df58</t>
  </si>
  <si>
    <t>June Europe Hail</t>
  </si>
  <si>
    <t>Jun 2  2022</t>
  </si>
  <si>
    <t xml:space="preserve"> Jun 30 2022</t>
  </si>
  <si>
    <t>22203ced961782af57ff7fc13e88a964</t>
  </si>
  <si>
    <t>Feb 5  2023</t>
  </si>
  <si>
    <t xml:space="preserve"> Feb 7 2023</t>
  </si>
  <si>
    <t>0d472bbe89e823508966d89beee51836</t>
  </si>
  <si>
    <t>Apr 29  2023</t>
  </si>
  <si>
    <t xml:space="preserve"> May 31 2023</t>
  </si>
  <si>
    <t>452e59f6084d94442fd8f653932afcb8</t>
  </si>
  <si>
    <t>May1  2023</t>
  </si>
  <si>
    <t xml:space="preserve"> May 10 2023</t>
  </si>
  <si>
    <t>a40a65c95e95cccbda3367d81bd382de</t>
  </si>
  <si>
    <t>May 15  2023</t>
  </si>
  <si>
    <t>ab2c46b4e3b73b8284d14f87c273b4c6</t>
  </si>
  <si>
    <t>Feb 23  2017</t>
  </si>
  <si>
    <t xml:space="preserve"> Feb 24 2017</t>
  </si>
  <si>
    <t>5cd8270fa6b6f7b7e7ee19ab22b8024a</t>
  </si>
  <si>
    <t>Jun 29  2017</t>
  </si>
  <si>
    <t xml:space="preserve"> Jul 1 2017</t>
  </si>
  <si>
    <t>3327825a046f5ff48e57dcc7046e9ee4</t>
  </si>
  <si>
    <t>Oct 16  2017</t>
  </si>
  <si>
    <t xml:space="preserve"> Oct 18 2017</t>
  </si>
  <si>
    <t>062a781089e948d29ba79b89499a1120</t>
  </si>
  <si>
    <t>Windstorm</t>
  </si>
  <si>
    <t>Storm Emma</t>
  </si>
  <si>
    <t>Feb 27  2018</t>
  </si>
  <si>
    <t xml:space="preserve"> Mar 1 2018</t>
  </si>
  <si>
    <t>06992f330e7e9270e0745934c304d173</t>
  </si>
  <si>
    <t>Netherlands-Germany-Northeurope Storm</t>
  </si>
  <si>
    <t xml:space="preserve"> Jan 5 2018</t>
  </si>
  <si>
    <t>d805f6b15edb8bceaf116526fad1609c</t>
  </si>
  <si>
    <t>Aug 23  2018</t>
  </si>
  <si>
    <t>aff2ece53fb372e0a4cbe56c479918c4</t>
  </si>
  <si>
    <t>Storms Ali and Bronagh</t>
  </si>
  <si>
    <t>Sep 19  2018</t>
  </si>
  <si>
    <t xml:space="preserve"> Sep 22 2018</t>
  </si>
  <si>
    <t>0fc58940025dd55d0d280db02d87412c</t>
  </si>
  <si>
    <t>Oct 13  2018</t>
  </si>
  <si>
    <t xml:space="preserve"> Oct 15 2018</t>
  </si>
  <si>
    <t>e271b6eda6d30235aaec1743673316ce</t>
  </si>
  <si>
    <t>Jan 11  2020</t>
  </si>
  <si>
    <t xml:space="preserve"> Jan 16 2020</t>
  </si>
  <si>
    <t>4c649d75fcd644b660b3df0ed5e8c656</t>
  </si>
  <si>
    <t>Feb 13  2020</t>
  </si>
  <si>
    <t xml:space="preserve"> Feb 20 2020</t>
  </si>
  <si>
    <t>7c8fcc11b9e0221bcac8a259c060f9be</t>
  </si>
  <si>
    <t>Feb 28  2020</t>
  </si>
  <si>
    <t xml:space="preserve"> Mar 3 2020</t>
  </si>
  <si>
    <t>aa37c29c8617abcde038d5e0ec298828</t>
  </si>
  <si>
    <t>Aug 24  2020</t>
  </si>
  <si>
    <t xml:space="preserve"> Aug 31 2020</t>
  </si>
  <si>
    <t>873a420964dbfac72c5b49ce65cb1991</t>
  </si>
  <si>
    <t>Sep 17  2020</t>
  </si>
  <si>
    <t xml:space="preserve"> Sep 20 2020</t>
  </si>
  <si>
    <t>40a115d736494ae0bf5b6b65c715868d</t>
  </si>
  <si>
    <t>Oct 2  2020</t>
  </si>
  <si>
    <t xml:space="preserve"> Oct 7 2020</t>
  </si>
  <si>
    <t>bf1c2d09a5b6e5182f66180ce8294ca9</t>
  </si>
  <si>
    <t>Dec 22  2020</t>
  </si>
  <si>
    <t xml:space="preserve"> Jan 1 2020</t>
  </si>
  <si>
    <t>e594b22cf15b445f7476775aa508e9c3</t>
  </si>
  <si>
    <t>Jan 18  2021</t>
  </si>
  <si>
    <t xml:space="preserve"> Jan 25 2021</t>
  </si>
  <si>
    <t>9d88196d9b43925ec4093e0228fd7803</t>
  </si>
  <si>
    <t>Greece Winter Storm MEDEA</t>
  </si>
  <si>
    <t>Feb 13  2021</t>
  </si>
  <si>
    <t xml:space="preserve"> Feb 19 2021</t>
  </si>
  <si>
    <t>2e8abed6b12530e83f890e90ad4fbeb3</t>
  </si>
  <si>
    <t>Thunderstorm and Hail Xero</t>
  </si>
  <si>
    <t>Jun 21  2021</t>
  </si>
  <si>
    <t xml:space="preserve"> Jun 30 2021</t>
  </si>
  <si>
    <t>cad22bbf0e122b133c9ce941b80831e9</t>
  </si>
  <si>
    <t>Cyclone Shaheen</t>
  </si>
  <si>
    <t>Oct 2  2021</t>
  </si>
  <si>
    <t xml:space="preserve"> Oct 6 2021</t>
  </si>
  <si>
    <t>043c00e6c7ff021e8cc4d394d3264cb5</t>
  </si>
  <si>
    <t>Storm Arwen</t>
  </si>
  <si>
    <t>Nov 26  2021</t>
  </si>
  <si>
    <t xml:space="preserve"> Nov 30 2021</t>
  </si>
  <si>
    <t>ffc937399e9985e3399dbff1e4f6fd96</t>
  </si>
  <si>
    <t>Elpis Snowstorm and Freeze</t>
  </si>
  <si>
    <t>Jan 24  2022</t>
  </si>
  <si>
    <t xml:space="preserve"> Jan 26 2022</t>
  </si>
  <si>
    <t>01f302980181fb494f4524da6f6e62ea</t>
  </si>
  <si>
    <t>Storm Malik - Corrie</t>
  </si>
  <si>
    <t>Jan 29  2022</t>
  </si>
  <si>
    <t xml:space="preserve"> Feb 1 2022</t>
  </si>
  <si>
    <t>40ea1761f24e6f9ace3ef78d0d5e9ea4</t>
  </si>
  <si>
    <t>Storm Dudley-Eunice-Ylenia-Xandra-Zeynep</t>
  </si>
  <si>
    <t>Feb 15  2022</t>
  </si>
  <si>
    <t xml:space="preserve"> Feb 21 2022</t>
  </si>
  <si>
    <t>950a1f40ce3f3fda1695bea415338604</t>
  </si>
  <si>
    <t>Storm Franklin</t>
  </si>
  <si>
    <t>Feb 20 2022</t>
  </si>
  <si>
    <t xml:space="preserve"> Feb 24 2022</t>
  </si>
  <si>
    <t>6b5fe66046d3b7a976474329e9c4f781</t>
  </si>
  <si>
    <t xml:space="preserve"> Sep 20 2022</t>
  </si>
  <si>
    <t>c1aa31664c1569818b0494c32981bc4f</t>
  </si>
  <si>
    <t>Aug 25  2017</t>
  </si>
  <si>
    <t xml:space="preserve"> Sep 1 2017</t>
  </si>
  <si>
    <t>33097b67fa51e0115312196ee8231b5b</t>
  </si>
  <si>
    <t>Sep 6  2017</t>
  </si>
  <si>
    <t xml:space="preserve"> Sep 12 2017</t>
  </si>
  <si>
    <t>02a4f95155ad30321d3a88b53b85f2d6</t>
  </si>
  <si>
    <t>Sep 19  2017</t>
  </si>
  <si>
    <t xml:space="preserve"> Sep 22 2017</t>
  </si>
  <si>
    <t>8295ef3608eee6550ef7ef27d4000177</t>
  </si>
  <si>
    <t>UK-Nordics-Germany-Benelux-Mid Jan Storms</t>
  </si>
  <si>
    <t>Jan17  2018</t>
  </si>
  <si>
    <t xml:space="preserve"> Jan19 2018</t>
  </si>
  <si>
    <t>73091f523aa6c6f44674cdb664bf39b3</t>
  </si>
  <si>
    <t>Aug 28  2019</t>
  </si>
  <si>
    <t xml:space="preserve"> Sep 6 2019</t>
  </si>
  <si>
    <t>d59721f6efe2a4c586be94879b47f2b3</t>
  </si>
  <si>
    <t>Storm Ciara/Elsa/Sabine</t>
  </si>
  <si>
    <t>Feb, 8  2020</t>
  </si>
  <si>
    <t xml:space="preserve"> Feb 14 2020</t>
  </si>
  <si>
    <t>0c167b368c00b672390fa54be52468ec</t>
  </si>
  <si>
    <t>Oct 28  2020</t>
  </si>
  <si>
    <t xml:space="preserve"> Oct 29 2020</t>
  </si>
  <si>
    <t>00053f5e11d1fe4e49a221165b39abc9</t>
  </si>
  <si>
    <t>Nov 8  2020</t>
  </si>
  <si>
    <t>fbca336e199c90d72670d50eb650d42a</t>
  </si>
  <si>
    <t>Jul 12  2021</t>
  </si>
  <si>
    <t xml:space="preserve"> Jul 18 2021</t>
  </si>
  <si>
    <t>d064f3519426dcd30114b900431fc044</t>
  </si>
  <si>
    <t>Storm Emmelinde</t>
  </si>
  <si>
    <t xml:space="preserve"> May 24 2022</t>
  </si>
  <si>
    <t>e0908a66106a8ecc4d2eda89df820a98</t>
  </si>
  <si>
    <t>Sep 27  2022</t>
  </si>
  <si>
    <t xml:space="preserve"> Oct 1 2022</t>
  </si>
  <si>
    <t>946d0a5d15b2453834ed5400b57c89c9</t>
  </si>
  <si>
    <t>Winter Storm Elliott</t>
  </si>
  <si>
    <t>Dec 21  2022</t>
  </si>
  <si>
    <t xml:space="preserve"> Dec 25 2022</t>
  </si>
  <si>
    <t>2aac3124e77bcbfd5d0033a31ada2f55</t>
  </si>
  <si>
    <t>Row Labels</t>
  </si>
  <si>
    <t>Sum of ContributionFactor</t>
  </si>
  <si>
    <t>(blank)</t>
  </si>
  <si>
    <t>Grand Total</t>
  </si>
  <si>
    <t>index</t>
  </si>
  <si>
    <t>Cat Code</t>
  </si>
  <si>
    <t>ContributionFactor</t>
  </si>
  <si>
    <t>LOB</t>
  </si>
  <si>
    <t>COMMERCIAL</t>
  </si>
  <si>
    <t>CONSUMER</t>
  </si>
  <si>
    <t>Comm Con</t>
  </si>
  <si>
    <t>completeness_ratio</t>
  </si>
  <si>
    <t>CountryCode</t>
  </si>
  <si>
    <t>GrossIncurred</t>
  </si>
  <si>
    <t>IBNR</t>
  </si>
  <si>
    <t>Commercial</t>
  </si>
  <si>
    <t>Consumer</t>
  </si>
  <si>
    <t>portname</t>
  </si>
  <si>
    <t>2017_COMMERCIAL</t>
  </si>
  <si>
    <t>2017_CONSUMER</t>
  </si>
  <si>
    <t>2018_COMMERCIAL</t>
  </si>
  <si>
    <t>2018_CONSUMER</t>
  </si>
  <si>
    <t>2019_COMMERCIAL</t>
  </si>
  <si>
    <t>2019_CONSUMER</t>
  </si>
  <si>
    <t>2020_COMMERCIAL</t>
  </si>
  <si>
    <t>2020_CONSUMER</t>
  </si>
  <si>
    <t>2021_COMMERCIAL</t>
  </si>
  <si>
    <t>2021_CONSUMER</t>
  </si>
  <si>
    <t>2022_COMMERCIAL</t>
  </si>
  <si>
    <t>2022_CONSUMER</t>
  </si>
  <si>
    <t>2023_COMMERCIAL</t>
  </si>
  <si>
    <t>2023_CONSUMER</t>
  </si>
  <si>
    <t>Peril_Region</t>
  </si>
  <si>
    <t>model_name</t>
  </si>
  <si>
    <t>modelid</t>
  </si>
  <si>
    <t>Peril</t>
  </si>
  <si>
    <t>StartAvailability</t>
  </si>
  <si>
    <t>EndAvailability</t>
  </si>
  <si>
    <t>Vendor</t>
  </si>
  <si>
    <t>modelname</t>
  </si>
  <si>
    <t>CatModelDomainName</t>
  </si>
  <si>
    <t>CS-US</t>
  </si>
  <si>
    <t>USCS</t>
  </si>
  <si>
    <t>REDACTED</t>
  </si>
  <si>
    <t>US_AP</t>
  </si>
  <si>
    <t>EQ-CA</t>
  </si>
  <si>
    <t>CAEQ</t>
  </si>
  <si>
    <t>CA_AP</t>
  </si>
  <si>
    <t>EQ-US</t>
  </si>
  <si>
    <t>USEQ</t>
  </si>
  <si>
    <t>WS-CA</t>
  </si>
  <si>
    <t>CAWS</t>
  </si>
  <si>
    <t>WS-CB</t>
  </si>
  <si>
    <t>CBWS</t>
  </si>
  <si>
    <t>CB_AP</t>
  </si>
  <si>
    <t>WS-EU</t>
  </si>
  <si>
    <t>EUWS</t>
  </si>
  <si>
    <t>EU_WS</t>
  </si>
  <si>
    <t>WS-US</t>
  </si>
  <si>
    <t>USWS</t>
  </si>
  <si>
    <t>WT-CA</t>
  </si>
  <si>
    <t>CAWT</t>
  </si>
  <si>
    <t>CS-CA</t>
  </si>
  <si>
    <t>CACS</t>
  </si>
  <si>
    <t>WT-US</t>
  </si>
  <si>
    <t>USWT</t>
  </si>
  <si>
    <t>WF-US</t>
  </si>
  <si>
    <t>USWF</t>
  </si>
  <si>
    <t>FL-US</t>
  </si>
  <si>
    <t>USFL</t>
  </si>
  <si>
    <t>EQ-EU</t>
  </si>
  <si>
    <t>EUEQ</t>
  </si>
  <si>
    <t>EU_AP</t>
  </si>
  <si>
    <t>EQ-CB</t>
  </si>
  <si>
    <t>CBEQ</t>
  </si>
  <si>
    <t>CB_EQ</t>
  </si>
  <si>
    <t>FL-EU</t>
  </si>
  <si>
    <t>EUFL</t>
  </si>
  <si>
    <t>EU_FL</t>
  </si>
  <si>
    <t>ACEQ</t>
  </si>
  <si>
    <t>ACWS</t>
  </si>
  <si>
    <t>AHEQ</t>
  </si>
  <si>
    <t>APEQ</t>
  </si>
  <si>
    <t>APWS</t>
  </si>
  <si>
    <t>AUCS</t>
  </si>
  <si>
    <t>AUEQ</t>
  </si>
  <si>
    <t>AUWF</t>
  </si>
  <si>
    <t>AUWS</t>
  </si>
  <si>
    <t>CNEQ</t>
  </si>
  <si>
    <t>CNWS</t>
  </si>
  <si>
    <t>CYEQ</t>
  </si>
  <si>
    <t>GBEQ</t>
  </si>
  <si>
    <t>GUEQ</t>
  </si>
  <si>
    <t>GUWS</t>
  </si>
  <si>
    <t>HKEQ</t>
  </si>
  <si>
    <t>HKWS</t>
  </si>
  <si>
    <t>ILEQ</t>
  </si>
  <si>
    <t>INEQ</t>
  </si>
  <si>
    <t>INFL</t>
  </si>
  <si>
    <t>INWS</t>
  </si>
  <si>
    <t>JPEQ</t>
  </si>
  <si>
    <t>JPWS</t>
  </si>
  <si>
    <t>KREQ</t>
  </si>
  <si>
    <t>KRWS</t>
  </si>
  <si>
    <t>MXEQ</t>
  </si>
  <si>
    <t>MXWS</t>
  </si>
  <si>
    <t>NZEQ</t>
  </si>
  <si>
    <t>PHWS</t>
  </si>
  <si>
    <t>PRWS</t>
  </si>
  <si>
    <t>TWEQ</t>
  </si>
  <si>
    <t>TWWS</t>
  </si>
  <si>
    <t>RelatedLossRegion</t>
  </si>
  <si>
    <t>CatDomainDescription</t>
  </si>
  <si>
    <t>Country</t>
  </si>
  <si>
    <t>Caribbean EQ</t>
  </si>
  <si>
    <t>Caribbean Perils</t>
  </si>
  <si>
    <t>US Perils</t>
  </si>
  <si>
    <t>CA Perils</t>
  </si>
  <si>
    <t>EU_EQ</t>
  </si>
  <si>
    <t>EU EQ</t>
  </si>
  <si>
    <t>EU WS</t>
  </si>
  <si>
    <t>EU Perils</t>
  </si>
  <si>
    <t>EU Flood</t>
  </si>
  <si>
    <t>Peril Code</t>
  </si>
  <si>
    <t>ylpr</t>
  </si>
  <si>
    <t>AAL</t>
  </si>
  <si>
    <t>portid</t>
  </si>
  <si>
    <t>analysisname</t>
  </si>
  <si>
    <t>2017-COMMERCIAL-CS-CA</t>
  </si>
  <si>
    <t>2017_COMMERCIAL_CACS</t>
  </si>
  <si>
    <t>2017-COMMERCIAL-CS-US</t>
  </si>
  <si>
    <t>2017_COMMERCIAL_USCS</t>
  </si>
  <si>
    <t>2017-COMMERCIAL-EQ-CA</t>
  </si>
  <si>
    <t>2017_COMMERCIAL_CAEQ</t>
  </si>
  <si>
    <t>2017-COMMERCIAL-EQ-CB</t>
  </si>
  <si>
    <t>2017_COMMERCIAL_CBEQ</t>
  </si>
  <si>
    <t>2017-COMMERCIAL-EQ-EU</t>
  </si>
  <si>
    <t>2017_COMMERCIAL_EUEQ</t>
  </si>
  <si>
    <t>2017-COMMERCIAL-EQ-US</t>
  </si>
  <si>
    <t>2017_COMMERCIAL_USEQ</t>
  </si>
  <si>
    <t>2017-COMMERCIAL-WF-US</t>
  </si>
  <si>
    <t>2017_COMMERCIAL_USWF</t>
  </si>
  <si>
    <t>2017-COMMERCIAL-WS-CB</t>
  </si>
  <si>
    <t>2017_COMMERCIAL_CBWS</t>
  </si>
  <si>
    <t>2017-COMMERCIAL-WS-EU</t>
  </si>
  <si>
    <t>2017_COMMERCIAL_EUWS</t>
  </si>
  <si>
    <t>2017-COMMERCIAL-WS-US</t>
  </si>
  <si>
    <t>2017_COMMERCIAL_USWS</t>
  </si>
  <si>
    <t>2017-COMMERCIAL-WT-US</t>
  </si>
  <si>
    <t>2017_COMMERCIAL_USWT</t>
  </si>
  <si>
    <t>2017-CONSUMER-EQ-EU</t>
  </si>
  <si>
    <t>2017_CONSUMER_EUEQ</t>
  </si>
  <si>
    <t>2017-CONSUMER-EQ-US</t>
  </si>
  <si>
    <t>2017_CONSUMER_USEQ</t>
  </si>
  <si>
    <t>2017-CONSUMER-WF-US</t>
  </si>
  <si>
    <t>2017_CONSUMER_USWF</t>
  </si>
  <si>
    <t>2017-CONSUMER-WS-CB</t>
  </si>
  <si>
    <t>2017_CONSUMER_CBWS</t>
  </si>
  <si>
    <t>2017-CONSUMER-WS-EU</t>
  </si>
  <si>
    <t>2017_CONSUMER_EUWS</t>
  </si>
  <si>
    <t>2017-CONSUMER-WS-US</t>
  </si>
  <si>
    <t>2017_CONSUMER_USWS</t>
  </si>
  <si>
    <t>2018-COMMERCIAL-CS-CA</t>
  </si>
  <si>
    <t>2018_COMMERCIAL_CACS</t>
  </si>
  <si>
    <t>2018-COMMERCIAL-CS-US</t>
  </si>
  <si>
    <t>2018_COMMERCIAL_USCS</t>
  </si>
  <si>
    <t>2018-COMMERCIAL-EQ-CA</t>
  </si>
  <si>
    <t>2018_COMMERCIAL_CAEQ</t>
  </si>
  <si>
    <t>2018-COMMERCIAL-EQ-CB</t>
  </si>
  <si>
    <t>2018_COMMERCIAL_CBEQ</t>
  </si>
  <si>
    <t>2018-COMMERCIAL-EQ-EU</t>
  </si>
  <si>
    <t>2018_COMMERCIAL_EUEQ</t>
  </si>
  <si>
    <t>2018-COMMERCIAL-EQ-US</t>
  </si>
  <si>
    <t>2018_COMMERCIAL_USEQ</t>
  </si>
  <si>
    <t>2018-COMMERCIAL-WF-US</t>
  </si>
  <si>
    <t>2018_COMMERCIAL_USWF</t>
  </si>
  <si>
    <t>2018-COMMERCIAL-WS-CB</t>
  </si>
  <si>
    <t>2018_COMMERCIAL_CBWS</t>
  </si>
  <si>
    <t>2018-COMMERCIAL-WS-EU</t>
  </si>
  <si>
    <t>2018_COMMERCIAL_EUWS</t>
  </si>
  <si>
    <t>2018-COMMERCIAL-WS-US</t>
  </si>
  <si>
    <t>2018_COMMERCIAL_USWS</t>
  </si>
  <si>
    <t>2018-COMMERCIAL-WT-CA</t>
  </si>
  <si>
    <t>2018_COMMERCIAL_CAWT</t>
  </si>
  <si>
    <t>2018-COMMERCIAL-WT-US</t>
  </si>
  <si>
    <t>2018_COMMERCIAL_USWT</t>
  </si>
  <si>
    <t>2018-CONSUMER-CS-US</t>
  </si>
  <si>
    <t>2018_CONSUMER_USCS</t>
  </si>
  <si>
    <t>2018-CONSUMER-EQ-CA</t>
  </si>
  <si>
    <t>2018_CONSUMER_CAEQ</t>
  </si>
  <si>
    <t>2018-CONSUMER-EQ-US</t>
  </si>
  <si>
    <t>2018_CONSUMER_USEQ</t>
  </si>
  <si>
    <t>2018-CONSUMER-WF-US</t>
  </si>
  <si>
    <t>2018_CONSUMER_USWF</t>
  </si>
  <si>
    <t>2018-CONSUMER-WS-US</t>
  </si>
  <si>
    <t>2018_CONSUMER_USWS</t>
  </si>
  <si>
    <t>2018-CONSUMER-WT-US</t>
  </si>
  <si>
    <t>2018_CONSUMER_USWT</t>
  </si>
  <si>
    <t>2019-COMMERCIAL-CS-CA</t>
  </si>
  <si>
    <t>2019_COMMERCIAL_CACS</t>
  </si>
  <si>
    <t>2019-COMMERCIAL-CS-US</t>
  </si>
  <si>
    <t>2019_COMMERCIAL_USCS</t>
  </si>
  <si>
    <t>2019-COMMERCIAL-EQ-CA</t>
  </si>
  <si>
    <t>2019_COMMERCIAL_CAEQ</t>
  </si>
  <si>
    <t>2019-COMMERCIAL-EQ-CB</t>
  </si>
  <si>
    <t>2019_COMMERCIAL_CBEQ</t>
  </si>
  <si>
    <t>2019-COMMERCIAL-EQ-EU</t>
  </si>
  <si>
    <t>2019_COMMERCIAL_EUEQ</t>
  </si>
  <si>
    <t>2019-COMMERCIAL-EQ-US</t>
  </si>
  <si>
    <t>2019_COMMERCIAL_USEQ</t>
  </si>
  <si>
    <t>2019-COMMERCIAL-WF-US</t>
  </si>
  <si>
    <t>2019_COMMERCIAL_USWF</t>
  </si>
  <si>
    <t>2019-COMMERCIAL-WS-CB</t>
  </si>
  <si>
    <t>2019_COMMERCIAL_CBWS</t>
  </si>
  <si>
    <t>2019-COMMERCIAL-WS-EU</t>
  </si>
  <si>
    <t>2019_COMMERCIAL_EUWS</t>
  </si>
  <si>
    <t>2019-COMMERCIAL-WS-US</t>
  </si>
  <si>
    <t>2019_COMMERCIAL_USWS</t>
  </si>
  <si>
    <t>2019-COMMERCIAL-WT-CA</t>
  </si>
  <si>
    <t>2019_COMMERCIAL_CAWT</t>
  </si>
  <si>
    <t>2019-COMMERCIAL-WT-US</t>
  </si>
  <si>
    <t>2019_COMMERCIAL_USWT</t>
  </si>
  <si>
    <t>2019-CONSUMER-CS-US</t>
  </si>
  <si>
    <t>2019_CONSUMER_USCS</t>
  </si>
  <si>
    <t>2019-CONSUMER-EQ-CA</t>
  </si>
  <si>
    <t>2019_CONSUMER_CAEQ</t>
  </si>
  <si>
    <t>2019-CONSUMER-EQ-US</t>
  </si>
  <si>
    <t>2019_CONSUMER_USEQ</t>
  </si>
  <si>
    <t>2019-CONSUMER-WF-US</t>
  </si>
  <si>
    <t>2019_CONSUMER_USWF</t>
  </si>
  <si>
    <t>2019-CONSUMER-WS-US</t>
  </si>
  <si>
    <t>2019_CONSUMER_USWS</t>
  </si>
  <si>
    <t>2019-CONSUMER-WT-US</t>
  </si>
  <si>
    <t>2019_CONSUMER_USWT</t>
  </si>
  <si>
    <t>2020-COMMERCIAL-CS-CA</t>
  </si>
  <si>
    <t>2020_COMMERCIAL_CACS</t>
  </si>
  <si>
    <t>2020-COMMERCIAL-CS-US</t>
  </si>
  <si>
    <t>2020_COMMERCIAL_USCS</t>
  </si>
  <si>
    <t>2020-COMMERCIAL-EQ-CA</t>
  </si>
  <si>
    <t>2020_COMMERCIAL_CAEQ</t>
  </si>
  <si>
    <t>2020-COMMERCIAL-EQ-CB</t>
  </si>
  <si>
    <t>2020_COMMERCIAL_CBEQ</t>
  </si>
  <si>
    <t>2020-COMMERCIAL-EQ-EU</t>
  </si>
  <si>
    <t>2020_COMMERCIAL_EUEQ</t>
  </si>
  <si>
    <t>2020-COMMERCIAL-EQ-US</t>
  </si>
  <si>
    <t>2020_COMMERCIAL_USEQ</t>
  </si>
  <si>
    <t>2020-COMMERCIAL-FL-US</t>
  </si>
  <si>
    <t>2020_COMMERCIAL_USFL</t>
  </si>
  <si>
    <t>2020-COMMERCIAL-WF-US</t>
  </si>
  <si>
    <t>2020_COMMERCIAL_USWF</t>
  </si>
  <si>
    <t>2020-COMMERCIAL-WS-CB</t>
  </si>
  <si>
    <t>2020_COMMERCIAL_CBWS</t>
  </si>
  <si>
    <t>2020-COMMERCIAL-WS-EU</t>
  </si>
  <si>
    <t>2020_COMMERCIAL_EUWS</t>
  </si>
  <si>
    <t>2020-COMMERCIAL-WS-US</t>
  </si>
  <si>
    <t>2020_COMMERCIAL_USWS</t>
  </si>
  <si>
    <t>2020-COMMERCIAL-WT-US</t>
  </si>
  <si>
    <t>2020_COMMERCIAL_USWT</t>
  </si>
  <si>
    <t>2020-CONSUMER-CS-US</t>
  </si>
  <si>
    <t>2020_CONSUMER_USCS</t>
  </si>
  <si>
    <t>2020-CONSUMER-EQ-CA</t>
  </si>
  <si>
    <t>2020_CONSUMER_CAEQ</t>
  </si>
  <si>
    <t>2020-CONSUMER-EQ-US</t>
  </si>
  <si>
    <t>2020_CONSUMER_USEQ</t>
  </si>
  <si>
    <t>2020-CONSUMER-FL-US</t>
  </si>
  <si>
    <t>2020_CONSUMER_USFL</t>
  </si>
  <si>
    <t>2020-CONSUMER-WF-US</t>
  </si>
  <si>
    <t>2020_CONSUMER_USWF</t>
  </si>
  <si>
    <t>2020-CONSUMER-WS-US</t>
  </si>
  <si>
    <t>2020_CONSUMER_USWS</t>
  </si>
  <si>
    <t>2020-CONSUMER-WT-US</t>
  </si>
  <si>
    <t>2020_CONSUMER_USWT</t>
  </si>
  <si>
    <t>2021-COMMERCIAL-CS-CA</t>
  </si>
  <si>
    <t>2021_COMMERCIAL_CACS</t>
  </si>
  <si>
    <t>2021-COMMERCIAL-CS-US</t>
  </si>
  <si>
    <t>2021_COMMERCIAL_USCS</t>
  </si>
  <si>
    <t>2021-COMMERCIAL-EQ-CA</t>
  </si>
  <si>
    <t>2021_COMMERCIAL_CAEQ</t>
  </si>
  <si>
    <t>2021-COMMERCIAL-EQ-CB</t>
  </si>
  <si>
    <t>2021_COMMERCIAL_CBEQ</t>
  </si>
  <si>
    <t>2021-COMMERCIAL-EQ-EU</t>
  </si>
  <si>
    <t>2021_COMMERCIAL_EUEQ</t>
  </si>
  <si>
    <t>2021-COMMERCIAL-EQ-US</t>
  </si>
  <si>
    <t>2021_COMMERCIAL_USEQ</t>
  </si>
  <si>
    <t>2021-COMMERCIAL-FL-US</t>
  </si>
  <si>
    <t>2021_COMMERCIAL_USFL</t>
  </si>
  <si>
    <t>2021-COMMERCIAL-WF-US</t>
  </si>
  <si>
    <t>2021_COMMERCIAL_USWF</t>
  </si>
  <si>
    <t>2021-COMMERCIAL-WS-CA</t>
  </si>
  <si>
    <t>2021_COMMERCIAL_CAWS</t>
  </si>
  <si>
    <t>2021-COMMERCIAL-WS-CB</t>
  </si>
  <si>
    <t>2021_COMMERCIAL_CBWS</t>
  </si>
  <si>
    <t>2021-COMMERCIAL-WS-EU</t>
  </si>
  <si>
    <t>2021_COMMERCIAL_EUWS</t>
  </si>
  <si>
    <t>2021-COMMERCIAL-WS-US</t>
  </si>
  <si>
    <t>2021_COMMERCIAL_USWS</t>
  </si>
  <si>
    <t>2021-COMMERCIAL-WT-CA</t>
  </si>
  <si>
    <t>2021_COMMERCIAL_CAWT</t>
  </si>
  <si>
    <t>2021-COMMERCIAL-WT-US</t>
  </si>
  <si>
    <t>2021_COMMERCIAL_USWT</t>
  </si>
  <si>
    <t>2021-CONSUMER-CS-US</t>
  </si>
  <si>
    <t>2021_CONSUMER_USCS</t>
  </si>
  <si>
    <t>2021-CONSUMER-EQ-CB</t>
  </si>
  <si>
    <t>2021_CONSUMER_CBEQ</t>
  </si>
  <si>
    <t>2021-CONSUMER-EQ-EU</t>
  </si>
  <si>
    <t>2021_CONSUMER_EUEQ</t>
  </si>
  <si>
    <t>2021-CONSUMER-EQ-US</t>
  </si>
  <si>
    <t>2021_CONSUMER_USEQ</t>
  </si>
  <si>
    <t>2021-CONSUMER-FL-US</t>
  </si>
  <si>
    <t>2021_CONSUMER_USFL</t>
  </si>
  <si>
    <t>2021-CONSUMER-WF-US</t>
  </si>
  <si>
    <t>2021_CONSUMER_USWF</t>
  </si>
  <si>
    <t>2021-CONSUMER-WS-CB</t>
  </si>
  <si>
    <t>2021_CONSUMER_CBWS</t>
  </si>
  <si>
    <t>2021-CONSUMER-WS-EU</t>
  </si>
  <si>
    <t>2021_CONSUMER_EUWS</t>
  </si>
  <si>
    <t>2021-CONSUMER-WS-US</t>
  </si>
  <si>
    <t>2021_CONSUMER_USWS</t>
  </si>
  <si>
    <t>2021-CONSUMER-WT-US</t>
  </si>
  <si>
    <t>2021_CONSUMER_USWT</t>
  </si>
  <si>
    <t>2022-COMMERCIAL-CS-CA</t>
  </si>
  <si>
    <t>2022_COMMERCIAL_CACS</t>
  </si>
  <si>
    <t>2022-COMMERCIAL-CS-US</t>
  </si>
  <si>
    <t>2022_COMMERCIAL_USCS</t>
  </si>
  <si>
    <t>2022-COMMERCIAL-EQ-CA</t>
  </si>
  <si>
    <t>2022_COMMERCIAL_CAEQ</t>
  </si>
  <si>
    <t>2022-COMMERCIAL-EQ-CB</t>
  </si>
  <si>
    <t>2022_COMMERCIAL_CBEQ</t>
  </si>
  <si>
    <t>2022-COMMERCIAL-EQ-EU</t>
  </si>
  <si>
    <t>2022_COMMERCIAL_EUEQ</t>
  </si>
  <si>
    <t>2022-COMMERCIAL-EQ-US</t>
  </si>
  <si>
    <t>2022_COMMERCIAL_USEQ</t>
  </si>
  <si>
    <t>2022-COMMERCIAL-FL-US</t>
  </si>
  <si>
    <t>2022_COMMERCIAL_USFL</t>
  </si>
  <si>
    <t>2022-COMMERCIAL-WF-US</t>
  </si>
  <si>
    <t>2022_COMMERCIAL_USWF</t>
  </si>
  <si>
    <t>2022-COMMERCIAL-WS-CA</t>
  </si>
  <si>
    <t>2022_COMMERCIAL_CAWS</t>
  </si>
  <si>
    <t>2022-COMMERCIAL-WS-CB</t>
  </si>
  <si>
    <t>2022_COMMERCIAL_CBWS</t>
  </si>
  <si>
    <t>2022-COMMERCIAL-WS-EU</t>
  </si>
  <si>
    <t>2022_COMMERCIAL_EUWS</t>
  </si>
  <si>
    <t>2022-COMMERCIAL-WS-US</t>
  </si>
  <si>
    <t>2022_COMMERCIAL_USWS</t>
  </si>
  <si>
    <t>2022-COMMERCIAL-WT-CA</t>
  </si>
  <si>
    <t>2022_COMMERCIAL_CAWT</t>
  </si>
  <si>
    <t>2022-COMMERCIAL-WT-US</t>
  </si>
  <si>
    <t>2022_COMMERCIAL_USWT</t>
  </si>
  <si>
    <t>2022-CONSUMER-CS-US</t>
  </si>
  <si>
    <t>2022_CONSUMER_USCS</t>
  </si>
  <si>
    <t>2022-CONSUMER-EQ-CB</t>
  </si>
  <si>
    <t>2022_CONSUMER_CBEQ</t>
  </si>
  <si>
    <t>2022-CONSUMER-EQ-EU</t>
  </si>
  <si>
    <t>2022_CONSUMER_EUEQ</t>
  </si>
  <si>
    <t>2022-CONSUMER-EQ-US</t>
  </si>
  <si>
    <t>2022_CONSUMER_USEQ</t>
  </si>
  <si>
    <t>2022-CONSUMER-FL-US</t>
  </si>
  <si>
    <t>2022_CONSUMER_USFL</t>
  </si>
  <si>
    <t>2022-CONSUMER-WF-US</t>
  </si>
  <si>
    <t>2022_CONSUMER_USWF</t>
  </si>
  <si>
    <t>2022-CONSUMER-WS-CB</t>
  </si>
  <si>
    <t>2022_CONSUMER_CBWS</t>
  </si>
  <si>
    <t>2022-CONSUMER-WS-EU</t>
  </si>
  <si>
    <t>2022_CONSUMER_EUWS</t>
  </si>
  <si>
    <t>2022-CONSUMER-WS-US</t>
  </si>
  <si>
    <t>2022_CONSUMER_USWS</t>
  </si>
  <si>
    <t>2022-CONSUMER-WT-US</t>
  </si>
  <si>
    <t>2022_CONSUMER_USWT</t>
  </si>
  <si>
    <t>2023-COMMERCIAL-CS-CA</t>
  </si>
  <si>
    <t>2023_COMMERCIAL_CACS</t>
  </si>
  <si>
    <t>2023-COMMERCIAL-CS-US</t>
  </si>
  <si>
    <t>2023_COMMERCIAL_USCS</t>
  </si>
  <si>
    <t>2023-COMMERCIAL-EQ-CA</t>
  </si>
  <si>
    <t>2023_COMMERCIAL_CAEQ</t>
  </si>
  <si>
    <t>2023-COMMERCIAL-EQ-CB</t>
  </si>
  <si>
    <t>2023_COMMERCIAL_CBEQ</t>
  </si>
  <si>
    <t>2023-COMMERCIAL-EQ-EU</t>
  </si>
  <si>
    <t>2023_COMMERCIAL_EUEQ</t>
  </si>
  <si>
    <t>2023-COMMERCIAL-EQ-US</t>
  </si>
  <si>
    <t>2023_COMMERCIAL_USEQ</t>
  </si>
  <si>
    <t>2023-COMMERCIAL-FL-US</t>
  </si>
  <si>
    <t>2023_COMMERCIAL_USFL</t>
  </si>
  <si>
    <t>2023-COMMERCIAL-WF-US</t>
  </si>
  <si>
    <t>2023_COMMERCIAL_USWF</t>
  </si>
  <si>
    <t>2023-COMMERCIAL-WS-CA</t>
  </si>
  <si>
    <t>2023_COMMERCIAL_CAWS</t>
  </si>
  <si>
    <t>2023-COMMERCIAL-WS-CB</t>
  </si>
  <si>
    <t>2023_COMMERCIAL_CBWS</t>
  </si>
  <si>
    <t>2023-COMMERCIAL-WS-EU</t>
  </si>
  <si>
    <t>2023_COMMERCIAL_EUWS</t>
  </si>
  <si>
    <t>2023-COMMERCIAL-WS-US</t>
  </si>
  <si>
    <t>2023_COMMERCIAL_USWS</t>
  </si>
  <si>
    <t>2023-COMMERCIAL-WT-CA</t>
  </si>
  <si>
    <t>2023_COMMERCIAL_CAWT</t>
  </si>
  <si>
    <t>2023-COMMERCIAL-WT-US</t>
  </si>
  <si>
    <t>2023_COMMERCIAL_USWT</t>
  </si>
  <si>
    <t>2023-CONSUMER-CS-US</t>
  </si>
  <si>
    <t>2023_CONSUMER_USCS</t>
  </si>
  <si>
    <t>2023-CONSUMER-EQ-EU</t>
  </si>
  <si>
    <t>2023_CONSUMER_EUEQ</t>
  </si>
  <si>
    <t>2023-CONSUMER-EQ-US</t>
  </si>
  <si>
    <t>2023_CONSUMER_USEQ</t>
  </si>
  <si>
    <t>2023-CONSUMER-FL-US</t>
  </si>
  <si>
    <t>2023_CONSUMER_USFL</t>
  </si>
  <si>
    <t>2023-CONSUMER-WF-US</t>
  </si>
  <si>
    <t>2023_CONSUMER_USWF</t>
  </si>
  <si>
    <t>2023-CONSUMER-WS-CB</t>
  </si>
  <si>
    <t>2023_CONSUMER_CBWS</t>
  </si>
  <si>
    <t>2023-CONSUMER-WS-EU</t>
  </si>
  <si>
    <t>2023_CONSUMER_EUWS</t>
  </si>
  <si>
    <t>2023-CONSUMER-WS-US</t>
  </si>
  <si>
    <t>2023_CONSUMER_USWS</t>
  </si>
  <si>
    <t>2023-CONSUMER-WT-US</t>
  </si>
  <si>
    <t>2023_CONSUMER_USWT</t>
  </si>
  <si>
    <t>2021-COMMERCIAL-FL-EU</t>
  </si>
  <si>
    <t>2021_COMMERCIAL_EUFL</t>
  </si>
  <si>
    <t>Return Period</t>
  </si>
  <si>
    <t>Gross Loss AEP</t>
  </si>
  <si>
    <t>Gross Loss OEP</t>
  </si>
  <si>
    <t>eventloss</t>
  </si>
  <si>
    <t>eventid</t>
  </si>
  <si>
    <t>tag</t>
  </si>
  <si>
    <t>modelCount</t>
  </si>
  <si>
    <t>totalLoss</t>
  </si>
  <si>
    <t>http://example.org/eventloss/a7659dae-2dce-426c-99e5-411d36bf5262</t>
  </si>
  <si>
    <t>2021-COMMERCIAL-OO1-US</t>
  </si>
  <si>
    <t>http://example.org/eventloss/260421ee-7701-467c-ba44-c08a54df9178</t>
  </si>
  <si>
    <t>2021-CONSUMER-OO1-US</t>
  </si>
  <si>
    <t>http://example.org/eventloss/30893abb-196d-45c0-a007-549f157a56d3</t>
  </si>
  <si>
    <t>2021-COMMERCIAL-XZ1-US</t>
  </si>
  <si>
    <t>http://example.org/eventloss/43f41c60-5c07-40f6-b635-1c2887f197cb</t>
  </si>
  <si>
    <t>2021-CONSUMER-XZ1-US</t>
  </si>
  <si>
    <t>http://example.org/eventloss/28bb0ead-0548-4f02-949d-a45be898fcff</t>
  </si>
  <si>
    <t>http://example.org/eventloss/1045df6d-b30b-45c1-afc4-6deea6e1a396</t>
  </si>
  <si>
    <t>http://example.org/eventloss/bee58231-5549-447a-be16-3da08b133845</t>
  </si>
  <si>
    <t>2020-CONSUMER-WW1-US</t>
  </si>
  <si>
    <t>http://example.org/eventloss/558619bf-e561-4e14-a608-94105a34eb7e</t>
  </si>
  <si>
    <t>2020-COMMERCIAL-WW1-US</t>
  </si>
  <si>
    <t>http://example.org/eventloss/9acc4f82-406b-4d32-9cda-5454a7e0dcb7</t>
  </si>
  <si>
    <t>2020-CONSUMER-OO1-US</t>
  </si>
  <si>
    <t>http://example.org/eventloss/4fe84a6e-4980-471d-b3df-5ddcffd0498b</t>
  </si>
  <si>
    <t>2020-COMMERCIAL-OO1-US</t>
  </si>
  <si>
    <t>http://example.org/eventloss/69601f15-977a-4667-9409-76ce34f7ee7e</t>
  </si>
  <si>
    <t>2023-COMMERCIAL-XZ1-US</t>
  </si>
  <si>
    <t>http://example.org/eventloss/46ab6575-a0bc-4234-a7f0-d438a63cb9fe</t>
  </si>
  <si>
    <t>2023-CONSUMER-XZ1-US</t>
  </si>
  <si>
    <t>http://example.org/eventloss/2242dccb-7085-43f8-9ec5-59cdae3f2889</t>
  </si>
  <si>
    <t>2018-CONSUMER-WW1-EU</t>
  </si>
  <si>
    <t>http://example.org/eventloss/07849594-4517-45bf-bfb2-71df902ccac7</t>
  </si>
  <si>
    <t>http://example.org/eventloss/f5320014-a6d8-4de1-9a29-fe158223d362</t>
  </si>
  <si>
    <t>2018-COMMERCIAL-WW1-EU</t>
  </si>
  <si>
    <t>http://example.org/eventloss/510dfa8c-e70b-428a-8289-fdaa8d7a16f8</t>
  </si>
  <si>
    <t>http://example.org/eventloss/a87ff660-1e66-4b60-a0cd-057b097fd11e</t>
  </si>
  <si>
    <t>http://example.org/eventloss/9ba93371-5b3a-4e22-b6a4-bdf8231b7ceb</t>
  </si>
  <si>
    <t>2021-CONSUMER-WW1-US</t>
  </si>
  <si>
    <t>http://example.org/eventloss/2798f78b-227f-455d-b4dd-935a6212b804</t>
  </si>
  <si>
    <t>2021-COMMERCIAL-WW1-US</t>
  </si>
  <si>
    <t>http://example.org/eventloss/b1425c8e-ced0-4303-b836-17e33685d26e</t>
  </si>
  <si>
    <t>http://example.org/eventloss/d5d9f306-6695-4b88-be79-b898d99488fb</t>
  </si>
  <si>
    <t>2017-COMMERCIAL-BB1-EU</t>
  </si>
  <si>
    <t>http://example.org/eventloss/f20f1c08-39cb-41a1-a5db-5c24a36b8d92</t>
  </si>
  <si>
    <t>2017-CONSUMER-BB1-EU</t>
  </si>
  <si>
    <t>http://example.org/eventloss/1ce57ded-d33d-41fa-bb5c-faf115d3f93b</t>
  </si>
  <si>
    <t>http://example.org/eventloss/b3abb475-9f22-4fe5-a18c-b271fc097cb7</t>
  </si>
  <si>
    <t>http://example.org/eventloss/6667cd94-5312-4b5b-ad88-ecab6dae6471</t>
  </si>
  <si>
    <t>http://example.org/eventloss/c8056c99-d2e9-4032-a7eb-c3077fa78055</t>
  </si>
  <si>
    <t>http://example.org/eventloss/201d9170-078a-44c9-9829-6bac302feaf6</t>
  </si>
  <si>
    <t>2021-COMMERCIAL-OO1-EU</t>
  </si>
  <si>
    <t>http://example.org/eventloss/559f2e8e-e625-4a3e-99b1-c6cd6a0baacf</t>
  </si>
  <si>
    <t>2021-CONSUMER-OO1-EU</t>
  </si>
  <si>
    <t>http://example.org/eventloss/3afb0b2e-06aa-4c65-9c89-a6bd5b4e99b3</t>
  </si>
  <si>
    <t>http://example.org/eventloss/6d144735-be3b-44c7-b168-e88b8cc8617e</t>
  </si>
  <si>
    <t>http://example.org/eventloss/eb6c1b66-8a81-417b-9b4b-fea50ab81b62</t>
  </si>
  <si>
    <t>http://example.org/eventloss/ae81d5cd-0327-4b13-bc65-29f68087833f</t>
  </si>
  <si>
    <t>http://example.org/eventloss/b4e2ad5b-4878-4240-8bd4-f3af4028d714</t>
  </si>
  <si>
    <t>http://example.org/eventloss/b61e22d2-5eb4-4939-92ac-cff1d66a6c63</t>
  </si>
  <si>
    <t>http://example.org/eventloss/f0786216-9826-4b5b-b2c9-6f10e4a6ca73</t>
  </si>
  <si>
    <t>2018-CONSUMER-XZ1-US</t>
  </si>
  <si>
    <t>http://example.org/eventloss/3c1220d4-4f40-484d-b318-613ddf1f5aa4</t>
  </si>
  <si>
    <t>2018-COMMERCIAL-XZ1-US</t>
  </si>
  <si>
    <t>http://example.org/eventloss/d6092dcd-72b9-48a2-b781-3b5fc4335c3c</t>
  </si>
  <si>
    <t>2018-CONSUMER-ZZ1-US</t>
  </si>
  <si>
    <t>http://example.org/eventloss/1616dd72-79da-4b7a-a2d6-e0a6593faa8a</t>
  </si>
  <si>
    <t>2018-COMMERCIAL-ZZ1-US</t>
  </si>
  <si>
    <t>http://example.org/eventloss/9d15f26b-1a67-4fe7-81eb-8d8286508bba</t>
  </si>
  <si>
    <t>http://example.org/eventloss/1b77c647-d0c1-4219-8819-d5041ec55736</t>
  </si>
  <si>
    <t>http://example.org/eventloss/facc1c95-8d74-42fb-bac1-875a52fa7355</t>
  </si>
  <si>
    <t>http://example.org/eventloss/1e2fc494-36a8-45f3-b96e-ca830c12493a</t>
  </si>
  <si>
    <t>http://example.org/eventloss/d6bf22f4-5900-44e1-aacc-764dede6a75c</t>
  </si>
  <si>
    <t>2017-CONSUMER-XZ1-US</t>
  </si>
  <si>
    <t>http://example.org/eventloss/91186b19-624f-4a1e-9d31-86f37ac0468a</t>
  </si>
  <si>
    <t>2017-COMMERCIAL-XZ1-US</t>
  </si>
  <si>
    <t>http://example.org/eventloss/43eb2ead-bd5d-4d79-a935-8768c773088b</t>
  </si>
  <si>
    <t>2020-CONSUMER-XZ1-US</t>
  </si>
  <si>
    <t>http://example.org/eventloss/8baecc15-9910-475f-9261-d97860168bee</t>
  </si>
  <si>
    <t>2020-COMMERCIAL-XZ1-US</t>
  </si>
  <si>
    <t>http://example.org/eventloss/6e137579-c912-4290-9a14-70f544699dee</t>
  </si>
  <si>
    <t>2020-CONSUMER-BB1-US</t>
  </si>
  <si>
    <t>http://example.org/eventloss/ab526a99-57e8-4b20-8014-712998d25c90</t>
  </si>
  <si>
    <t>2020-COMMERCIAL-BB1-US</t>
  </si>
  <si>
    <t>http://example.org/eventloss/adce54c7-0d95-4e77-af08-cb77d2522a56</t>
  </si>
  <si>
    <t>2023-CONSUMER-WW1-EU</t>
  </si>
  <si>
    <t>http://example.org/eventloss/6caa51b8-23ce-425b-8877-186510afabe3</t>
  </si>
  <si>
    <t>2023-COMMERCIAL-WW1-EU</t>
  </si>
  <si>
    <t>http://example.org/eventloss/f7bc78da-7220-48e9-a858-c3973ff5dc62</t>
  </si>
  <si>
    <t>http://example.org/eventloss/b560d476-ee14-48c9-a78b-ed055e140cbe</t>
  </si>
  <si>
    <t>http://example.org/eventloss/50bb3faa-90b6-4c01-a0a9-d4da2728c127</t>
  </si>
  <si>
    <t>2022-COMMERCIAL-WW1-EU</t>
  </si>
  <si>
    <t>http://example.org/eventloss/bb7c5388-0876-4c6b-ad51-a1ba713b8a84</t>
  </si>
  <si>
    <t>http://example.org/eventloss/2fa65d91-e602-4880-b833-8f1d2368efe9</t>
  </si>
  <si>
    <t>http://example.org/eventloss/611361eb-19c0-4fa9-b02b-f42162bab8c6</t>
  </si>
  <si>
    <t>2022-CONSUMER-WW1-EU</t>
  </si>
  <si>
    <t>http://example.org/eventloss/c0d56e12-f41b-46ae-9523-c45c354baef1</t>
  </si>
  <si>
    <t>http://example.org/eventloss/dff665ff-c816-41eb-9841-87446d52ec31</t>
  </si>
  <si>
    <t>http://example.org/eventloss/629b9076-40b3-4273-97fc-ee91484f2181</t>
  </si>
  <si>
    <t>2017-COMMERCIAL-OO1-US</t>
  </si>
  <si>
    <t>http://example.org/eventloss/28178d25-cbf4-49c4-965a-fc38f7902712</t>
  </si>
  <si>
    <t>2017-CONSUMER-OO1-US</t>
  </si>
  <si>
    <t>http://example.org/eventloss/40b4b7f4-4f3f-4022-93c9-45078a507e72</t>
  </si>
  <si>
    <t>2022-COMMERCIAL-XZ1-US</t>
  </si>
  <si>
    <t>http://example.org/eventloss/a662c494-cb8c-4533-81e2-5ea26b328f40</t>
  </si>
  <si>
    <t>2022-CONSUMER-XZ1-US</t>
  </si>
  <si>
    <t>http://example.org/eventloss/aaddf23c-f508-45d9-a901-e27eed5557a8</t>
  </si>
  <si>
    <t>2018-COMMERCIAL-QLS-US</t>
  </si>
  <si>
    <t>http://example.org/eventloss/ed58480f-4de0-4cff-83f4-eda4d615801a</t>
  </si>
  <si>
    <t>2018-CONSUMER-QLS-US</t>
  </si>
  <si>
    <t>http://example.org/eventloss/5615a268-7173-437e-bf00-0652357069a8</t>
  </si>
  <si>
    <t>2018-COMMERCIAL-OO1-EU</t>
  </si>
  <si>
    <t>http://example.org/eventloss/b86ca8bc-b5d6-4d83-9b75-662dc8817cc0</t>
  </si>
  <si>
    <t>2018-CONSUMER-OO1-EU</t>
  </si>
  <si>
    <t>http://example.org/eventloss/b4a9d84a-789c-469c-84d1-fc38626ed42c</t>
  </si>
  <si>
    <t>http://example.org/eventloss/ad848dae-e23e-40db-b2c3-c7156e3fcc32</t>
  </si>
  <si>
    <t>http://example.org/eventloss/545e4f1b-fb2a-4506-ba74-ee473d4dc4d8</t>
  </si>
  <si>
    <t>http://example.org/eventloss/1dfda432-a6a8-42f9-b216-baec0237d136</t>
  </si>
  <si>
    <t>http://example.org/eventloss/fa935831-a8b3-44c1-b3c8-079e35b456af</t>
  </si>
  <si>
    <t>2018-CONSUMER-BB1-US</t>
  </si>
  <si>
    <t>http://example.org/eventloss/afbc842c-c344-4df8-b559-e6ced066ec8d</t>
  </si>
  <si>
    <t>2018-COMMERCIAL-BB1-US</t>
  </si>
  <si>
    <t>http://example.org/eventloss/5c388c58-d8e7-4a16-99e0-bbf97832f872</t>
  </si>
  <si>
    <t>2021-CONSUMER-BB1-EU</t>
  </si>
  <si>
    <t>http://example.org/eventloss/d3ccfcdb-6c3b-4376-9bf9-b8d00ed22d37</t>
  </si>
  <si>
    <t>2021-COMMERCIAL-BB1-EU</t>
  </si>
  <si>
    <t>http://example.org/eventloss/0fe57ad0-2f7f-4c62-a2ab-f8cfeaf6dc1a</t>
  </si>
  <si>
    <t>2021-COMMERCIAL-QQ1-EU</t>
  </si>
  <si>
    <t>http://example.org/eventloss/f00106bc-66ec-4242-8912-e8a92f4f2c22</t>
  </si>
  <si>
    <t>2021-CONSUMER-QQ1-EU</t>
  </si>
  <si>
    <t>http://example.org/eventloss/6c025949-d5bf-462b-896e-fb3a6b338571</t>
  </si>
  <si>
    <t>http://example.org/eventloss/f6ccbb2e-90ce-480d-8ce2-3e8c5379434f</t>
  </si>
  <si>
    <t>http://example.org/eventloss/552f4bf0-08f3-430b-ae54-e27ab556c456</t>
  </si>
  <si>
    <t>2017-CONSUMER-WW1-EU</t>
  </si>
  <si>
    <t>http://example.org/eventloss/3fb1731b-3dfc-4269-a6bb-51d95832bab0</t>
  </si>
  <si>
    <t>2017-COMMERCIAL-WW1-EU</t>
  </si>
  <si>
    <t>http://example.org/eventloss/0e881778-199b-455d-8779-ebe6d2023842</t>
  </si>
  <si>
    <t>http://example.org/eventloss/c27b8c70-b61b-41a2-b2dd-47d06172add4</t>
  </si>
  <si>
    <t>2018-CONSUMER-QLS-EU</t>
  </si>
  <si>
    <t>http://example.org/eventloss/ae214d10-56f2-4ad7-8467-f7fb8c5dfca1</t>
  </si>
  <si>
    <t>2018-COMMERCIAL-QLS-EU</t>
  </si>
  <si>
    <t>http://example.org/eventloss/5727503f-ebb8-4a61-bd99-ef65e5b540af</t>
  </si>
  <si>
    <t>http://example.org/eventloss/9326be46-54ef-4a63-b746-a3ae600b596c</t>
  </si>
  <si>
    <t>http://example.org/eventloss/c9bcc49c-ae56-44cd-a3d4-bf49a9595f1c</t>
  </si>
  <si>
    <t>http://example.org/eventloss/38bb9120-ef0d-4b07-abe2-667bd0ed3130</t>
  </si>
  <si>
    <t>2017-CONSUMER-BB1-US</t>
  </si>
  <si>
    <t>http://example.org/eventloss/f7dd67c8-d084-4dc6-a007-3b5eb08b8320</t>
  </si>
  <si>
    <t>2017-COMMERCIAL-BB1-US</t>
  </si>
  <si>
    <t>http://example.org/eventloss/1664f59f-7f8d-4ebc-bf77-42373caea7a8</t>
  </si>
  <si>
    <t>http://example.org/eventloss/28305a82-414f-4779-968a-ab450c912818</t>
  </si>
  <si>
    <t>http://example.org/eventloss/678a9cc1-f8f5-4dda-a8b6-deb023a20387</t>
  </si>
  <si>
    <t>2023-CONSUMER-QQ1-EU</t>
  </si>
  <si>
    <t>http://example.org/eventloss/9f2a86ec-8e69-4e9b-8a13-2919d22e8003</t>
  </si>
  <si>
    <t>2023-COMMERCIAL-QQ1-EU</t>
  </si>
  <si>
    <t>http://example.org/eventloss/759c2f6f-7079-45d4-ba32-d33406c87525</t>
  </si>
  <si>
    <t>2020-COMMERCIAL-WW1-EU</t>
  </si>
  <si>
    <t>http://example.org/eventloss/02c6a955-e146-439b-add7-3d45d201cdd7</t>
  </si>
  <si>
    <t>2020-CONSUMER-WW1-EU</t>
  </si>
  <si>
    <t>http://example.org/eventloss/a3489b60-b5f0-4760-bcae-e46690d2137c</t>
  </si>
  <si>
    <t>2019-COMMERCIAL-WW1-CB</t>
  </si>
  <si>
    <t>http://example.org/eventloss/647c91de-d4af-425e-9891-c7af74f06ec0</t>
  </si>
  <si>
    <t>2019-COMMERCIAL-OO1-CB</t>
  </si>
  <si>
    <t>http://example.org/eventloss/35e9fcf6-7a10-4b44-ac5f-b31eba98e982</t>
  </si>
  <si>
    <t>2019-CONSUMER-OO1-CB</t>
  </si>
  <si>
    <t>http://example.org/eventloss/2d9d059a-b0d6-4231-a529-343d7eac1ace</t>
  </si>
  <si>
    <t>2019-CONSUMER-WW1-US</t>
  </si>
  <si>
    <t>http://example.org/eventloss/e231cf61-d358-49e2-8708-a25c622ec91f</t>
  </si>
  <si>
    <t>2019-COMMERCIAL-OO1-US</t>
  </si>
  <si>
    <t>http://example.org/eventloss/497ef944-b5fa-4273-b7ce-0418f095d967</t>
  </si>
  <si>
    <t>2019-COMMERCIAL-WW1-US</t>
  </si>
  <si>
    <t>http://example.org/eventloss/ba7aaf40-d681-448e-be5c-d405ca209b4e</t>
  </si>
  <si>
    <t>2019-CONSUMER-WW1-CB</t>
  </si>
  <si>
    <t>http://example.org/eventloss/d587e49b-184e-4feb-9157-03f0be6c5d91</t>
  </si>
  <si>
    <t>2019-CONSUMER-OO1-US</t>
  </si>
  <si>
    <t>http://example.org/eventloss/8c5e5cf1-07b8-46e4-b79c-0e928843e363</t>
  </si>
  <si>
    <t>2019-CONSUMER-XZ1-US</t>
  </si>
  <si>
    <t>http://example.org/eventloss/b213a293-fa2a-4d7c-b876-b15ef33c93e3</t>
  </si>
  <si>
    <t>2019-COMMERCIAL-XZ1-US</t>
  </si>
  <si>
    <t>http://example.org/eventloss/f31702ea-abf5-4f12-ab6a-48679a92920b</t>
  </si>
  <si>
    <t>2021-CONSUMER-BB1-US</t>
  </si>
  <si>
    <t>http://example.org/eventloss/7e0fa30c-bba6-4580-94d5-ac2b8d181ab4</t>
  </si>
  <si>
    <t>2021-COMMERCIAL-BB1-US</t>
  </si>
  <si>
    <t>http://example.org/eventloss/60820bc4-29da-41fb-a5ea-5ed469971517</t>
  </si>
  <si>
    <t>http://example.org/eventloss/00b24669-e9c3-4632-815f-b72990f58f32</t>
  </si>
  <si>
    <t>http://example.org/eventloss/1c4569f0-6a1d-4176-95b8-e6773ec60a6c</t>
  </si>
  <si>
    <t>http://example.org/eventloss/a0233903-d668-4e7d-8d83-c056489da02d</t>
  </si>
  <si>
    <t>http://example.org/eventloss/d6b17d68-d9ac-4953-86ae-f5f40f57a8c2</t>
  </si>
  <si>
    <t>http://example.org/eventloss/1b3440e4-b32a-4b01-8a17-81bf5fc74233</t>
  </si>
  <si>
    <t>http://example.org/eventloss/ec21f8c8-a8e8-432c-8244-5ffe0ac82ffd</t>
  </si>
  <si>
    <t>2022-COMMERCIAL-OO1-US</t>
  </si>
  <si>
    <t>http://example.org/eventloss/3666ce89-d091-4b6a-8336-a05c9d08b270</t>
  </si>
  <si>
    <t>2022-CONSUMER-OO1-US</t>
  </si>
  <si>
    <t>http://example.org/eventloss/62d7df3d-7a0f-49ed-9d92-f95bf997529f</t>
  </si>
  <si>
    <t>2021-CONSUMER-BB1-CA</t>
  </si>
  <si>
    <t>http://example.org/eventloss/ee942675-e426-4a55-baac-121ce8047dda</t>
  </si>
  <si>
    <t>2021-COMMERCIAL-BB1-CA</t>
  </si>
  <si>
    <t>http://example.org/eventloss/0ab42958-21ed-4b64-8d03-c6dae86b1cef</t>
  </si>
  <si>
    <t>http://example.org/eventloss/7a631a9e-3b97-48d4-9c37-b53958be6a31</t>
  </si>
  <si>
    <t>http://example.org/eventloss/c7ea69e9-c24b-456c-a20f-62f916b63a84</t>
  </si>
  <si>
    <t>http://example.org/eventloss/90bce79b-7177-4a74-8388-1c3b6a0ff013</t>
  </si>
  <si>
    <t>http://example.org/eventloss/c7911d72-94ed-4cc8-ad12-cbed7f1a709c</t>
  </si>
  <si>
    <t>http://example.org/eventloss/7c9bfa99-9193-4741-9cfe-eb480499ff53</t>
  </si>
  <si>
    <t>http://example.org/eventloss/20aa6e31-690d-459f-90d8-30470ef6694e</t>
  </si>
  <si>
    <t>http://example.org/eventloss/e23c2251-e3d2-41a7-b5ff-3867264369ba</t>
  </si>
  <si>
    <t>http://example.org/eventloss/53ec1246-f7ee-4c33-b7d2-5f4e993601ea</t>
  </si>
  <si>
    <t>http://example.org/eventloss/f6cef286-380e-463a-9d8c-1abf67151ff4</t>
  </si>
  <si>
    <t>http://example.org/eventloss/06fbfe5b-13b2-4000-88b2-994f0fc2ce49</t>
  </si>
  <si>
    <t>2022-COMMERCIAL-ZZ1-US</t>
  </si>
  <si>
    <t>http://example.org/eventloss/97b9bcaf-0a7f-467a-ab1e-47acc0b44b82</t>
  </si>
  <si>
    <t>2022-CONSUMER-ZZ1-US</t>
  </si>
  <si>
    <t>http://example.org/eventloss/b6eaa4a9-4e37-446e-8a5d-86ed47ef1e4a</t>
  </si>
  <si>
    <t>2020-CONSUMER-OO1-CA</t>
  </si>
  <si>
    <t>http://example.org/eventloss/36240b77-3dbb-43f2-9764-447bc0a3ab38</t>
  </si>
  <si>
    <t>2020-COMMERCIAL-OO1-CA</t>
  </si>
  <si>
    <t>http://example.org/eventloss/be52f12a-79b3-4f93-b878-e9956b1a0639</t>
  </si>
  <si>
    <t>2017-CONSUMER-ZZ1-US</t>
  </si>
  <si>
    <t>http://example.org/eventloss/e6eb100c-5c41-4f0f-ade2-6a86628c2ae6</t>
  </si>
  <si>
    <t>2017-COMMERCIAL-ZZ1-US</t>
  </si>
  <si>
    <t>http://example.org/eventloss/d63dcb25-2c3b-4a02-8477-955e679c6e7e</t>
  </si>
  <si>
    <t>http://example.org/eventloss/8696159e-63c3-4fc2-b17f-f222afbfb6e5</t>
  </si>
  <si>
    <t>http://example.org/eventloss/152bed6f-571d-4368-a014-0531c120fe66</t>
  </si>
  <si>
    <t>http://example.org/eventloss/c4170c59-5c13-4185-9fbe-b27f917cdae4</t>
  </si>
  <si>
    <t>http://example.org/eventloss/78868018-afce-4c3e-a8d5-0cda21683a64</t>
  </si>
  <si>
    <t>http://example.org/eventloss/053a0817-2c13-4bbb-bee3-a85d382dc3a9</t>
  </si>
  <si>
    <t>http://example.org/eventloss/78317534-477f-4a49-97bc-78ce9f2ff99c</t>
  </si>
  <si>
    <t>http://example.org/eventloss/500bad33-2edf-468a-86b4-6387d5fc302e</t>
  </si>
  <si>
    <t>http://example.org/eventloss/65cd1119-b7f0-4caa-a472-14f621d7325e</t>
  </si>
  <si>
    <t>http://example.org/eventloss/15aa4b08-29c4-407a-9529-451867583a00</t>
  </si>
  <si>
    <t>http://example.org/eventloss/576add9b-a602-40a5-bf6b-3ae9404accb9</t>
  </si>
  <si>
    <t>http://example.org/eventloss/3006c150-c75d-44fa-b6a6-024929903525</t>
  </si>
  <si>
    <t>http://example.org/eventloss/1483dcd6-8b29-426f-8b16-96ceab82300a</t>
  </si>
  <si>
    <t>2017-COMMERCIAL-OO1-EU</t>
  </si>
  <si>
    <t>http://example.org/eventloss/73aef3f0-1aa5-4bf8-92a6-8766198ad08f</t>
  </si>
  <si>
    <t>2017-CONSUMER-OO1-EU</t>
  </si>
  <si>
    <t>http://example.org/eventloss/48fd6e9a-c7a7-4c5c-b7ab-bcfee5d42452</t>
  </si>
  <si>
    <t>2020-CONSUMER-OO1-EU</t>
  </si>
  <si>
    <t>http://example.org/eventloss/96ced45a-05cc-4c5d-9f7e-aa0b71bf9ffe</t>
  </si>
  <si>
    <t>2020-COMMERCIAL-OO1-EU</t>
  </si>
  <si>
    <t>http://example.org/eventloss/7ceccc86-f5c4-47a1-b932-3d4e2ed5e1f0</t>
  </si>
  <si>
    <t>2018-COMMERCIAL-OO1-US</t>
  </si>
  <si>
    <t>http://example.org/eventloss/cf1497fc-8eb3-4ffc-bf98-b7e3d72f04fb</t>
  </si>
  <si>
    <t>2018-CONSUMER-OO1-US</t>
  </si>
  <si>
    <t>http://example.org/eventloss/bbab7901-064f-42e2-96d1-a1a570b5d890</t>
  </si>
  <si>
    <t>http://example.org/eventloss/78c92743-889a-40c2-a1aa-64f2834a39bc</t>
  </si>
  <si>
    <t>http://example.org/eventloss/b8fc2946-3da9-49cd-ac2a-790a144da88c</t>
  </si>
  <si>
    <t>2021-COMMERCIAL-ZZ1-US</t>
  </si>
  <si>
    <t>http://example.org/eventloss/e99b10f4-3153-4155-88f5-caa256be29d3</t>
  </si>
  <si>
    <t>2021-CONSUMER-ZZ1-US</t>
  </si>
  <si>
    <t>http://example.org/eventloss/545e7216-5b20-49f9-aecf-0764002406b3</t>
  </si>
  <si>
    <t>http://example.org/eventloss/e488206d-ab40-4cc3-9391-a899e69ee2a6</t>
  </si>
  <si>
    <t>http://example.org/eventloss/3be71339-5fc5-45f0-9378-0269adcf2d16</t>
  </si>
  <si>
    <t>2018-CONSUMER-XZ1-CA</t>
  </si>
  <si>
    <t>http://example.org/eventloss/c5c682ae-15c7-4053-bf3c-e7678dca1f39</t>
  </si>
  <si>
    <t>2018-COMMERCIAL-XZ1-CA</t>
  </si>
  <si>
    <t>http://example.org/eventloss/478921f0-21e7-4dc7-ab71-edcfc477facb</t>
  </si>
  <si>
    <t>http://example.org/eventloss/ff22b8f4-133d-4b8e-b12a-c218d756fd96</t>
  </si>
  <si>
    <t>http://example.org/eventloss/3376d3d3-426e-4be4-a046-2f30e83ab8fd</t>
  </si>
  <si>
    <t>2022-CONSUMER-OO1-CB</t>
  </si>
  <si>
    <t>http://example.org/eventloss/53434170-3a4b-4011-97aa-31338341cbe6</t>
  </si>
  <si>
    <t>2022-COMMERCIAL-OO1-CB</t>
  </si>
  <si>
    <t>http://example.org/eventloss/987d47ff-e7a2-4dcc-ace8-27503a2f680e</t>
  </si>
  <si>
    <t>http://example.org/eventloss/4dbc997e-405c-4202-bcd0-1e92142b3d3f</t>
  </si>
  <si>
    <t>http://example.org/eventloss/523e7377-076d-41ec-8a92-519b30481fee</t>
  </si>
  <si>
    <t>http://example.org/eventloss/20559da6-c98d-4f1d-a965-8196c01ea98b</t>
  </si>
  <si>
    <t>http://example.org/eventloss/4fb45610-8ed3-44b3-85dc-bf0f25e559fa</t>
  </si>
  <si>
    <t>http://example.org/eventloss/d57e1837-0b92-43cb-a4b9-d7f4bd06dbd3</t>
  </si>
  <si>
    <t>http://example.org/eventloss/992e0ace-f599-4602-aef1-f8acc288dcdc</t>
  </si>
  <si>
    <t>2020-COMMERCIAL-WW1-CB</t>
  </si>
  <si>
    <t>http://example.org/eventloss/cb04a7d2-860d-43fc-99cd-067bf99e32c9</t>
  </si>
  <si>
    <t>http://example.org/eventloss/c338669c-f115-4960-a597-baffd865f42a</t>
  </si>
  <si>
    <t>http://example.org/eventloss/9ac5ae7c-00db-489c-91bc-3c5e74aaa582</t>
  </si>
  <si>
    <t>2020-CONSUMER-WW1-CB</t>
  </si>
  <si>
    <t>http://example.org/eventloss/227d4d97-5444-4d3e-a422-068a8d3d19d1</t>
  </si>
  <si>
    <t>http://example.org/eventloss/307f21e0-f976-4ad2-ba2c-560c2b3e8c3f</t>
  </si>
  <si>
    <t>http://example.org/eventloss/5e8b24da-577d-4787-b33e-8f0b07bff530</t>
  </si>
  <si>
    <t>http://example.org/eventloss/7038b109-0802-4ea3-80b1-f7e45a6166e7</t>
  </si>
  <si>
    <t>http://example.org/eventloss/2aaaf86b-9fb3-4a33-b6ef-e0d8b66cc2f5</t>
  </si>
  <si>
    <t>http://example.org/eventloss/303ca955-688c-4bf4-9ce3-0f886351da7c</t>
  </si>
  <si>
    <t>http://example.org/eventloss/2d68325e-df02-47d9-8dce-a720e199e518</t>
  </si>
  <si>
    <t>2018-COMMERCIAL-WW1-US</t>
  </si>
  <si>
    <t>http://example.org/eventloss/f9cab235-202e-4dfe-a019-18e6a1607352</t>
  </si>
  <si>
    <t>2018-CONSUMER-WW1-US</t>
  </si>
  <si>
    <t>http://example.org/eventloss/8907a708-70df-45b5-a18d-39edb4072009</t>
  </si>
  <si>
    <t>http://example.org/eventloss/b1797205-cff3-44d1-b3ee-a8db1c360273</t>
  </si>
  <si>
    <t>http://example.org/eventloss/78e294e1-80ff-401d-9fa6-e7be12f305fa</t>
  </si>
  <si>
    <t>http://example.org/eventloss/ca54b84f-6164-4b69-ae9c-051708228556</t>
  </si>
  <si>
    <t>http://example.org/eventloss/69ac21e8-a92b-4572-87f9-80c46c6198e0</t>
  </si>
  <si>
    <t>http://example.org/eventloss/2b635b4d-0d4d-4d46-9b0d-ff5651b92568</t>
  </si>
  <si>
    <t>http://example.org/eventloss/4be68abd-959a-4efb-ab5e-b39c9bed0387</t>
  </si>
  <si>
    <t>http://example.org/eventloss/47babc7d-a2a4-4ad8-a187-2c0994dd1867</t>
  </si>
  <si>
    <t>http://example.org/eventloss/ad25f66c-1431-4986-a2be-8882f558b434</t>
  </si>
  <si>
    <t>http://example.org/eventloss/36845be4-abba-42ac-ac5a-88327237445b</t>
  </si>
  <si>
    <t>http://example.org/eventloss/f0b57ce0-10f6-4b9f-a4dd-3f1cc6689f33</t>
  </si>
  <si>
    <t>http://example.org/eventloss/d6f77d91-3a27-4945-9107-51640556359e</t>
  </si>
  <si>
    <t>http://example.org/eventloss/73c7f1f2-ed5e-48ec-baaf-67268718b080</t>
  </si>
  <si>
    <t>http://example.org/eventloss/94235d43-9ef1-4233-8fff-39dc0c45af7a</t>
  </si>
  <si>
    <t>http://example.org/eventloss/9d91752a-36ce-433b-86ed-b1782f00853b</t>
  </si>
  <si>
    <t>http://example.org/eventloss/0a26be75-8666-4208-83ad-4eef8d17a781</t>
  </si>
  <si>
    <t>http://example.org/eventloss/3527d8f3-876f-4a31-8ac7-d9cac0022e3d</t>
  </si>
  <si>
    <t>http://example.org/eventloss/c4e380a3-2422-4111-8d6d-4b3ce85c6d52</t>
  </si>
  <si>
    <t>http://example.org/eventloss/780bbb12-3352-484a-aadd-d2f856977513</t>
  </si>
  <si>
    <t>2022-COMMERCIAL-QQ1-US</t>
  </si>
  <si>
    <t>http://example.org/eventloss/7956ec42-629e-495d-868f-0fa19d95ee28</t>
  </si>
  <si>
    <t>2022-CONSUMER-QQ1-US</t>
  </si>
  <si>
    <t>http://example.org/eventloss/0edf15ee-aad1-49bd-94d7-80272a91fa2d</t>
  </si>
  <si>
    <t>2023-CONSUMER-WW1-US</t>
  </si>
  <si>
    <t>http://example.org/eventloss/dd0797c3-de37-445d-aa3b-db6250960281</t>
  </si>
  <si>
    <t>2023-CONSUMER-OO1-US</t>
  </si>
  <si>
    <t>http://example.org/eventloss/24bfc14d-6852-4c3e-9051-cda4b2538cc8</t>
  </si>
  <si>
    <t>2023-COMMERCIAL-WW1-US</t>
  </si>
  <si>
    <t>http://example.org/eventloss/34df09e1-67b4-478e-a5df-81bb70ee1368</t>
  </si>
  <si>
    <t>2023-COMMERCIAL-OO1-US</t>
  </si>
  <si>
    <t>http://example.org/eventloss/641253f5-2325-4efa-8082-099b6d37bd53</t>
  </si>
  <si>
    <t>http://example.org/eventloss/e5b63ac5-726d-42de-b06b-df02f6e5dd96</t>
  </si>
  <si>
    <t>http://example.org/eventloss/09a9637f-e835-4649-838e-570b9ab24a65</t>
  </si>
  <si>
    <t>http://example.org/eventloss/9abdb13c-d5b4-4163-9bd0-b927892db346</t>
  </si>
  <si>
    <t>http://example.org/eventloss/ebfc5fee-aebe-4ef5-9f2f-460767e14573</t>
  </si>
  <si>
    <t>http://example.org/eventloss/448706bc-3d39-4734-9fd3-ddd551da3028</t>
  </si>
  <si>
    <t>http://example.org/eventloss/0954a361-eff3-4fea-89d9-21240ef0227c</t>
  </si>
  <si>
    <t>http://example.org/eventloss/6b54ee47-6670-4597-b2e2-36c15fd24336</t>
  </si>
  <si>
    <t>http://example.org/eventloss/cdd12cfd-a995-418c-b17f-5b073aed8a2f</t>
  </si>
  <si>
    <t>http://example.org/eventloss/4cbf29bc-ea23-43ff-b5ac-474fff9fc081</t>
  </si>
  <si>
    <t>http://example.org/eventloss/28768b89-5dea-4d32-a03e-9b7d4eb8c33d</t>
  </si>
  <si>
    <t>http://example.org/eventloss/f555cae4-a455-4ac7-9bc4-f9b937cf563d</t>
  </si>
  <si>
    <t>http://example.org/eventloss/afbb7cca-ef42-42e9-8433-8ce35f238e54</t>
  </si>
  <si>
    <t>http://example.org/eventloss/83a00e15-001d-4393-ba0b-269f2beec6e7</t>
  </si>
  <si>
    <t>http://example.org/eventloss/20e1ac58-1631-41a1-94ff-9f755f863d5f</t>
  </si>
  <si>
    <t>2022-CONSUMER-WW1-US</t>
  </si>
  <si>
    <t>http://example.org/eventloss/78951b83-5a26-4bb9-ae6f-efbd686f6626</t>
  </si>
  <si>
    <t>2022-COMMERCIAL-WW1-US</t>
  </si>
  <si>
    <t>http://example.org/eventloss/017cd0ee-6075-4312-9e35-0d24f21ff02c</t>
  </si>
  <si>
    <t>http://example.org/eventloss/b16b5528-a105-4f86-9cfc-066233907085</t>
  </si>
  <si>
    <t>http://example.org/eventloss/526d4750-70bf-481d-888b-be7c7b5cf88f</t>
  </si>
  <si>
    <t>2022-COMMERCIAL-OO1-CA</t>
  </si>
  <si>
    <t>http://example.org/eventloss/a121ff31-9bc9-4525-9f73-2b9820465769</t>
  </si>
  <si>
    <t>2022-CONSUMER-OO1-CA</t>
  </si>
  <si>
    <t>http://example.org/eventloss/986156b8-9968-48c2-ad8b-14b2267d88c9</t>
  </si>
  <si>
    <t>http://example.org/eventloss/df627372-90ce-4427-9d85-21750f2675bc</t>
  </si>
  <si>
    <t>http://example.org/eventloss/7e9ef7a3-6aea-45f8-8074-3d87fcbc725b</t>
  </si>
  <si>
    <t>http://example.org/eventloss/3e5fc5a4-d907-4a44-a425-a6ddcf2fcbec</t>
  </si>
  <si>
    <t>http://example.org/eventloss/c17e34aa-ea6f-47a6-987f-ada29af118a0</t>
  </si>
  <si>
    <t>http://example.org/eventloss/a722177d-f6c0-45dc-8e12-3c5c004d8e8a</t>
  </si>
  <si>
    <t>http://example.org/eventloss/b73ecc5f-12cd-45ae-8703-53855df5d598</t>
  </si>
  <si>
    <t>http://example.org/eventloss/f3746d67-8968-48db-a758-593ac12b2f01</t>
  </si>
  <si>
    <t>http://example.org/eventloss/8f2defee-9051-4d65-a361-71b38261d3c0</t>
  </si>
  <si>
    <t>http://example.org/eventloss/3b521b49-89f0-437d-a89d-66b0f0a3ffe9</t>
  </si>
  <si>
    <t>http://example.org/eventloss/54f8738e-015e-459e-9edb-301bb1dd2b27</t>
  </si>
  <si>
    <t>http://example.org/eventloss/662324de-4688-443c-b497-7e51017d5ff9</t>
  </si>
  <si>
    <t>http://example.org/eventloss/1117765b-9265-40f7-9684-79b767aef242</t>
  </si>
  <si>
    <t>http://example.org/eventloss/a27f67c8-59ee-4ca9-a119-15588f04e2a0</t>
  </si>
  <si>
    <t>http://example.org/eventloss/b762b54e-cd88-4758-bcc8-bcebf54e738d</t>
  </si>
  <si>
    <t>http://example.org/eventloss/f9b7b537-dda1-49cd-ba09-09ee41ddfa6a</t>
  </si>
  <si>
    <t>http://example.org/eventloss/e342deac-1469-41ed-b622-18a56d5e395d</t>
  </si>
  <si>
    <t>2017-CONSUMER-WW1-US</t>
  </si>
  <si>
    <t>http://example.org/eventloss/5d855500-7a35-4e54-9158-38fb95c78110</t>
  </si>
  <si>
    <t>2017-COMMERCIAL-OO1-CB</t>
  </si>
  <si>
    <t>http://example.org/eventloss/1e22b6d6-c4a7-45bb-a302-053fb1a033f7</t>
  </si>
  <si>
    <t>2017-COMMERCIAL-WW1-US</t>
  </si>
  <si>
    <t>http://example.org/eventloss/454ec870-ec86-4be6-bc98-ce7760925fd6</t>
  </si>
  <si>
    <t>2017-COMMERCIAL-WW1-CB</t>
  </si>
  <si>
    <t>http://example.org/eventloss/6de6a688-2cbb-4d07-a658-ad4fcce14a87</t>
  </si>
  <si>
    <t>http://example.org/eventloss/42a9fbcd-3ae2-478f-a235-8436c5134804</t>
  </si>
  <si>
    <t>http://example.org/eventloss/9dc741f1-cd9f-434f-aca1-70eec7ca8a16</t>
  </si>
  <si>
    <t>2017-CONSUMER-WW1-CB</t>
  </si>
  <si>
    <t>http://example.org/eventloss/19e0a33a-ba5c-4bf0-bb6e-50a1902ecfcd</t>
  </si>
  <si>
    <t>2017-CONSUMER-OO1-CB</t>
  </si>
  <si>
    <t>http://example.org/eventloss/ecda83d5-8aa2-4947-a718-700fa2a44ac4</t>
  </si>
  <si>
    <t>http://example.org/eventloss/3f7e3d89-4254-43fc-b9fa-0c1e26c148e0</t>
  </si>
  <si>
    <t>http://example.org/eventloss/cff9714a-c65f-47ba-a0f2-778aa167c2eb</t>
  </si>
  <si>
    <t>2022-CONSUMER-WW1-CB</t>
  </si>
  <si>
    <t>http://example.org/eventloss/7bb74074-62ab-44cb-a8f2-bb45985e2554</t>
  </si>
  <si>
    <t>2022-COMMERCIAL-WW1-CB</t>
  </si>
  <si>
    <t>http://example.org/eventloss/0cf5e6ce-5649-4b89-8f4d-d6f3b57f9547</t>
  </si>
  <si>
    <t>2017-CONSUMER-QQ1-EU</t>
  </si>
  <si>
    <t>http://example.org/eventloss/9a652446-ed6c-4baf-9380-957868c93f79</t>
  </si>
  <si>
    <t>2017-COMMERCIAL-QQ1-EU</t>
  </si>
  <si>
    <t>http://example.org/eventloss/caca2477-0ad2-495d-a0b9-c0fd16fcff9b</t>
  </si>
  <si>
    <t>http://example.org/eventloss/8b4dc27e-ccd8-4ab7-bc55-affab5b6e059</t>
  </si>
  <si>
    <t>http://example.org/eventloss/3fc584f3-0ee7-4c71-a50c-2ad87f1403c7</t>
  </si>
  <si>
    <t>http://example.org/eventloss/f95a8d30-72e2-48eb-8e17-9e176ae03513</t>
  </si>
  <si>
    <t>http://example.org/eventloss/4d3f7c3b-9ce5-4ccb-8b87-4de01ac0f8bc</t>
  </si>
  <si>
    <t>2023-CONSUMER-OO1-EU</t>
  </si>
  <si>
    <t>http://example.org/eventloss/551e2fb2-e694-47d4-9f60-ff73027db7e1</t>
  </si>
  <si>
    <t>2023-COMMERCIAL-OO1-EU</t>
  </si>
  <si>
    <t>http://example.org/eventloss/3c576d9a-1059-44be-a653-84409deac134</t>
  </si>
  <si>
    <t>http://example.org/eventloss/d9f2b9cb-ef25-4635-96d7-aa3adfb04bd2</t>
  </si>
  <si>
    <t>http://example.org/eventloss/6c40c9ac-99d7-4251-94f5-f30278ebeff2</t>
  </si>
  <si>
    <t>http://example.org/eventloss/0e161b6e-c50b-4895-b2b7-17d062e108f2</t>
  </si>
  <si>
    <t>http://example.org/eventloss/808b5f86-35bc-4aaf-97e9-f6be58e6e998</t>
  </si>
  <si>
    <t>http://example.org/eventloss/dc92d102-7308-4c0c-8e7b-b443d6648ffb</t>
  </si>
  <si>
    <t>http://example.org/eventloss/8f661255-8f7f-4c49-9566-4573c9cb5d86</t>
  </si>
  <si>
    <t>http://example.org/eventloss/034809e8-0d16-45e7-ae5b-1e781643d8fd</t>
  </si>
  <si>
    <t>http://example.org/eventloss/a2dd9a1e-57f0-4bc8-b259-5d1b50d643e0</t>
  </si>
  <si>
    <t>http://example.org/eventloss/2734483a-7d8b-41e8-9bf3-5d9ab5680730</t>
  </si>
  <si>
    <t>http://example.org/eventloss/d4009e9e-c052-4101-8c1b-307e81a52a43</t>
  </si>
  <si>
    <t>http://example.org/eventloss/94087b20-5841-4ca0-823b-dabb53fff446</t>
  </si>
  <si>
    <t>http://example.org/eventloss/e97bb43e-3867-45da-aeb3-5ccb5f1d72da</t>
  </si>
  <si>
    <t>http://example.org/eventloss/f44d9558-001c-4e0c-ba4a-1aa59e828708</t>
  </si>
  <si>
    <t>http://example.org/eventloss/0f02ce75-0335-4d64-b125-1e7a32c34c96</t>
  </si>
  <si>
    <t>http://example.org/eventloss/af78f55e-5cb3-4583-8d05-759c2c302e53</t>
  </si>
  <si>
    <t>http://example.org/eventloss/a4ad81a5-f3d8-4abb-8437-bff5f1172e22</t>
  </si>
  <si>
    <t>http://example.org/eventloss/f08b1b0a-eee2-4bc3-8db0-9d33797e51d7</t>
  </si>
  <si>
    <t>http://example.org/eventloss/b452a98c-f8d2-4cb5-973f-b2185a2ef97a</t>
  </si>
  <si>
    <t>http://example.org/eventloss/0892c354-6e84-4471-94c3-736ba0e1e00b</t>
  </si>
  <si>
    <t>http://example.org/eventloss/4369e377-b721-4b81-a04c-e5bae8a0e9a4</t>
  </si>
  <si>
    <t>http://example.org/eventloss/e0749f5c-d293-43ff-bd99-d2085a84fd53</t>
  </si>
  <si>
    <t>http://example.org/eventloss/bef28bd5-c3fe-423e-8ca9-6d2c6ababee6</t>
  </si>
  <si>
    <t>2023-COMMERCIAL-BB1-CA</t>
  </si>
  <si>
    <t>http://example.org/eventloss/e845e3a7-e47e-462d-a782-ca9e30671327</t>
  </si>
  <si>
    <t>2023-CONSUMER-BB1-CA</t>
  </si>
  <si>
    <t>http://example.org/eventloss/f21ee84f-c4d8-4bdd-91c7-c33a66eddad8</t>
  </si>
  <si>
    <t>http://example.org/eventloss/8ac505bf-824f-4516-aed5-7280f5f1e2d5</t>
  </si>
  <si>
    <t>http://example.org/eventloss/727dc246-d8f7-4d0e-a652-d5fbc4edee32</t>
  </si>
  <si>
    <t>http://example.org/eventloss/823b95e5-7383-402a-bb13-625f5aa06a95</t>
  </si>
  <si>
    <t>http://example.org/eventloss/6ee18f92-ca40-4150-9fe5-b29720b0a24b</t>
  </si>
  <si>
    <t>2017-COMMERCIAL-OO1-CA</t>
  </si>
  <si>
    <t>http://example.org/eventloss/f56a3416-fa04-487b-8f95-44948c8eb0bb</t>
  </si>
  <si>
    <t>2017-CONSUMER-OO1-CA</t>
  </si>
  <si>
    <t>http://example.org/eventloss/50c39f52-e59d-4816-afda-88edf337ee56</t>
  </si>
  <si>
    <t>http://example.org/eventloss/4aa14bd6-0374-4144-8dfe-59ae3ffdb840</t>
  </si>
  <si>
    <t>http://example.org/eventloss/f2bd6f1e-6338-4621-b5d7-d612c2544adb</t>
  </si>
  <si>
    <t>http://example.org/eventloss/327414cb-3a35-4ee9-bef0-d623f9945935</t>
  </si>
  <si>
    <t>http://example.org/eventloss/773b0563-79d9-43ae-a647-f36271bd48eb</t>
  </si>
  <si>
    <t>http://example.org/eventloss/b977605c-35af-446a-a48d-54c7eb5f7b79</t>
  </si>
  <si>
    <t>http://example.org/eventloss/ce4a7cf0-b364-481a-b763-f7f33785e18f</t>
  </si>
  <si>
    <t>http://example.org/eventloss/81243ff7-4ea0-4b5a-b0ae-3118db1055e5</t>
  </si>
  <si>
    <t>http://example.org/eventloss/e9590dfb-9bf7-4a89-babd-bdcbb82f8619</t>
  </si>
  <si>
    <t>2022-COMMERCIAL-ZZ1-CA</t>
  </si>
  <si>
    <t>http://example.org/eventloss/e02694aa-740e-49b6-8d8b-f532371d4ee9</t>
  </si>
  <si>
    <t>http://example.org/eventloss/ac0f3521-4767-432d-a7a9-4adc0721d1e6</t>
  </si>
  <si>
    <t>http://example.org/eventloss/f9833a31-4925-4e1d-b2e1-3069fe118738</t>
  </si>
  <si>
    <t>2022-CONSUMER-ZZ1-CA</t>
  </si>
  <si>
    <t>http://example.org/eventloss/4a55f273-894a-4584-8a0f-5e887c88c834</t>
  </si>
  <si>
    <t>http://example.org/eventloss/d0ae1394-ee23-4815-aee7-549e93e571d8</t>
  </si>
  <si>
    <t>http://example.org/eventloss/02754e33-53c7-4a42-84b8-10f5474d8619</t>
  </si>
  <si>
    <t>http://example.org/eventloss/c85a23f6-4c61-4d69-b091-103694c6542a</t>
  </si>
  <si>
    <t>http://example.org/eventloss/a6403266-ef14-4ba5-8a4c-8bd110f74d27</t>
  </si>
  <si>
    <t>http://example.org/eventloss/160ef54b-5dca-4d85-b448-2eb737c7c5df</t>
  </si>
  <si>
    <t>http://example.org/eventloss/30841a57-f546-4506-a4a5-e91cca9b7443</t>
  </si>
  <si>
    <t>2019-CONSUMER-OO1-CA</t>
  </si>
  <si>
    <t>http://example.org/eventloss/818da9f5-908e-4bc7-b84e-067644282b08</t>
  </si>
  <si>
    <t>2019-COMMERCIAL-OO1-CA</t>
  </si>
  <si>
    <t>http://example.org/eventloss/5d6e921e-69ab-48f6-82a5-53fb1e78efda</t>
  </si>
  <si>
    <t>http://example.org/eventloss/ab5b1921-d6e8-4614-a142-215866be507f</t>
  </si>
  <si>
    <t>http://example.org/eventloss/58aa18a1-5e60-42b8-b94a-045d05110915</t>
  </si>
  <si>
    <t>http://example.org/eventloss/878f5b7d-0ffe-46ae-bc11-5fd20c986e77</t>
  </si>
  <si>
    <t>http://example.org/eventloss/e7df4efd-b2d5-4deb-9647-6509a38f3168</t>
  </si>
  <si>
    <t>http://example.org/eventloss/0bbdef26-4138-446b-b575-8ded5848bbee</t>
  </si>
  <si>
    <t>http://example.org/eventloss/16f9e83f-3efc-465f-9eeb-7eea09f4f249</t>
  </si>
  <si>
    <t>2020-CONSUMER-XZ1-CA</t>
  </si>
  <si>
    <t>http://example.org/eventloss/d09af8c9-f969-4752-b258-42e9d8bfce13</t>
  </si>
  <si>
    <t>2020-COMMERCIAL-XZ1-CA</t>
  </si>
  <si>
    <t>http://example.org/eventloss/a4531fd8-d0b1-42a4-a8af-a8ba8f3fe409</t>
  </si>
  <si>
    <t>http://example.org/eventloss/59f7b000-62ac-4dfd-9891-b784aadef7b5</t>
  </si>
  <si>
    <t>http://example.org/eventloss/11457b6e-a2a1-40b8-b02d-723b1f5971d8</t>
  </si>
  <si>
    <t>2021-COMMERCIAL-XZ1-CA</t>
  </si>
  <si>
    <t>http://example.org/eventloss/09d938ac-05a7-4e73-b7c4-b04a19a172de</t>
  </si>
  <si>
    <t>2021-CONSUMER-XZ1-CA</t>
  </si>
  <si>
    <t>http://example.org/eventloss/3fe7b100-66dc-4340-9765-49f071264d31</t>
  </si>
  <si>
    <t>http://example.org/eventloss/bd33c319-24fa-4d27-a1ca-d2eaabb43eca</t>
  </si>
  <si>
    <t>http://example.org/eventloss/bc9fbc3e-2974-497f-a91b-5cd73ec8e3b4</t>
  </si>
  <si>
    <t>http://example.org/eventloss/85cc3767-ba0c-4d2a-910a-7d0a6ade0494</t>
  </si>
  <si>
    <t>http://example.org/eventloss/24768610-b241-4b46-9da9-15d4099d936b</t>
  </si>
  <si>
    <t>http://example.org/eventloss/2a6f356e-8787-4543-b21d-a51b8cb6e81e</t>
  </si>
  <si>
    <t>http://example.org/eventloss/68184b7b-a2c4-40b2-9f54-f6d8c4245365</t>
  </si>
  <si>
    <t>http://example.org/eventloss/6433cd9e-d6f8-4291-80dc-e7faaa4d86fa</t>
  </si>
  <si>
    <t>http://example.org/eventloss/2097e4c2-e4e3-4ec4-a784-a04abab49060</t>
  </si>
  <si>
    <t>http://example.org/eventloss/b17190e5-257b-4bae-950d-342b55e2c9b8</t>
  </si>
  <si>
    <t>http://example.org/eventloss/4d4e6c4c-a041-4fcb-8242-d7599fff0723</t>
  </si>
  <si>
    <t>http://example.org/eventloss/f18fe3eb-463b-412a-97de-f7df10a42668</t>
  </si>
  <si>
    <t>http://example.org/eventloss/fe820ae6-00f9-48b4-8b0e-fd931d4e021f</t>
  </si>
  <si>
    <t>2019-COMMERCIAL-BB1-US</t>
  </si>
  <si>
    <t>http://example.org/eventloss/6e9f1206-0472-4d82-9db3-4706e538a886</t>
  </si>
  <si>
    <t>2019-CONSUMER-BB1-US</t>
  </si>
  <si>
    <t>http://example.org/eventloss/cb6d52d3-95ad-4e73-9b14-a275745cb7b7</t>
  </si>
  <si>
    <t>http://example.org/eventloss/a646d421-db58-4897-b36a-fcc7fcbdcc59</t>
  </si>
  <si>
    <t>http://example.org/eventloss/d479006c-cac1-4ccf-b431-1f6f7bdc230a</t>
  </si>
  <si>
    <t>http://example.org/eventloss/ea6cfa5f-080d-4d08-a710-656382201a86</t>
  </si>
  <si>
    <t>http://example.org/eventloss/a380290f-628c-43fa-b28a-3376b7d749fb</t>
  </si>
  <si>
    <t>http://example.org/eventloss/37e74e94-7359-4fba-a212-939bb9718f23</t>
  </si>
  <si>
    <t>http://example.org/eventloss/37bc5643-cfc8-4f0c-b8ac-29a768d75674</t>
  </si>
  <si>
    <t>2019-COMMERCIAL-WW1-EU</t>
  </si>
  <si>
    <t>http://example.org/eventloss/9738ce5f-4113-4b95-8cc1-e08bc2c3965b</t>
  </si>
  <si>
    <t>2019-CONSUMER-WW1-EU</t>
  </si>
  <si>
    <t>http://example.org/eventloss/6fe00507-e8d3-4a95-b752-c73b71307044</t>
  </si>
  <si>
    <t>http://example.org/eventloss/90720637-1075-43cc-bb0f-690a0f15cf91</t>
  </si>
  <si>
    <t>http://example.org/eventloss/0f40fa37-a618-4bd5-8bdd-ac99ae2c477c</t>
  </si>
  <si>
    <t>http://example.org/eventloss/649b625c-1ea2-4336-b20f-01b722992d62</t>
  </si>
  <si>
    <t>http://example.org/eventloss/e34ec7c0-c2ec-46c2-a1dd-747edc2c2f4c</t>
  </si>
  <si>
    <t>http://example.org/eventloss/ab6cc69b-03d6-4620-b546-a909855dbf73</t>
  </si>
  <si>
    <t>http://example.org/eventloss/b7bc55cc-3dd4-4291-86d6-985cc0d55830</t>
  </si>
  <si>
    <t>http://example.org/eventloss/ea0062bb-35ab-43e3-bf52-28bcdd701e6d</t>
  </si>
  <si>
    <t>http://example.org/eventloss/d0d7ef08-ab78-4284-a7f1-c5cff5324055</t>
  </si>
  <si>
    <t>2020-COMMERCIAL-QQ1-CB</t>
  </si>
  <si>
    <t>http://example.org/eventloss/3614966e-cce9-4ba9-b4e2-4b1ee558b13f</t>
  </si>
  <si>
    <t>2020-CONSUMER-QQ1-CB</t>
  </si>
  <si>
    <t>http://example.org/eventloss/4d4866fb-51b4-44ff-99e5-787d4a418a9a</t>
  </si>
  <si>
    <t>2019-COMMERCIAL-XZ1-CA</t>
  </si>
  <si>
    <t>http://example.org/eventloss/62d4d826-8f43-42f4-9575-b24190181bd0</t>
  </si>
  <si>
    <t>2019-CONSUMER-XZ1-CA</t>
  </si>
  <si>
    <t>http://example.org/eventloss/a7fe82b0-31d5-4ca8-815a-9968a1628fc9</t>
  </si>
  <si>
    <t>http://example.org/eventloss/8865400d-146e-4c8c-b688-0c1597e10952</t>
  </si>
  <si>
    <t>http://example.org/eventloss/327aacf2-d2ef-4d46-8011-b77df10b350d</t>
  </si>
  <si>
    <t>http://example.org/eventloss/c279b68a-19fe-4216-bfa7-53c7175b4d84</t>
  </si>
  <si>
    <t>http://example.org/eventloss/733330c2-7f5a-4dc3-8ebf-eed031ab48ee</t>
  </si>
  <si>
    <t>http://example.org/eventloss/320280c6-7d15-4e0f-9021-f1b914514fb3</t>
  </si>
  <si>
    <t>http://example.org/eventloss/66aa4daa-9f22-4161-a55d-38a815a41517</t>
  </si>
  <si>
    <t>http://example.org/eventloss/c62a860d-e81a-4666-8feb-5ee075e9a7ad</t>
  </si>
  <si>
    <t>http://example.org/eventloss/030e8894-a5ec-4b5e-a6ae-52bda33db7d3</t>
  </si>
  <si>
    <t>http://example.org/eventloss/e9d55ffc-9c98-43f7-b2d2-0ae4cfcd5840</t>
  </si>
  <si>
    <t>http://example.org/eventloss/c66631f2-33cf-4f9d-b416-5c82f47aeaa7</t>
  </si>
  <si>
    <t>http://example.org/eventloss/ac22bffc-e284-470a-8a8e-d99ff559bd9f</t>
  </si>
  <si>
    <t>http://example.org/eventloss/30dc6a5a-f7aa-4b91-a5b9-d2e0fecd03ae</t>
  </si>
  <si>
    <t>http://example.org/eventloss/34141b6e-5e17-4e15-b92c-6be34d8affab</t>
  </si>
  <si>
    <t>http://example.org/eventloss/3a7db806-9b3a-415d-99e5-74f1cabca2e2</t>
  </si>
  <si>
    <t>2022-COMMERCIAL-BB1-US</t>
  </si>
  <si>
    <t>http://example.org/eventloss/b5801ca7-5196-487d-9827-174686d5efbe</t>
  </si>
  <si>
    <t>2022-CONSUMER-BB1-US</t>
  </si>
  <si>
    <t>http://example.org/eventloss/b80f30f2-4534-4def-b4d3-855e8d40f85a</t>
  </si>
  <si>
    <t>http://example.org/eventloss/78c43334-c914-4678-8dd1-29d1956604f8</t>
  </si>
  <si>
    <t>http://example.org/eventloss/d82fc792-7e32-485a-b894-c0b08e17ff74</t>
  </si>
  <si>
    <t>http://example.org/eventloss/cd74941c-8561-4afe-baaa-854de224e041</t>
  </si>
  <si>
    <t>http://example.org/eventloss/e2e438e6-b437-4cc6-9608-6b28f9526e05</t>
  </si>
  <si>
    <t>http://example.org/eventloss/67297b52-88ee-4bba-84b4-5065dc1d9564</t>
  </si>
  <si>
    <t>http://example.org/eventloss/dce69e9f-60db-4453-bf7a-46539125e4cb</t>
  </si>
  <si>
    <t>http://example.org/eventloss/dc5bda78-b654-40c2-9bed-83341e59be4b</t>
  </si>
  <si>
    <t>http://example.org/eventloss/724e0066-9e7e-4d95-a3ec-d63d555cbcb2</t>
  </si>
  <si>
    <t>2023-COMMERCIAL-BB1-US</t>
  </si>
  <si>
    <t>http://example.org/eventloss/eed25611-bfca-4202-8aad-d627921c7252</t>
  </si>
  <si>
    <t>2023-CONSUMER-BB1-US</t>
  </si>
  <si>
    <t>http://example.org/eventloss/421994e3-1fad-4cf6-953c-226196ea87d1</t>
  </si>
  <si>
    <t>http://example.org/eventloss/5892667f-3442-474a-b38e-a0bd6e5e9b20</t>
  </si>
  <si>
    <t>http://example.org/eventloss/028eb9e4-d6c5-463c-86f6-60cc39916be7</t>
  </si>
  <si>
    <t>http://example.org/eventloss/17085833-141b-4cbb-a6a5-f4799424d60c</t>
  </si>
  <si>
    <t>http://example.org/eventloss/678aa321-68c2-44f3-9d9a-93236a7d1b34</t>
  </si>
  <si>
    <t>http://example.org/eventloss/ce940c3c-6bbe-47b2-b6a6-2089c0459b3a</t>
  </si>
  <si>
    <t>http://example.org/eventloss/dcb6b08f-8274-440b-9861-6ca5d415a36e</t>
  </si>
  <si>
    <t>2021-COMMERCIAL-OO1-CA</t>
  </si>
  <si>
    <t>http://example.org/eventloss/879a4bbd-8473-4bf6-a736-346e8da92ea9</t>
  </si>
  <si>
    <t>2021-CONSUMER-OO1-CA</t>
  </si>
  <si>
    <t>http://example.org/eventloss/0ef363d2-b935-443d-8fcf-e2b5ddb10549</t>
  </si>
  <si>
    <t>2019-COMMERCIAL-QQ1-US</t>
  </si>
  <si>
    <t>http://example.org/eventloss/3f7b6023-1726-4295-8faa-afd2c4d4e83f</t>
  </si>
  <si>
    <t>2019-CONSUMER-QQ1-US</t>
  </si>
  <si>
    <t>http://example.org/eventloss/2257d950-3051-4ba6-92b6-80284ffb2a1f</t>
  </si>
  <si>
    <t>http://example.org/eventloss/09c516bb-b9b1-4d59-b717-f5a26bb08ae9</t>
  </si>
  <si>
    <t>http://example.org/eventloss/26868e33-c690-42fe-9502-d1f9d802d11f</t>
  </si>
  <si>
    <t>http://example.org/eventloss/ea1e89eb-a926-433f-afc1-580c1ef95542</t>
  </si>
  <si>
    <t>http://example.org/eventloss/b30c29f1-c21c-4664-b5ac-fedd1f45cf0d</t>
  </si>
  <si>
    <t>http://example.org/eventloss/a78b50a1-7a59-4956-a0a3-a094e5286988</t>
  </si>
  <si>
    <t>http://example.org/eventloss/c78ad97e-1133-4013-8d90-94cb1eeca5d5</t>
  </si>
  <si>
    <t>http://example.org/eventloss/3fec210e-a79a-42cc-bf0c-2892609e0841</t>
  </si>
  <si>
    <t>http://example.org/eventloss/f9221f6b-2475-4f26-8abd-dcff2448e75e</t>
  </si>
  <si>
    <t>http://example.org/eventloss/e6284387-562c-432a-9e06-6d3b9b99e618</t>
  </si>
  <si>
    <t>http://example.org/eventloss/781d98f6-ffc4-4ded-a5eb-3ad16d2f609b</t>
  </si>
  <si>
    <t>http://example.org/eventloss/79f40f20-98a5-4ecb-a1c5-f5fd66168e6c</t>
  </si>
  <si>
    <t>http://example.org/eventloss/aad53b65-8394-40b9-936b-32ba3bb5841f</t>
  </si>
  <si>
    <t>http://example.org/eventloss/ad0310da-e4ba-4fab-b4dc-dd2f44454eb8</t>
  </si>
  <si>
    <t>http://example.org/eventloss/b2cb4d29-794c-4510-a4a8-454d6367663b</t>
  </si>
  <si>
    <t>http://example.org/eventloss/063545c1-091e-4b7b-9c0f-4150d4890a59</t>
  </si>
  <si>
    <t>http://example.org/eventloss/af2cfb88-e41a-4364-b703-bd8ef0237014</t>
  </si>
  <si>
    <t>http://example.org/eventloss/f1b88802-7b15-4cbb-8539-78767ca69e84</t>
  </si>
  <si>
    <t>http://example.org/eventloss/a3e1346b-43a0-49c8-ab24-708c29584dc2</t>
  </si>
  <si>
    <t>http://example.org/eventloss/78fde306-4302-4634-9713-5b27df250335</t>
  </si>
  <si>
    <t>http://example.org/eventloss/e3ff5e10-b97f-4804-bab1-c5b472cbcd09</t>
  </si>
  <si>
    <t>http://example.org/eventloss/909811da-d4c1-49e9-ae34-0b6fa4e295f3</t>
  </si>
  <si>
    <t>http://example.org/eventloss/6cd73521-118e-4633-94b5-b3072520b8f7</t>
  </si>
  <si>
    <t>http://example.org/eventloss/7f3752ec-3423-4ae7-998a-729f29793fef</t>
  </si>
  <si>
    <t>http://example.org/eventloss/d454bbe8-3557-4059-b61a-cbddbad5cf98</t>
  </si>
  <si>
    <t>http://example.org/eventloss/261ebcde-2ae7-4e2f-bdce-51d999a4916d</t>
  </si>
  <si>
    <t>http://example.org/eventloss/931dd919-3f6b-401f-9c03-eefbe4705a47</t>
  </si>
  <si>
    <t>http://example.org/eventloss/9ea1b8d9-b7b9-4ade-9181-a38017873a40</t>
  </si>
  <si>
    <t>http://example.org/eventloss/5ea62cd3-e302-4890-97f8-c0763b566644</t>
  </si>
  <si>
    <t>http://example.org/eventloss/d0eb7b9c-d1a6-4560-8d07-fed12f407712</t>
  </si>
  <si>
    <t>http://example.org/eventloss/5f4b6a27-ebc5-40b0-b285-219252ce1640</t>
  </si>
  <si>
    <t>http://example.org/eventloss/a431dc48-da48-49bd-bc3c-54305e5dfa18</t>
  </si>
  <si>
    <t>http://example.org/eventloss/31793de8-88a1-414d-aa3c-f58614f8dc69</t>
  </si>
  <si>
    <t>http://example.org/eventloss/e88acb9a-4ff7-49a6-a9b3-2abd100788aa</t>
  </si>
  <si>
    <t>http://example.org/eventloss/72fc5e6a-80cb-41bc-84b6-13d4ae898aa1</t>
  </si>
  <si>
    <t>http://example.org/eventloss/02a1b690-dc70-4ae8-9133-9d123e669544</t>
  </si>
  <si>
    <t>http://example.org/eventloss/2d7934fb-28c8-4faf-9459-7a2a7025e3a5</t>
  </si>
  <si>
    <t>2023-COMMERCIAL-BB1-EU</t>
  </si>
  <si>
    <t>http://example.org/eventloss/f6878fff-ffac-49ee-99aa-1f629828d392</t>
  </si>
  <si>
    <t>2023-CONSUMER-BB1-EU</t>
  </si>
  <si>
    <t>http://example.org/eventloss/d39b0266-14a2-4d32-b39d-5578d7cc4a11</t>
  </si>
  <si>
    <t>http://example.org/eventloss/23052a1a-502e-412b-a231-83bb24c124ab</t>
  </si>
  <si>
    <t>http://example.org/eventloss/59880fd1-97a5-40be-b513-38faf3a4cb34</t>
  </si>
  <si>
    <t>http://example.org/eventloss/54e4c569-6393-4b06-997f-39403ea92e7c</t>
  </si>
  <si>
    <t>http://example.org/eventloss/530cddbc-b659-4f18-a3b2-32d6882d1805</t>
  </si>
  <si>
    <t>http://example.org/eventloss/3caf2f1d-1cff-47b3-83db-d506ba3d90f3</t>
  </si>
  <si>
    <t>http://example.org/eventloss/74ea0fd0-d5d2-4044-86b1-b1aaa167ad4e</t>
  </si>
  <si>
    <t>http://example.org/eventloss/e50f406f-1e8c-4392-ab5e-6bd68b89a579</t>
  </si>
  <si>
    <t>http://example.org/eventloss/d1df9ad4-662e-499c-8379-313665e32b59</t>
  </si>
  <si>
    <t>http://example.org/eventloss/a74259e2-8968-4323-830f-c0b40af591b6</t>
  </si>
  <si>
    <t>http://example.org/eventloss/b870ca26-7fd6-4495-8159-13945b6ffd85</t>
  </si>
  <si>
    <t>http://example.org/eventloss/1f0060a1-9e61-4af3-9079-9067ad1f404f</t>
  </si>
  <si>
    <t>http://example.org/eventloss/09657194-d341-41e1-a3c1-10fdb98fff15</t>
  </si>
  <si>
    <t>http://example.org/eventloss/97d014fe-4b2b-40ae-8ab5-fe7a38c2c967</t>
  </si>
  <si>
    <t>http://example.org/eventloss/4224e8a0-5c3c-415e-83e6-27c30f0ab76d</t>
  </si>
  <si>
    <t>http://example.org/eventloss/98c60155-8237-45b9-b79b-57563531778c</t>
  </si>
  <si>
    <t>http://example.org/eventloss/0270c6d6-1c59-4322-a9d0-89a783715a7b</t>
  </si>
  <si>
    <t>http://example.org/eventloss/48922344-1d75-4c5b-806d-268aad212d21</t>
  </si>
  <si>
    <t>http://example.org/eventloss/e68395bf-5db5-4ce7-9e64-fbd88260b728</t>
  </si>
  <si>
    <t>http://example.org/eventloss/e67f84ab-df9e-432d-b4f1-cb3cb1e548b5</t>
  </si>
  <si>
    <t>http://example.org/eventloss/9f5d301f-9fe4-4384-a528-cb1d743ff057</t>
  </si>
  <si>
    <t>http://example.org/eventloss/7cfe8ff0-514e-4dab-a7c3-472ef7883af8</t>
  </si>
  <si>
    <t>http://example.org/eventloss/4a975559-5790-4adf-baa9-a5a7f9658943</t>
  </si>
  <si>
    <t>http://example.org/eventloss/ef203858-0d24-4a10-9d2c-630d909ec6c0</t>
  </si>
  <si>
    <t>http://example.org/eventloss/651fc748-6dc3-41ea-ac45-79429d189ab1</t>
  </si>
  <si>
    <t>http://example.org/eventloss/c27f8a17-e2d9-4f4e-94f0-46232dc94318</t>
  </si>
  <si>
    <t>http://example.org/eventloss/9a6005fc-c0f1-4ca7-85a5-56e2d72ac9a9</t>
  </si>
  <si>
    <t>http://example.org/eventloss/7cf37d64-1da6-4a3e-a29e-8567821c8aa3</t>
  </si>
  <si>
    <t>http://example.org/eventloss/481647fc-cd0a-4e6e-b9e1-3afe5893d4f6</t>
  </si>
  <si>
    <t>http://example.org/eventloss/fca200f2-f693-4dba-a204-80e00b381c16</t>
  </si>
  <si>
    <t>http://example.org/eventloss/ec4c15a1-9bfa-4cf5-b68c-ac4ecc3bb248</t>
  </si>
  <si>
    <t>http://example.org/eventloss/f4d2bcbf-0cb9-47e0-8428-2bdb4db31d1f</t>
  </si>
  <si>
    <t>event</t>
  </si>
  <si>
    <t>losscountry</t>
  </si>
  <si>
    <t>modeldomain</t>
  </si>
  <si>
    <t>grloss</t>
  </si>
  <si>
    <t>modeled_aal</t>
  </si>
  <si>
    <t>http://example.org/eventloss/c2d59b2d-9d06-4b1c-9dce-607da29be1ce</t>
  </si>
  <si>
    <t>http://example.org/event/2017-0410</t>
  </si>
  <si>
    <t>http://example.org/adminboundary/US</t>
  </si>
  <si>
    <t>http://example.org/region/cr_US_AP</t>
  </si>
  <si>
    <t>http://example.org/eventloss/5046f5a3-6896-4730-a8f2-ae4170092c9c</t>
  </si>
  <si>
    <t>http://example.org/event/2017-0381</t>
  </si>
  <si>
    <t>http://example.org/eventloss/7c195240-150a-4a30-b184-03808287812b</t>
  </si>
  <si>
    <t>http://example.org/event/2017-0362</t>
  </si>
  <si>
    <t>http://example.org/eventloss/b94dd6dd-2c54-49e2-9308-57e6aeb870ae</t>
  </si>
  <si>
    <t>http://example.org/event/2017-0022</t>
  </si>
  <si>
    <t>http://example.org/eventloss/4050761d-f9e9-49c1-a58f-698afe6fc433</t>
  </si>
  <si>
    <t>http://example.org/event/2017-0070</t>
  </si>
  <si>
    <t>http://example.org/eventloss/2e6825fc-f969-4213-8c6f-7ca71163d9a5</t>
  </si>
  <si>
    <t>http://example.org/event/2017-0062</t>
  </si>
  <si>
    <t>http://example.org/eventloss/faa38067-888d-4708-9264-faa9bed07d80</t>
  </si>
  <si>
    <t>http://example.org/event/2017-0336</t>
  </si>
  <si>
    <t>http://example.org/eventloss/0e090578-b6a1-4ef4-a673-e86f415ba8d8</t>
  </si>
  <si>
    <t>http://example.org/event/2017-0512</t>
  </si>
  <si>
    <t>http://example.org/eventloss/38b57f23-3bc8-40e2-bf08-07903d60f76a</t>
  </si>
  <si>
    <t>http://example.org/event/2017-0203</t>
  </si>
  <si>
    <t>http://example.org/eventloss/593bb46d-29ad-4d5c-89d4-5faf1728e96e</t>
  </si>
  <si>
    <t>http://example.org/event/2017-0253</t>
  </si>
  <si>
    <t>http://example.org/eventloss/d72c5e1c-37c6-40c9-970f-db0faf32bfdc</t>
  </si>
  <si>
    <t>http://example.org/event/2017-0234</t>
  </si>
  <si>
    <t>http://example.org/eventloss/d041b246-5f9d-4fc4-b246-e5d616030b16</t>
  </si>
  <si>
    <t>http://example.org/event/2017-0563</t>
  </si>
  <si>
    <t>http://example.org/eventloss/fe406612-ffb5-40cc-958b-a5e77293ba7d</t>
  </si>
  <si>
    <t>http://example.org/event/2017-0564</t>
  </si>
  <si>
    <t>http://example.org/eventloss/e9928f18-97c1-4395-a8cd-9b15f0122edc</t>
  </si>
  <si>
    <t>http://example.org/event/2018-0279</t>
  </si>
  <si>
    <t>http://example.org/eventloss/7b76ba6e-c835-4a3c-9e9d-afc9a32f68d4</t>
  </si>
  <si>
    <t>http://example.org/event/2018-0344</t>
  </si>
  <si>
    <t>http://example.org/eventloss/d2ee1c93-b079-40af-81a3-d9c2b8c883f2</t>
  </si>
  <si>
    <t>http://example.org/event/2018-0129</t>
  </si>
  <si>
    <t>http://example.org/eventloss/12ea09e5-074c-497f-ad0b-c884e35de807</t>
  </si>
  <si>
    <t>http://example.org/event/2018-0206</t>
  </si>
  <si>
    <t>http://example.org/eventloss/09d79355-34e0-4ca9-8d27-ca34a7c9c064</t>
  </si>
  <si>
    <t>http://example.org/event/2018-0342</t>
  </si>
  <si>
    <t>http://example.org/eventloss/b448bd35-38d3-4a68-b088-21d9c1480454</t>
  </si>
  <si>
    <t>http://example.org/event/2018-0170</t>
  </si>
  <si>
    <t>http://example.org/eventloss/07d21988-bf5c-483f-a2a0-021d9aab9718</t>
  </si>
  <si>
    <t>http://example.org/event/2018-0373</t>
  </si>
  <si>
    <t>http://example.org/eventloss/eaf26708-a1b4-4067-ada7-7fa976a91bb7</t>
  </si>
  <si>
    <t>http://example.org/event/2019-0160</t>
  </si>
  <si>
    <t>http://example.org/eventloss/8b274e79-a8cf-4767-93a3-0d4b6286fe70</t>
  </si>
  <si>
    <t>http://example.org/event/2019-0624</t>
  </si>
  <si>
    <t>http://example.org/eventloss/0534177b-e271-4a8a-b219-84f5ead9a53d</t>
  </si>
  <si>
    <t>http://example.org/event/2019-0045</t>
  </si>
  <si>
    <t>http://example.org/eventloss/e1490939-22d7-42e4-af5a-5b73ffe23841</t>
  </si>
  <si>
    <t>http://example.org/event/2019-0089</t>
  </si>
  <si>
    <t>http://example.org/eventloss/0f88ab19-32be-4f78-a9de-d856853181f2</t>
  </si>
  <si>
    <t>http://example.org/event/2019-0081</t>
  </si>
  <si>
    <t>http://example.org/eventloss/0c59f7e0-bdc7-4ada-8d8d-9fd88fcf3a53</t>
  </si>
  <si>
    <t>http://example.org/event/2019-0484</t>
  </si>
  <si>
    <t>http://example.org/eventloss/020767df-4ddc-4422-9dbc-f5e447b2c74e</t>
  </si>
  <si>
    <t>http://example.org/event/2020-0438</t>
  </si>
  <si>
    <t>http://example.org/eventloss/6a5cce07-d392-4385-b538-a9762e130c4a</t>
  </si>
  <si>
    <t>http://example.org/event/2020-0483</t>
  </si>
  <si>
    <t>http://example.org/eventloss/04b44e75-756c-4715-bb72-8a0258090ab1</t>
  </si>
  <si>
    <t>http://example.org/event/2020-0376</t>
  </si>
  <si>
    <t>http://example.org/eventloss/b78db2b9-0ed6-4820-bf86-8fd4bef9043b</t>
  </si>
  <si>
    <t>http://example.org/event/2020-0312</t>
  </si>
  <si>
    <t>http://example.org/eventloss/9bdb549f-13b6-4bf9-a9ed-5efe69bcc408</t>
  </si>
  <si>
    <t>http://example.org/event/2020-0316</t>
  </si>
  <si>
    <t>http://example.org/eventloss/a3225898-9789-4eee-9972-e7a1b3debebd</t>
  </si>
  <si>
    <t>http://example.org/event/2020-0474</t>
  </si>
  <si>
    <t>http://example.org/eventloss/37ad2e7d-ef8a-4599-b7a1-47d7499e1fab</t>
  </si>
  <si>
    <t>http://example.org/event/2020-0219</t>
  </si>
  <si>
    <t>http://example.org/eventloss/6c46162b-b377-4b98-9a79-e785e4021a9c</t>
  </si>
  <si>
    <t>http://example.org/event/2020-0412</t>
  </si>
  <si>
    <t>http://example.org/eventloss/a753e8c0-2b4e-45a9-aa93-93df81dc4bf8</t>
  </si>
  <si>
    <t>http://example.org/event/2019-0412</t>
  </si>
  <si>
    <t>http://example.org/eventloss/f7100e66-ef43-490b-952e-2af22e3ab32a</t>
  </si>
  <si>
    <t>http://example.org/event/2019-0335</t>
  </si>
  <si>
    <t>http://example.org/eventloss/609d3ee8-8657-46a8-bbbc-19870460440f</t>
  </si>
  <si>
    <t>http://example.org/event/2019-0417</t>
  </si>
  <si>
    <t>http://example.org/eventloss/f098faa6-07b1-43dd-b2a9-2b438cdb5f82</t>
  </si>
  <si>
    <t>http://example.org/event/2022-0614</t>
  </si>
  <si>
    <t>http://example.org/eventloss/374870bd-40f7-49f0-a9af-7de10475c7e4</t>
  </si>
  <si>
    <t>http://example.org/event/2022-0734</t>
  </si>
  <si>
    <t>http://example.org/eventloss/b5be162d-1be5-4a16-a48f-8106056f5d22</t>
  </si>
  <si>
    <t>http://example.org/event/2021-0373</t>
  </si>
  <si>
    <t>http://example.org/eventloss/f54c16c4-0687-4a47-af02-b273742cb167</t>
  </si>
  <si>
    <t>http://example.org/event/2021-0531</t>
  </si>
  <si>
    <t>http://example.org/eventloss/6c5c4645-0771-4f1a-b77c-3d414575325c</t>
  </si>
  <si>
    <t>http://example.org/event/2021-0532</t>
  </si>
  <si>
    <t>http://example.org/eventloss/b3deae3d-35f6-4fc9-afbd-d9ec9cc1462a</t>
  </si>
  <si>
    <t>http://example.org/event/2021-0583</t>
  </si>
  <si>
    <t>http://example.org/eventloss/e3e688f8-baaf-4ae1-a18e-c97666d6a963</t>
  </si>
  <si>
    <t>http://example.org/event/2021-0551</t>
  </si>
  <si>
    <t>http://example.org/eventloss/b1daeb0b-59b9-452c-ac5a-7f24dda75dd2</t>
  </si>
  <si>
    <t>http://example.org/event/2023-0565</t>
  </si>
  <si>
    <t>http://example.org/eventloss/ac1841ac-c10d-4b79-9416-2cd1332f6fbb</t>
  </si>
  <si>
    <t>http://example.org/event/2020-0583</t>
  </si>
  <si>
    <t>http://example.org/eventloss/13ac212a-7d57-40a9-99d7-6861c3176440</t>
  </si>
  <si>
    <t>http://example.org/event/2020-0148</t>
  </si>
  <si>
    <t>http://example.org/eventloss/9b11c8d1-3a72-443b-b83c-37bdd18b9c69</t>
  </si>
  <si>
    <t>http://example.org/event/2020-0582</t>
  </si>
  <si>
    <t>http://example.org/eventloss/25c75ae5-355c-4ca4-98d5-513af4cab0ad</t>
  </si>
  <si>
    <t>http://example.org/event/2020-0167</t>
  </si>
  <si>
    <t>http://example.org/eventloss/6aa6bb17-eaf5-48d9-910b-dc3d58069423</t>
  </si>
  <si>
    <t>http://example.org/event/2020-0584</t>
  </si>
  <si>
    <t>http://example.org/eventloss/c611e4a9-30af-48e0-b1cc-1aa5837d5c12</t>
  </si>
  <si>
    <t>http://example.org/event/2020-0538</t>
  </si>
  <si>
    <t>http://example.org/eventloss/d8dbcad8-4010-46bc-bd06-849b6e5a58d7</t>
  </si>
  <si>
    <t>http://example.org/event/2020-0190</t>
  </si>
  <si>
    <t>http://example.org/eventloss/0548d92a-50fb-4b61-8b89-061a07ea8fab</t>
  </si>
  <si>
    <t>http://example.org/event/2020-0011</t>
  </si>
  <si>
    <t>http://example.org/eventloss/65a60e12-3fed-4bec-822a-b50196f2ef97</t>
  </si>
  <si>
    <t>http://example.org/event/2020-0580</t>
  </si>
  <si>
    <t>http://example.org/eventloss/76db631d-a889-451b-803e-559fd78c47c3</t>
  </si>
  <si>
    <t>http://example.org/event/2020-0238</t>
  </si>
  <si>
    <t>http://example.org/eventloss/352a8f64-af5c-474c-a2eb-d2bb0a78e452</t>
  </si>
  <si>
    <t>http://example.org/event/2020-0082</t>
  </si>
  <si>
    <t>http://example.org/eventloss/c8de14b6-feaf-4cc7-b5c2-38fdee89b6dc</t>
  </si>
  <si>
    <t>http://example.org/eventloss/8e43ea51-ab4b-4860-bb7f-c05c5256c306</t>
  </si>
  <si>
    <t>http://example.org/eventloss/eb8cce1b-7ba0-481a-8a25-d4a6fb24cbe0</t>
  </si>
  <si>
    <t>http://example.org/eventloss/2179019b-32c8-4497-acdf-1365dfdf9fce</t>
  </si>
  <si>
    <t>http://example.org/event/2019-0306</t>
  </si>
  <si>
    <t>http://example.org/eventloss/6239ca15-0cbc-4a33-a989-1149d1a928cc</t>
  </si>
  <si>
    <t>http://example.org/eventloss/9a4cab86-93bb-46ec-a3ca-c7f225cc2183</t>
  </si>
  <si>
    <t>http://example.org/eventloss/7f78cfe6-74f3-4b58-8e2b-6a03f56e36cf</t>
  </si>
  <si>
    <t>http://example.org/eventloss/2e71d2ac-8e54-4d68-a041-f33a41900117</t>
  </si>
  <si>
    <t>http://example.org/eventloss/6fa1fea5-ba3e-4cdd-a086-df1777768e65</t>
  </si>
  <si>
    <t>http://example.org/eventloss/74fe29a0-eeb7-4a70-a0f6-9c8700cb812f</t>
  </si>
  <si>
    <t>http://example.org/eventloss/9f57e780-418c-49e7-8fc3-2eca50a9881e</t>
  </si>
  <si>
    <t>http://example.org/event/2022-0735</t>
  </si>
  <si>
    <t>http://example.org/eventloss/e8b7cfc2-0e96-49f6-b491-4762ac820923</t>
  </si>
  <si>
    <t>http://example.org/event/2022-0080</t>
  </si>
  <si>
    <t>http://example.org/eventloss/c52557d3-6355-45c0-a63f-1af476809272</t>
  </si>
  <si>
    <t>http://example.org/event/2022-0325</t>
  </si>
  <si>
    <t>http://example.org/eventloss/3246526b-6e6c-4713-a57d-eb21e06d91cd</t>
  </si>
  <si>
    <t>http://example.org/event/2022-0244</t>
  </si>
  <si>
    <t>http://example.org/eventloss/b852b78b-39bc-451b-aeab-444f13c32f38</t>
  </si>
  <si>
    <t>http://example.org/event/2022-0811</t>
  </si>
  <si>
    <t>http://example.org/eventloss/05722af1-3758-4914-ad29-6b9b7c6e8d71</t>
  </si>
  <si>
    <t>http://example.org/event/2022-0261</t>
  </si>
  <si>
    <t>http://example.org/eventloss/20225caa-1a53-4f10-ba3d-863360c8f20c</t>
  </si>
  <si>
    <t>http://example.org/event/2022-0193</t>
  </si>
  <si>
    <t>http://example.org/eventloss/2064118c-6f7d-4b6d-b46b-2d839904da77</t>
  </si>
  <si>
    <t>http://example.org/event/2022-0126</t>
  </si>
  <si>
    <t>http://example.org/eventloss/b4600e00-cf25-4666-922d-eb5c9b8ee653</t>
  </si>
  <si>
    <t>http://example.org/event/2022-0212</t>
  </si>
  <si>
    <t>http://example.org/eventloss/38b71663-fa43-409c-be06-eb558b5bc661</t>
  </si>
  <si>
    <t>http://example.org/event/2022-0157</t>
  </si>
  <si>
    <t>http://example.org/eventloss/7c7c62d5-03da-48bf-bbde-c77d3436b373</t>
  </si>
  <si>
    <t>http://example.org/event/2022-0284</t>
  </si>
  <si>
    <t>http://example.org/eventloss/583cd02d-11a9-48eb-b6b5-a6cd50e889df</t>
  </si>
  <si>
    <t>http://example.org/event/2022-0185</t>
  </si>
  <si>
    <t>http://example.org/eventloss/b9149ac6-597f-4c24-8ba7-435335bc0721</t>
  </si>
  <si>
    <t>http://example.org/event/2022-0227</t>
  </si>
  <si>
    <t>http://example.org/eventloss/1e36bfd7-a0e5-4997-bde5-144fc59d70dd</t>
  </si>
  <si>
    <t>http://example.org/event/2021-0797</t>
  </si>
  <si>
    <t>http://example.org/eventloss/071849e1-d64a-4f0a-859a-beb471a4cd2a</t>
  </si>
  <si>
    <t>http://example.org/event/2021-0251</t>
  </si>
  <si>
    <t>http://example.org/eventloss/66942cd5-b2c5-4339-af3e-8c19fc37fee3</t>
  </si>
  <si>
    <t>http://example.org/event/2021-0037</t>
  </si>
  <si>
    <t>http://example.org/eventloss/db967894-a143-4656-8d77-56696c46a029</t>
  </si>
  <si>
    <t>http://example.org/event/2021-0273</t>
  </si>
  <si>
    <t>http://example.org/eventloss/6b179e23-da52-46cd-8910-b496f06a9168</t>
  </si>
  <si>
    <t>http://example.org/event/2021-0199</t>
  </si>
  <si>
    <t>http://example.org/eventloss/ce0524ab-60ba-4ebf-a939-43ea68a1d62e</t>
  </si>
  <si>
    <t>http://example.org/event/2021-0565</t>
  </si>
  <si>
    <t>http://example.org/eventloss/f98b271e-9e8e-4f38-aa4b-034701e661dd</t>
  </si>
  <si>
    <t>http://example.org/event/2021-0166</t>
  </si>
  <si>
    <t>http://example.org/eventloss/57a04493-21ec-47f2-8dfc-abd3a1949eef</t>
  </si>
  <si>
    <t>http://example.org/event/2021-0305</t>
  </si>
  <si>
    <t>http://example.org/eventloss/35488185-f187-4582-9184-d093d497fa23</t>
  </si>
  <si>
    <t>http://example.org/event/2021-0211</t>
  </si>
  <si>
    <t>http://example.org/eventloss/82ecb89e-07e2-4559-b45d-61702252dd45</t>
  </si>
  <si>
    <t>http://example.org/event/2021-0487</t>
  </si>
  <si>
    <t>http://example.org/eventloss/d4cab627-77e3-4d8c-b52b-0ce89ba6f8a7</t>
  </si>
  <si>
    <t>http://example.org/event/2021-0250</t>
  </si>
  <si>
    <t>http://example.org/eventloss/fe01f104-acfc-42af-83a9-bf79dda1ad49</t>
  </si>
  <si>
    <t>http://example.org/event/2021-0266</t>
  </si>
  <si>
    <t>http://example.org/eventloss/14270e2e-359c-4998-b0a2-82faf45ba3a4</t>
  </si>
  <si>
    <t>http://example.org/event/2021-0178</t>
  </si>
  <si>
    <t>http://example.org/eventloss/f7282b3a-d362-4bcf-b5fc-d22916744256</t>
  </si>
  <si>
    <t>http://example.org/event/2021-0815</t>
  </si>
  <si>
    <t>http://example.org/eventloss/8478be06-8447-4528-bf50-2508b5ea3446</t>
  </si>
  <si>
    <t>http://example.org/event/2021-0011</t>
  </si>
  <si>
    <t>http://example.org/eventloss/8e01aec6-d6b8-496f-a35a-a054de8c3178</t>
  </si>
  <si>
    <t>http://example.org/event/2021-0043</t>
  </si>
  <si>
    <t>http://example.org/eventloss/baf9b926-edc3-4449-a16e-d728bd2976c8</t>
  </si>
  <si>
    <t>http://example.org/event/2020-0441</t>
  </si>
  <si>
    <t>http://example.org/eventloss/12922829-b20e-4ccb-9cb3-7c658029c789</t>
  </si>
  <si>
    <t>http://example.org/eventloss/4055f137-f86e-450b-af0c-bdce168fa4bc</t>
  </si>
  <si>
    <t>http://example.org/event/2020-0089</t>
  </si>
  <si>
    <t>http://example.org/eventloss/b7c7dfd5-adb8-484e-bb7a-3a2a7c7e74d6</t>
  </si>
  <si>
    <t>http://example.org/event/2020-0212</t>
  </si>
  <si>
    <t>http://example.org/eventloss/f374737b-29d2-4316-a396-3c5d0efc376f</t>
  </si>
  <si>
    <t>http://example.org/eventloss/a51a0e6d-bf92-4d44-b2a2-a3fdedd8e5c8</t>
  </si>
  <si>
    <t>http://example.org/eventloss/aa4c8a15-3a36-4fab-8ee6-96e6260448b5</t>
  </si>
  <si>
    <t>http://example.org/eventloss/e8d935a5-fe72-4650-ab3c-0e821ce685ef</t>
  </si>
  <si>
    <t>http://example.org/event/2022-0808</t>
  </si>
  <si>
    <t>http://example.org/eventloss/c5f9ab2a-3dcf-46a4-9789-292808dcb5dd</t>
  </si>
  <si>
    <t>http://example.org/event/2019-0517</t>
  </si>
  <si>
    <t>http://example.org/eventloss/0bd5955c-26bb-4a96-b5e5-9b1019709024</t>
  </si>
  <si>
    <t>http://example.org/event/2019-0513</t>
  </si>
  <si>
    <t>http://example.org/eventloss/f6a722fe-989a-4bda-b2cd-0bf57e300c8f</t>
  </si>
  <si>
    <t>http://example.org/event/2023-0253</t>
  </si>
  <si>
    <t>http://example.org/eventloss/71105097-7ee5-4528-b288-7c5e4ee4c0e8</t>
  </si>
  <si>
    <t>http://example.org/event/2023-0843</t>
  </si>
  <si>
    <t>http://example.org/eventloss/f606e223-6580-444f-b7da-6dd018af2bb0</t>
  </si>
  <si>
    <t>http://example.org/event/2023-0288</t>
  </si>
  <si>
    <t>http://example.org/eventloss/252245a6-5e69-4e10-a24a-283302b2cdbe</t>
  </si>
  <si>
    <t>http://example.org/event/2023-0192</t>
  </si>
  <si>
    <t>http://example.org/eventloss/aa1d1412-6513-4301-9cb7-64dcd731bbb6</t>
  </si>
  <si>
    <t>http://example.org/event/2023-0239</t>
  </si>
  <si>
    <t>http://example.org/eventloss/05ee010d-8ec0-4d43-8f47-b8c552f30534</t>
  </si>
  <si>
    <t>http://example.org/event/2023-0656</t>
  </si>
  <si>
    <t>http://example.org/eventloss/274e27f6-5359-4f52-b68a-5f481dd912f4</t>
  </si>
  <si>
    <t>http://example.org/event/2023-0370</t>
  </si>
  <si>
    <t>http://example.org/eventloss/5f34e018-3523-4b7d-b050-083e9982a6b9</t>
  </si>
  <si>
    <t>http://example.org/event/2023-0176</t>
  </si>
  <si>
    <t>http://example.org/eventloss/16f0599f-4e71-4739-b92f-216edc808499</t>
  </si>
  <si>
    <t>http://example.org/event/2023-0332</t>
  </si>
  <si>
    <t>http://example.org/eventloss/a4fa06d6-7aac-4d54-bc78-8ea88f73ac92</t>
  </si>
  <si>
    <t>http://example.org/event/2023-0324</t>
  </si>
  <si>
    <t>http://example.org/eventloss/bcef01af-0b36-4dd0-a64f-50ebf6f46174</t>
  </si>
  <si>
    <t>http://example.org/event/2023-0122</t>
  </si>
  <si>
    <t>http://example.org/eventloss/23540a14-12cb-404e-b6b6-5978f8d0fb3e</t>
  </si>
  <si>
    <t>http://example.org/event/2022-0863</t>
  </si>
  <si>
    <t>http://example.org/eventloss/bd743d68-1734-422c-8426-60d7afd8bfd4</t>
  </si>
  <si>
    <t>http://example.org/event/2023-0135</t>
  </si>
  <si>
    <t>http://example.org/eventloss/0e7a2129-8492-4d4b-9e02-455bdb34ea18</t>
  </si>
  <si>
    <t>http://example.org/event/2023-0032</t>
  </si>
  <si>
    <t>http://example.org/eventloss/cc892ba4-200b-423c-b4bd-e77b46760179</t>
  </si>
  <si>
    <t>http://example.org/event/2023-0826</t>
  </si>
  <si>
    <t>http://example.org/eventloss/15a39278-affb-4dfa-b047-3357550ab4ad</t>
  </si>
  <si>
    <t>http://example.org/event/2023-0206</t>
  </si>
  <si>
    <t>http://example.org/eventloss/21d9af71-e8f7-482b-bfa1-d9dd41b1566c</t>
  </si>
  <si>
    <t>http://example.org/eventloss/b0ec288c-19f1-4603-a864-5eda1e20f9be</t>
  </si>
  <si>
    <t>http://example.org/eventloss/6e367d79-2081-4c8e-adf7-6cb96398e783</t>
  </si>
  <si>
    <t>http://example.org/eventloss/44aac2ec-6bbe-4773-9864-516ef10b962b</t>
  </si>
  <si>
    <t>http://example.org/eventloss/a4d923b1-915c-4758-9c7e-76b95b91043f</t>
  </si>
  <si>
    <t>http://example.org/eventloss/c6a0f614-e6be-4663-84b3-435891eeb6e1</t>
  </si>
  <si>
    <t>http://example.org/eventloss/f775e728-634e-4f1f-9593-0c7876e043c3</t>
  </si>
  <si>
    <t>http://example.org/eventloss/263afd59-be20-405b-b743-6dbc34853c61</t>
  </si>
  <si>
    <t>http://example.org/event/2017-0086</t>
  </si>
  <si>
    <t>http://example.org/adminboundary/FR</t>
  </si>
  <si>
    <t>http://example.org/region/cr_EU_WS</t>
  </si>
  <si>
    <t>http://example.org/eventloss/ee081663-29c5-4204-b234-6108275f6b22</t>
  </si>
  <si>
    <t>http://example.org/event/2017-0565</t>
  </si>
  <si>
    <t>http://example.org/adminboundary/DE</t>
  </si>
  <si>
    <t>http://example.org/eventloss/7343fd34-9bef-4817-8b95-710ea4c76cac</t>
  </si>
  <si>
    <t>http://example.org/event/2017-0408</t>
  </si>
  <si>
    <t>http://example.org/adminboundary/IT</t>
  </si>
  <si>
    <t>http://example.org/eventloss/11af63a1-003a-44b0-9dbe-f07e8e5c92d9</t>
  </si>
  <si>
    <t>http://example.org/event/2017-0360</t>
  </si>
  <si>
    <t>http://example.org/eventloss/fbb29c4e-c928-4829-9d1e-cdec7e3ec399</t>
  </si>
  <si>
    <t>http://example.org/event/2017-0328</t>
  </si>
  <si>
    <t>http://example.org/eventloss/751cd4e9-eb15-487c-987f-d94df6e58fd7</t>
  </si>
  <si>
    <t>http://example.org/eventloss/0a208f81-2996-42f3-8d20-ce0c5a7aa693</t>
  </si>
  <si>
    <t>http://example.org/eventloss/fad76a38-1b2f-4369-a544-d647cb2282a4</t>
  </si>
  <si>
    <t>http://example.org/eventloss/0d15874a-5cb8-4ec3-9d06-bdefd41b624e</t>
  </si>
  <si>
    <t>http://example.org/eventloss/d759e1c4-b61e-4514-b0a7-006bd33ef594</t>
  </si>
  <si>
    <t>http://example.org/eventloss/a1d1c0d6-3da7-4507-9be2-00d87c22f78d</t>
  </si>
  <si>
    <t>http://example.org/eventloss/b1ad9acc-f8a8-4d54-81c9-56c037da03a6</t>
  </si>
  <si>
    <t>http://example.org/eventloss/9fe1e1e9-7d5b-4d02-a0bb-1987daecbcd7</t>
  </si>
  <si>
    <t>http://example.org/eventloss/e3ac5b73-cc9c-452d-88d9-6c81c0fc06a6</t>
  </si>
  <si>
    <t>http://example.org/eventloss/d9f24e86-95cf-42d4-8cca-025a831b6a69</t>
  </si>
  <si>
    <t>http://example.org/event/2021-0433</t>
  </si>
  <si>
    <t>http://example.org/eventloss/93a6ae89-7b6c-4dbb-9544-3a6803322033</t>
  </si>
  <si>
    <t>http://example.org/event/2021-0410</t>
  </si>
  <si>
    <t>http://example.org/eventloss/27eeddc6-0563-4570-96a2-4e8d03450418</t>
  </si>
  <si>
    <t>http://example.org/event/2021-0526</t>
  </si>
  <si>
    <t>http://example.org/eventloss/897cfa21-a835-4892-9c50-a3fbb5f068fb</t>
  </si>
  <si>
    <t>http://example.org/event/2021-0357</t>
  </si>
  <si>
    <t>http://example.org/eventloss/08d3a63d-b1dc-457c-b9e3-63cced89d861</t>
  </si>
  <si>
    <t>http://example.org/event/2018-0025</t>
  </si>
  <si>
    <t>http://example.org/eventloss/9ad4b357-4fb8-461b-bfa7-33784d830c80</t>
  </si>
  <si>
    <t>http://example.org/adminboundary/NL</t>
  </si>
  <si>
    <t>http://example.org/eventloss/cf9f7ade-dd40-4ed9-b602-28678fde6d17</t>
  </si>
  <si>
    <t>http://example.org/event/2018-0002</t>
  </si>
  <si>
    <t>http://example.org/eventloss/a61b8d7a-7235-4d2e-a972-8b1461113dbc</t>
  </si>
  <si>
    <t>http://example.org/event/2018-0397</t>
  </si>
  <si>
    <t>http://example.org/eventloss/04b7d108-3971-4a70-8001-fbe4c1d06005</t>
  </si>
  <si>
    <t>http://example.org/event/2018-0376</t>
  </si>
  <si>
    <t>http://example.org/adminboundary/PT</t>
  </si>
  <si>
    <t>http://example.org/eventloss/50bd5469-9256-41f2-a29b-3e78a30c3bdc</t>
  </si>
  <si>
    <t>http://example.org/eventloss/c1f63cd4-db87-48bd-8727-ea2c6e1882a8</t>
  </si>
  <si>
    <t>http://example.org/event/2021-0566</t>
  </si>
  <si>
    <t>http://example.org/eventloss/795b086a-66a7-4bbf-8fa6-7bf47c36b04c</t>
  </si>
  <si>
    <t>http://example.org/event/2021-0784</t>
  </si>
  <si>
    <t>http://example.org/eventloss/b7bdd41e-1aeb-4252-b3e4-67d0e14e219d</t>
  </si>
  <si>
    <t>http://example.org/event/2021-0533</t>
  </si>
  <si>
    <t>http://example.org/eventloss/30c17310-d5ed-4a23-9ada-c5ea1e701b1d</t>
  </si>
  <si>
    <t>http://example.org/event/2021-0488</t>
  </si>
  <si>
    <t>http://example.org/eventloss/7b26156b-fd0a-4bd8-98b1-de0cbe56d810</t>
  </si>
  <si>
    <t>http://example.org/eventloss/71a7e341-aadb-4a45-ad84-5d240826e2c6</t>
  </si>
  <si>
    <t>http://example.org/event/2021-0741</t>
  </si>
  <si>
    <t>http://example.org/eventloss/0087470e-333e-48dd-b1cd-24b9f35df65a</t>
  </si>
  <si>
    <t>http://example.org/eventloss/3a504c7b-e838-4707-8556-f49e5eb3bd12</t>
  </si>
  <si>
    <t>http://example.org/event/2021-0442</t>
  </si>
  <si>
    <t>http://example.org/eventloss/0e85af10-e29c-4531-8b92-31527d6e0771</t>
  </si>
  <si>
    <t>http://example.org/event/2021-0733</t>
  </si>
  <si>
    <t>http://example.org/eventloss/44895a7f-b465-4dde-b74b-07f1b850df55</t>
  </si>
  <si>
    <t>http://example.org/event/2021-0193</t>
  </si>
  <si>
    <t>http://example.org/eventloss/d87732bb-736f-4fb0-ba31-1809cc8d767b</t>
  </si>
  <si>
    <t>http://example.org/event/2021-0562</t>
  </si>
  <si>
    <t>http://example.org/eventloss/b912f09a-789d-4ad1-8eea-445602f4fb7a</t>
  </si>
  <si>
    <t>http://example.org/event/2021-0150</t>
  </si>
  <si>
    <t>http://example.org/eventloss/9133ea16-a379-48d2-9a3b-082e3e833334</t>
  </si>
  <si>
    <t>http://example.org/eventloss/f4a2fe2f-3fa7-42b2-a07c-5d7561d41383</t>
  </si>
  <si>
    <t>http://example.org/event/2021-0117</t>
  </si>
  <si>
    <t>http://example.org/eventloss/2f255abc-3940-4676-8c9f-3282a98db539</t>
  </si>
  <si>
    <t>http://example.org/event/2021-0335</t>
  </si>
  <si>
    <t>http://example.org/eventloss/d33af9cd-a482-4d35-b6f4-1a75961ec988</t>
  </si>
  <si>
    <t>http://example.org/event/2017-0542</t>
  </si>
  <si>
    <t>http://example.org/eventloss/e5dcbc76-ca73-42a6-aeab-40c85201fd2a</t>
  </si>
  <si>
    <t>http://example.org/event/2018-0045</t>
  </si>
  <si>
    <t>http://example.org/eventloss/ce2def3d-7a45-4d90-ac92-01d4a87617bb</t>
  </si>
  <si>
    <t>http://example.org/event/2018-0046</t>
  </si>
  <si>
    <t>http://example.org/eventloss/54a89b05-d8e0-46f3-934a-b06197d44064</t>
  </si>
  <si>
    <t>http://example.org/event/2018-0457</t>
  </si>
  <si>
    <t>http://example.org/eventloss/51b4e197-b72c-40ce-8eff-efdb7829f070</t>
  </si>
  <si>
    <t>http://example.org/event/2018-0111</t>
  </si>
  <si>
    <t>http://example.org/eventloss/7f8d2fdb-891e-4505-b536-990d593b71f6</t>
  </si>
  <si>
    <t>http://example.org/event/2022-0480</t>
  </si>
  <si>
    <t>http://example.org/eventloss/39e46069-fd9c-48e3-86db-89fc11b93d00</t>
  </si>
  <si>
    <t>http://example.org/event/2018-0409</t>
  </si>
  <si>
    <t>http://example.org/eventloss/cb5172dc-d468-4331-990e-5ac28c03cf3e</t>
  </si>
  <si>
    <t>http://example.org/event/2018-0258</t>
  </si>
  <si>
    <t>http://example.org/eventloss/8d7ad5cc-59d2-46a1-89ba-975eda55937e</t>
  </si>
  <si>
    <t>http://example.org/event/2018-0468</t>
  </si>
  <si>
    <t>http://example.org/eventloss/b71f2cfc-dedf-4add-b0e3-09d763833eb7</t>
  </si>
  <si>
    <t>http://example.org/event/2017-0511</t>
  </si>
  <si>
    <t>http://example.org/eventloss/df47bf03-5fda-4a99-b7e7-f484d6ea8ae5</t>
  </si>
  <si>
    <t>http://example.org/event/2017-0434</t>
  </si>
  <si>
    <t>http://example.org/eventloss/1a1f2936-b98e-49c6-86f8-63e260026152</t>
  </si>
  <si>
    <t>http://example.org/eventloss/b2fe30b1-62ee-4a07-91ff-2793d1fafcfa</t>
  </si>
  <si>
    <t>http://example.org/eventloss/85ba27d2-63da-4f4a-a8ef-65effff60873</t>
  </si>
  <si>
    <t>http://example.org/eventloss/09b3e5b7-070a-4736-95a9-17ebd83a017b</t>
  </si>
  <si>
    <t>http://example.org/eventloss/171d758b-5653-464c-8b20-f85e6caab515</t>
  </si>
  <si>
    <t>http://example.org/eventloss/e4a9f3fa-a363-42da-86da-c64e36a15681</t>
  </si>
  <si>
    <t>http://example.org/event/2017-0108</t>
  </si>
  <si>
    <t>http://example.org/eventloss/c773394b-4915-4665-9767-c8ee20b0530d</t>
  </si>
  <si>
    <t>http://example.org/event/2017-0039</t>
  </si>
  <si>
    <t>http://example.org/eventloss/a7a0599d-bcba-467f-8d83-47924af6e103</t>
  </si>
  <si>
    <t>http://example.org/event/2021-0059</t>
  </si>
  <si>
    <t>http://example.org/eventloss/e36a67b8-3b0f-4317-8846-68fb53395796</t>
  </si>
  <si>
    <t>http://example.org/event/2021-0096</t>
  </si>
  <si>
    <t>http://example.org/eventloss/7ecd065d-a98e-47c8-8fb2-212123b92276</t>
  </si>
  <si>
    <t>http://example.org/event/2023-0426</t>
  </si>
  <si>
    <t>http://example.org/eventloss/4d10356f-085d-4dda-a80d-9977b09aa354</t>
  </si>
  <si>
    <t>http://example.org/event/2023-0225</t>
  </si>
  <si>
    <t>http://example.org/eventloss/c91d7359-3274-466f-a055-941330d32402</t>
  </si>
  <si>
    <t>http://example.org/eventloss/b64c19aa-4c48-41bc-aac4-0364a6377a8a</t>
  </si>
  <si>
    <t>http://example.org/event/2022-0818</t>
  </si>
  <si>
    <t>http://example.org/eventloss/4fef633a-4e86-4a19-a046-428d59941a8e</t>
  </si>
  <si>
    <t>http://example.org/event/2022-0007</t>
  </si>
  <si>
    <t>http://example.org/eventloss/b3283f53-8b6d-4381-847c-488586e79340</t>
  </si>
  <si>
    <t>http://example.org/event/2017-0015</t>
  </si>
  <si>
    <t>http://example.org/region/cr_EU_AP</t>
  </si>
  <si>
    <t>http://example.org/eventloss/f489d670-941d-4441-95f6-a4d050e38f1e</t>
  </si>
  <si>
    <t>http://example.org/eventloss/5fdea964-e521-473b-8c1c-7068452b6289</t>
  </si>
  <si>
    <t>http://example.org/eventloss/b96c06e9-3891-4739-8c47-bb6a59d662ec</t>
  </si>
  <si>
    <t>http://example.org/eventloss/9150d24f-41a8-47d5-ac7a-d2bc011e855b</t>
  </si>
  <si>
    <t>http://example.org/eventloss/73c1132f-b6d3-45d6-a0a2-e1e2fe8d4c32</t>
  </si>
  <si>
    <t>http://example.org/eventloss/0cc9cba9-9384-40fa-b9a5-13c48ec5a2f1</t>
  </si>
  <si>
    <t>http://example.org/eventloss/327259a7-e29d-42ca-b655-3b3d7e7de159</t>
  </si>
  <si>
    <t>http://example.org/eventloss/bc0a513a-5068-4db7-854e-db2a79872905</t>
  </si>
  <si>
    <t>http://example.org/eventloss/a8ac9614-e118-46ff-bf1a-9c4c3186b9bf</t>
  </si>
  <si>
    <t>http://example.org/eventloss/4aff314b-cab1-4715-97cc-242e93799daa</t>
  </si>
  <si>
    <t>http://example.org/eventloss/41994075-f934-43fc-aad0-995040d5929f</t>
  </si>
  <si>
    <t>http://example.org/eventloss/d6dc86d5-f7f1-4658-84c8-77a0be3b2e1d</t>
  </si>
  <si>
    <t>http://example.org/eventloss/fc235d7e-a1c6-4467-aabb-41d04e38e359</t>
  </si>
  <si>
    <t>http://example.org/eventloss/0f87a890-4ae5-4471-8e6c-cd6238e3e630</t>
  </si>
  <si>
    <t>http://example.org/eventloss/d6d37bbe-476e-4eb8-ae79-b6aa805b12b8</t>
  </si>
  <si>
    <t>http://example.org/eventloss/312b37d6-ee17-49d3-8b19-142ea646697c</t>
  </si>
  <si>
    <t>http://example.org/eventloss/78a4a40c-7494-46b4-a537-2d5c1c836ddb</t>
  </si>
  <si>
    <t>http://example.org/eventloss/d2622878-08fc-4b99-933d-6cf66efd3d77</t>
  </si>
  <si>
    <t>http://example.org/eventloss/57f2aa19-ae9d-4333-ac0a-c63e2bc72a60</t>
  </si>
  <si>
    <t>http://example.org/eventloss/81375e5f-4c33-48d4-96f5-50ab4d993e23</t>
  </si>
  <si>
    <t>http://example.org/eventloss/cc3165fe-3f03-4562-ab2f-af049a64f49e</t>
  </si>
  <si>
    <t>http://example.org/eventloss/39aac163-41ec-48e8-93db-c10ddcef3d58</t>
  </si>
  <si>
    <t>http://example.org/eventloss/b223b784-9d31-4854-a6fe-0788168ad058</t>
  </si>
  <si>
    <t>http://example.org/eventloss/32fbe971-cab7-4ef5-9897-d689a17a5858</t>
  </si>
  <si>
    <t>http://example.org/eventloss/2a19457f-f116-4e3f-8bd0-3fd4e6b71644</t>
  </si>
  <si>
    <t>http://example.org/eventloss/1665f5bd-3f28-4302-8686-d5cbc4d86334</t>
  </si>
  <si>
    <t>http://example.org/eventloss/922a4d54-201d-447e-b4d5-106e5fd5efca</t>
  </si>
  <si>
    <t>http://example.org/eventloss/00936b06-dd50-4cc3-9cf2-4e408d2cd7d0</t>
  </si>
  <si>
    <t>http://example.org/eventloss/c858a64a-e16f-4e42-802e-78d656290eb8</t>
  </si>
  <si>
    <t>http://example.org/eventloss/83b32866-cfee-4e58-9f75-697c070c6ecf</t>
  </si>
  <si>
    <t>http://example.org/eventloss/7d155e0d-ad3e-44a9-87f7-032a2ba43521</t>
  </si>
  <si>
    <t>http://example.org/eventloss/da9408d8-171e-46c9-b88d-2a60a7ba87a8</t>
  </si>
  <si>
    <t>http://example.org/eventloss/cabef5d8-3aeb-4447-b4e7-99e51d72f1e1</t>
  </si>
  <si>
    <t>http://example.org/eventloss/4cf3f8a5-9b5a-4f7d-ba41-a79776e177fc</t>
  </si>
  <si>
    <t>http://example.org/eventloss/87de93f0-9b44-44c3-bfb5-79ab09077fa6</t>
  </si>
  <si>
    <t>http://example.org/eventloss/c3538fac-fad7-4090-bef1-8e534ad7ec0a</t>
  </si>
  <si>
    <t>http://example.org/eventloss/dcad53a5-5591-4639-8550-928d931e088f</t>
  </si>
  <si>
    <t>http://example.org/eventloss/f609a819-2afb-4e29-987c-13f7ddace5bc</t>
  </si>
  <si>
    <t>http://example.org/eventloss/1209a70c-ad3a-4366-80fa-9d272b794c33</t>
  </si>
  <si>
    <t>http://example.org/eventloss/82aac889-989a-4dfa-ad59-06bfd7879c5e</t>
  </si>
  <si>
    <t>http://example.org/eventloss/f1a69cea-8c10-4d00-a1c9-b30221be15b2</t>
  </si>
  <si>
    <t>http://example.org/eventloss/8ad6e600-aea9-4312-a7e9-d01dc63643d3</t>
  </si>
  <si>
    <t>http://example.org/eventloss/c2c65a50-4d72-466f-958f-50dc5c224115</t>
  </si>
  <si>
    <t>http://example.org/eventloss/2ed7be5c-cdd8-4aac-b5d1-33cf98adbdb5</t>
  </si>
  <si>
    <t>http://example.org/eventloss/e9bf8be7-cc3b-4a3e-a5fe-d5b50bd89abb</t>
  </si>
  <si>
    <t>http://example.org/eventloss/4db6d12c-911d-4f2d-830b-a8765ea9fab8</t>
  </si>
  <si>
    <t>http://example.org/eventloss/68ce55c3-3a60-40a9-a8e9-e5cf92f05fe6</t>
  </si>
  <si>
    <t>http://example.org/eventloss/acb2a4fe-daa2-477a-8390-e7dbb0a0f7b7</t>
  </si>
  <si>
    <t>http://example.org/eventloss/99c41be4-9ba5-4431-a24a-dd7a918a0276</t>
  </si>
  <si>
    <t>http://example.org/eventloss/66268e40-4b8d-4b4e-ac57-e8be5d5db6fc</t>
  </si>
  <si>
    <t>http://example.org/eventloss/48b2ff92-67c2-4010-8749-025798aebbfa</t>
  </si>
  <si>
    <t>http://example.org/eventloss/eea6431d-55cf-4451-be26-e9194a868dc9</t>
  </si>
  <si>
    <t>http://example.org/eventloss/b6466a89-10bc-4776-9de9-2ff619087b01</t>
  </si>
  <si>
    <t>http://example.org/eventloss/0122f858-03fe-4092-960a-6006549e8a65</t>
  </si>
  <si>
    <t>http://example.org/eventloss/dacb2e34-b2f7-409e-bb7a-486b7f0f7cbd</t>
  </si>
  <si>
    <t>http://example.org/eventloss/fc03a63c-732b-4d53-a3a2-eec9f0dc64e2</t>
  </si>
  <si>
    <t>http://example.org/eventloss/b1f959d6-fc9b-4058-9795-12485797339c</t>
  </si>
  <si>
    <t>http://example.org/eventloss/6f9a3e50-e3b3-48b7-8a5c-755758edc8cd</t>
  </si>
  <si>
    <t>http://example.org/eventloss/a9e4e407-e45c-477d-a73f-dce4b47f17c1</t>
  </si>
  <si>
    <t>http://example.org/eventloss/80f29d61-87dc-4df2-8867-598c506388ce</t>
  </si>
  <si>
    <t>http://example.org/eventloss/39355c3e-8ddd-4ed5-8773-07c1cd5f3a74</t>
  </si>
  <si>
    <t>http://example.org/eventloss/9eefd764-65fb-45ca-a871-305bbfa451e3</t>
  </si>
  <si>
    <t>http://example.org/eventloss/17b291ae-6e3a-491f-8cde-dc3238a092bc</t>
  </si>
  <si>
    <t>http://example.org/eventloss/ef13a3ca-cd26-417d-a084-13c84ba3037f</t>
  </si>
  <si>
    <t>http://example.org/eventloss/c379f105-81e5-4c28-8692-23d521fe36a7</t>
  </si>
  <si>
    <t>http://example.org/eventloss/001ca5ab-5178-4302-8835-5c04d7a328ec</t>
  </si>
  <si>
    <t>http://example.org/eventloss/de3c927e-1b89-4dcf-a09b-d98d550bee12</t>
  </si>
  <si>
    <t>http://example.org/eventloss/fe811b32-97a6-4fd8-b34a-a13825bd244f</t>
  </si>
  <si>
    <t>http://example.org/eventloss/54293cd0-27c0-400f-85ef-01601b1f0212</t>
  </si>
  <si>
    <t>http://example.org/eventloss/ca56454e-b8c9-4858-af94-ffc04962e34a</t>
  </si>
  <si>
    <t>http://example.org/eventloss/0898479b-d8ff-4bc8-81c1-742e06370b25</t>
  </si>
  <si>
    <t>http://example.org/eventloss/486ea9aa-135a-48d1-acb8-7e8e73623ce4</t>
  </si>
  <si>
    <t>http://example.org/eventloss/a00433b4-b3a1-4a07-93dc-080f7bafb229</t>
  </si>
  <si>
    <t>http://example.org/eventloss/06657cc8-b9f3-4df5-ab06-b134255dee5b</t>
  </si>
  <si>
    <t>http://example.org/eventloss/00f80dbb-c997-4686-84a8-347e3e32c3ce</t>
  </si>
  <si>
    <t>http://example.org/event/2019-0558</t>
  </si>
  <si>
    <t>http://example.org/eventloss/6f3ce3d9-792d-4aa3-a6ac-f4deabc90c9b</t>
  </si>
  <si>
    <t>http://example.org/event/2019-0621</t>
  </si>
  <si>
    <t>http://example.org/eventloss/70db697e-d800-4aa8-8ce0-268956f8550f</t>
  </si>
  <si>
    <t>http://example.org/event/2023-0323</t>
  </si>
  <si>
    <t>http://example.org/eventloss/1d9ef619-4918-4aac-97bc-688be9545796</t>
  </si>
  <si>
    <t>http://example.org/event/2022-0215</t>
  </si>
  <si>
    <t>http://example.org/eventloss/93ac645c-c931-43fc-a2d8-4cf3b8e0bac1</t>
  </si>
  <si>
    <t>http://example.org/event/2022-0486</t>
  </si>
  <si>
    <t>http://example.org/eventloss/609f2675-0479-4b4b-a82e-de4345e29adf</t>
  </si>
  <si>
    <t>http://example.org/event/2021-0832</t>
  </si>
  <si>
    <t>http://example.org/eventloss/0484ea09-b6d6-4fb1-9821-1f3a5fe4f613</t>
  </si>
  <si>
    <t>http://example.org/event/2021-0627</t>
  </si>
  <si>
    <t>http://example.org/adminboundary/GR</t>
  </si>
  <si>
    <t>http://example.org/eventloss/89835f9f-cab9-42c4-92c5-858888affb43</t>
  </si>
  <si>
    <t>http://example.org/event/2021-0134</t>
  </si>
  <si>
    <t>http://example.org/eventloss/85424d0e-032a-4b6e-bb8a-94451985e73d</t>
  </si>
  <si>
    <t>http://example.org/eventloss/2910b90b-adf3-4184-bd53-c024144949c9</t>
  </si>
  <si>
    <t>http://example.org/eventloss/ebbc086a-9cfa-4780-87df-b5b57abcedc7</t>
  </si>
  <si>
    <t>http://example.org/event/2020-0406</t>
  </si>
  <si>
    <t>http://example.org/eventloss/f613f1f9-e8a8-4138-8d3a-a404191d6c60</t>
  </si>
  <si>
    <t>http://example.org/event/2020-0418</t>
  </si>
  <si>
    <t>http://example.org/eventloss/bb58bf1d-7b72-4342-aac2-48da5e553977</t>
  </si>
  <si>
    <t>http://example.org/eventloss/4faa8f3b-385e-4b8d-be93-9a659a77f5ed</t>
  </si>
  <si>
    <t>http://example.org/eventloss/d6c6d76e-e414-43d8-908e-14552e2157a4</t>
  </si>
  <si>
    <t>http://example.org/eventloss/e06017a9-8547-49e2-987b-57f8af2ff0cf</t>
  </si>
  <si>
    <t>http://example.org/eventloss/d6b8e565-3dfb-4b57-acb7-2f211aa5e078</t>
  </si>
  <si>
    <t>http://example.org/eventloss/02aacf29-e276-4a57-a789-7ce76678f8b4</t>
  </si>
  <si>
    <t>http://example.org/eventloss/284e8820-f8dd-42f6-92b9-532c5c0492b6</t>
  </si>
  <si>
    <t>http://example.org/eventloss/48a9f6a6-91df-4387-9c8f-6e936b11e47c</t>
  </si>
  <si>
    <t>http://example.org/eventloss/034486cc-ef81-4013-a597-3d8aed5e010e</t>
  </si>
  <si>
    <t>http://example.org/eventloss/6adfb84b-9629-488f-b2d5-ffd4f45e172d</t>
  </si>
  <si>
    <t>http://example.org/eventloss/a76c48af-7657-41f9-9a3b-eedb89ae84b6</t>
  </si>
  <si>
    <t>http://example.org/adminboundary/PR</t>
  </si>
  <si>
    <t>http://example.org/region/cr_CB_AP</t>
  </si>
  <si>
    <t>http://example.org/eventloss/c696d277-86de-4143-aa2e-355a20227980</t>
  </si>
  <si>
    <t>http://example.org/event/2023-0466</t>
  </si>
  <si>
    <t>http://example.org/eventloss/9e2e7759-350d-4109-819b-acfc8495d4df</t>
  </si>
  <si>
    <t>http://example.org/event/2023-0761</t>
  </si>
  <si>
    <t>http://example.org/eventloss/d6f706eb-5692-4a9c-9622-652a823b966f</t>
  </si>
  <si>
    <t>http://example.org/event/2022-0112</t>
  </si>
  <si>
    <t>http://example.org/adminboundary/GB</t>
  </si>
  <si>
    <t>http://example.org/eventloss/e6e0b1cf-7417-4bdf-a089-020ee7660980</t>
  </si>
  <si>
    <t>http://example.org/eventloss/88d37169-b50b-46f3-a319-bc67b85aeb78</t>
  </si>
  <si>
    <t>http://example.org/eventloss/3c3f3d70-f1b5-44a3-8945-b483f18f7575</t>
  </si>
  <si>
    <t>http://example.org/event/2017-0383</t>
  </si>
  <si>
    <t>http://example.org/eventloss/6123e168-2c53-49b0-b623-ec3a8b536e6e</t>
  </si>
  <si>
    <t>http://example.org/adminboundary/BS</t>
  </si>
  <si>
    <t>http://example.org/eventloss/028d03cb-9364-4ace-8b45-2b57259d4ccb</t>
  </si>
  <si>
    <t>http://example.org/eventloss/d146e39d-398c-4a2e-945a-45c52fe985d3</t>
  </si>
  <si>
    <t>http://example.org/eventloss/2510d578-7a39-4857-a88d-8f1d40c0a688</t>
  </si>
  <si>
    <t>http://example.org/event/2023-0524</t>
  </si>
  <si>
    <t>http://example.org/eventloss/b563818b-afee-4f80-9a6e-7468150dd44e</t>
  </si>
  <si>
    <t>http://example.org/eventloss/4e8aa07d-321c-4264-af30-ad03527747a9</t>
  </si>
  <si>
    <t>http://example.org/eventloss/e6ea8d63-cc03-47c6-a30c-7b55c01002f5</t>
  </si>
  <si>
    <t>http://example.org/eventloss/6fbfa64e-929d-432e-98f5-8f33579a8ba4</t>
  </si>
  <si>
    <t>http://example.org/eventloss/ec473d96-cbe4-4334-88f0-90bfdeed30d5</t>
  </si>
  <si>
    <t>http://example.org/eventloss/24563957-e801-450f-ad62-0ae570fe619d</t>
  </si>
  <si>
    <t>http://example.org/eventloss/13cc5d00-578b-43cf-95b8-f1a52c0fa855</t>
  </si>
  <si>
    <t>http://example.org/eventloss/f1d4e894-9174-47a0-88ab-9cb5856ec72e</t>
  </si>
  <si>
    <t>http://example.org/eventloss/0c8cdcf9-3630-401e-8e35-5a956acb7ee1</t>
  </si>
  <si>
    <t>http://example.org/eventloss/497e4a1b-d869-48a7-b093-2d3432aca7e7</t>
  </si>
  <si>
    <t>http://example.org/eventloss/c37467ce-d4fd-45a9-b648-55e54a5abd11</t>
  </si>
  <si>
    <t>http://example.org/eventloss/38148aec-fa17-4602-9dd7-97bfc5a5af38</t>
  </si>
  <si>
    <t>http://example.org/eventloss/93b50b4b-3cac-4c0d-b175-c46b41f0b4bf</t>
  </si>
  <si>
    <t>http://example.org/eventloss/fcfab329-bd24-485f-a148-6fbd9650179b</t>
  </si>
  <si>
    <t>http://example.org/eventloss/a9a6b0d1-63ed-44cd-8d6a-6ba0a60f1f57</t>
  </si>
  <si>
    <t>http://example.org/eventloss/53d17e38-d233-44a3-95f8-906f98087226</t>
  </si>
  <si>
    <t>http://example.org/eventloss/3da7f7c7-768b-4b64-9689-d7ea8fef9ccb</t>
  </si>
  <si>
    <t>http://example.org/eventloss/a85ef9f2-02a2-416d-82d6-e814fe0fb745</t>
  </si>
  <si>
    <t>http://example.org/eventloss/6f14e758-050e-4c86-b6a1-389a04bfffec</t>
  </si>
  <si>
    <t>http://example.org/eventloss/d04f50fe-0b43-41f8-96d0-fa2c9d4c3fce</t>
  </si>
  <si>
    <t>http://example.org/eventloss/8fb02a05-af01-41dd-b19c-c859235cac22</t>
  </si>
  <si>
    <t>http://example.org/eventloss/5fd08898-d895-4287-848d-629e667f3b78</t>
  </si>
  <si>
    <t>http://example.org/eventloss/4e084ec7-27c4-4844-a49b-351346f22157</t>
  </si>
  <si>
    <t>http://example.org/event/2018-0366</t>
  </si>
  <si>
    <t>http://example.org/adminboundary/CA</t>
  </si>
  <si>
    <t>http://example.org/region/cr_CA_AP</t>
  </si>
  <si>
    <t>http://example.org/eventloss/1984dead-ec03-4f2f-9ce2-d0352dfa4da6</t>
  </si>
  <si>
    <t>http://example.org/eventloss/ab83bc83-42cc-4a80-b776-54895ef54c23</t>
  </si>
  <si>
    <t>http://example.org/event/2020-0266</t>
  </si>
  <si>
    <t>http://example.org/eventloss/015f9f49-0728-43b5-9415-396d99dfdd81</t>
  </si>
  <si>
    <t>http://example.org/eventloss/4ad1cd0a-9f8d-4c47-966d-2888aaf6b077</t>
  </si>
  <si>
    <t>http://example.org/eventloss/df551468-f5d3-4bdb-8f33-57d667ee7f58</t>
  </si>
  <si>
    <t>http://example.org/eventloss/3c760522-441a-4745-a192-d40c7ddc1220</t>
  </si>
  <si>
    <t>http://example.org/eventloss/0c7b8446-c2a0-41e7-bbc7-02b744361176</t>
  </si>
  <si>
    <t>http://example.org/event/2022-0603</t>
  </si>
  <si>
    <t>http://example.org/eventloss/65484fc9-d331-443b-a2cb-b2ffe006bc7c</t>
  </si>
  <si>
    <t>http://example.org/event/2019-0532</t>
  </si>
  <si>
    <t>http://example.org/eventloss/12e305ea-fa65-4f47-ba85-2c83e4f2a7fa</t>
  </si>
  <si>
    <t>http://example.org/event/2020-0459</t>
  </si>
  <si>
    <t>http://example.org/eventloss/f1e25496-6ebc-4ae5-afe2-bc71e1c6f32d</t>
  </si>
  <si>
    <t>http://example.org/event/2020-0331</t>
  </si>
  <si>
    <t>http://example.org/eventloss/f00bfd9d-88bd-4cbf-95a0-3ef4615dd986</t>
  </si>
  <si>
    <t>http://example.org/event/2020-0521</t>
  </si>
  <si>
    <t>http://example.org/eventloss/62f0a6ae-001d-4ecc-81bd-5f1d5df648dc</t>
  </si>
  <si>
    <t>http://example.org/event/2020-0540</t>
  </si>
  <si>
    <t>http://example.org/eventloss/7a311861-1e2f-4b07-8fd0-def02335291d</t>
  </si>
  <si>
    <t>http://example.org/event/2020-0158</t>
  </si>
  <si>
    <t>http://example.org/region/cr_CB_EQ</t>
  </si>
  <si>
    <t>http://example.org/eventloss/abd49791-8645-425c-bece-6207a662b109</t>
  </si>
  <si>
    <t>http://example.org/event/2020-0007</t>
  </si>
  <si>
    <t>http://example.org/eventloss/7c6a7f7f-ba02-418a-a76b-e968d045703d</t>
  </si>
  <si>
    <t>http://example.org/event/2021-0356</t>
  </si>
  <si>
    <t>http://example.org/eventloss/c3628de8-726b-4406-bd2d-bf0e8ffabaaf</t>
  </si>
  <si>
    <t>http://example.org/eventloss/60876e9b-ae6a-494f-a95f-691ded8beb27</t>
  </si>
  <si>
    <t>http://example.org/eventloss/8e2a2453-9ee0-48f6-86d3-e0796f031a89</t>
  </si>
  <si>
    <t>http://example.org/eventloss/f367ce21-d581-4c6b-acaa-da9b82ace491</t>
  </si>
  <si>
    <t>http://example.org/eventloss/53bb4661-2e0f-4d2f-806e-5003b1799a9b</t>
  </si>
  <si>
    <t>http://example.org/eventloss/a62f254d-1a52-4a95-81b2-8ecedf988cbe</t>
  </si>
  <si>
    <t>http://example.org/eventloss/e550e3e8-3066-42c8-9d71-cd6e6502383a</t>
  </si>
  <si>
    <t>http://example.org/eventloss/cdbf98e8-53ae-4edb-b12e-418f7b6a0eaf</t>
  </si>
  <si>
    <t>http://example.org/eventloss/49410d29-3e44-46c2-8687-84d148be116b</t>
  </si>
  <si>
    <t>http://example.org/eventloss/cc66058c-4320-4717-b97a-3d531ba13d44</t>
  </si>
  <si>
    <t>http://example.org/eventloss/ba350489-c9a6-4295-8f54-7f6a5d2d649d</t>
  </si>
  <si>
    <t>http://example.org/eventloss/75f4967e-3953-4747-9c2a-0f27ed9cfe22</t>
  </si>
  <si>
    <t>http://example.org/eventloss/3c980e69-9c50-4458-9bf0-620fef621932</t>
  </si>
  <si>
    <t>http://example.org/event/2017-0544</t>
  </si>
  <si>
    <t>http://example.org/eventloss/13cc5a9c-809e-4213-8fe3-aa811475cb3a</t>
  </si>
  <si>
    <t>http://example.org/eventloss/c6fdeb55-4f76-4eae-9635-a34fadfe5371</t>
  </si>
  <si>
    <t>http://example.org/eventloss/c241357c-5c09-4499-8662-ee4421fb2315</t>
  </si>
  <si>
    <t>http://example.org/eventloss/f936f39d-39bc-4887-9eb7-a47465d7babd</t>
  </si>
  <si>
    <t>http://example.org/eventloss/4d6682fb-773d-469d-a0f3-b832137e017b</t>
  </si>
  <si>
    <t>http://example.org/eventloss/87fb9a9e-4669-44dc-9328-c5e820a462a3</t>
  </si>
  <si>
    <t>http://example.org/eventloss/7b7c4543-d910-4c15-933f-92f284886a10</t>
  </si>
  <si>
    <t>http://example.org/eventloss/eb50c9b6-7674-47bf-a7bd-ecc208263891</t>
  </si>
  <si>
    <t>http://example.org/eventloss/b9d00e79-61bf-4918-9ddc-f6706728e0fd</t>
  </si>
  <si>
    <t>http://example.org/eventloss/d3b2cf89-fca5-40ff-80c8-f272ec8e4d46</t>
  </si>
  <si>
    <t>http://example.org/eventloss/3e9463cd-3e86-4025-b824-b6926688fcad</t>
  </si>
  <si>
    <t>http://example.org/eventloss/5d870c01-ff36-4a4f-811a-df58cbf5fa58</t>
  </si>
  <si>
    <t>http://example.org/eventloss/f2ce136c-0318-4d0c-af3e-8175a9951a0b</t>
  </si>
  <si>
    <t>http://example.org/eventloss/bf845e86-ade6-463c-8095-c62afb1fc8bd</t>
  </si>
  <si>
    <t>http://example.org/eventloss/f688f4ca-3e90-468c-86e3-efd642428dac</t>
  </si>
  <si>
    <t>http://example.org/eventloss/8e39f86d-dc19-4d85-82ae-c95ea7fd7626</t>
  </si>
  <si>
    <t>http://example.org/eventloss/aaad81a0-ef25-43f1-ae91-f18cc547495d</t>
  </si>
  <si>
    <t>http://example.org/eventloss/9396fcb1-af2d-49c7-ad31-acef90c73c08</t>
  </si>
  <si>
    <t>http://example.org/event/2018-0130</t>
  </si>
  <si>
    <t>http://example.org/eventloss/3aae0ecc-277e-4e72-8e19-0ec2e1f1a5c3</t>
  </si>
  <si>
    <t>http://example.org/eventloss/1b046d05-2917-42ed-a62d-fe8bcf21e641</t>
  </si>
  <si>
    <t>http://example.org/eventloss/60cad4fc-9a37-415e-af0c-eb386ab7fb13</t>
  </si>
  <si>
    <t>http://example.org/event/2021-0367</t>
  </si>
  <si>
    <t>http://example.org/eventloss/749b8161-8427-471e-85dd-fb6389d5e1d0</t>
  </si>
  <si>
    <t>http://example.org/eventloss/5b6538a7-715c-4689-b156-a0364930647a</t>
  </si>
  <si>
    <t>http://example.org/eventloss/82023c80-0c90-47d8-8545-16ac6798d947</t>
  </si>
  <si>
    <t>http://example.org/event/2017-0417</t>
  </si>
  <si>
    <t>http://example.org/eventloss/d6704194-a500-4958-832f-7d57f1793542</t>
  </si>
  <si>
    <t>http://example.org/eventloss/2495984a-c3ce-4aff-99e6-be7b21df465d</t>
  </si>
  <si>
    <t>http://example.org/event/2023-0734</t>
  </si>
  <si>
    <t>http://example.org/eventloss/daf9ec00-7413-4cf9-8391-d602ef9b8bdc</t>
  </si>
  <si>
    <t>http://example.org/eventloss/4949a113-b50c-4bfc-8211-be498d9a47f5</t>
  </si>
  <si>
    <t>http://example.org/event/2018-0331</t>
  </si>
  <si>
    <t>http://example.org/eventloss/23f9cb75-f218-41cf-8f6f-23752389d915</t>
  </si>
  <si>
    <t>http://example.org/eventloss/8f8ea3eb-799f-4980-9f36-1b4a390c3ac0</t>
  </si>
  <si>
    <t>http://example.org/eventloss/3f838e93-ee16-4d7a-8498-15f6f61027d1</t>
  </si>
  <si>
    <t>http://example.org/eventloss/73d0561e-1c8d-4508-8e36-864b6a7ed371</t>
  </si>
  <si>
    <t>http://example.org/eventloss/1f48c474-80dd-449a-9006-972e0722d4b4</t>
  </si>
  <si>
    <t>http://example.org/event/2022-0304</t>
  </si>
  <si>
    <t>http://example.org/eventloss/918a09ae-a1c8-4797-b495-00ccc3040068</t>
  </si>
  <si>
    <t>http://example.org/eventloss/d07ac294-217c-480e-8c3b-169a5577e6d3</t>
  </si>
  <si>
    <t>http://example.org/event/2021-0063</t>
  </si>
  <si>
    <t>http://example.org/eventloss/fb10b0ae-6b8d-4567-ad44-8e7b1c26ca07</t>
  </si>
  <si>
    <t>http://example.org/eventloss/0fa755dd-249e-403b-be43-2b18ab8c0d6f</t>
  </si>
  <si>
    <t>http://example.org/event/2023-0293</t>
  </si>
  <si>
    <t>http://example.org/eventloss/e1d58f4e-1576-4687-a4a1-a2ca4e32052f</t>
  </si>
  <si>
    <t>http://example.org/eventloss/b41c8a7d-7695-4d17-b24d-d4c80c98f612</t>
  </si>
  <si>
    <t>http://example.org/eventloss/078c7777-fff4-4ead-9f9c-b8e1984d9932</t>
  </si>
  <si>
    <t>http://example.org/eventloss/f3e2bee1-1f8d-49ad-8794-589e2ddcfab5</t>
  </si>
  <si>
    <t>http://example.org/event/2023-0535</t>
  </si>
  <si>
    <t>http://example.org/eventloss/82b18013-30f1-4ecd-80ab-22aa9f73adf5</t>
  </si>
  <si>
    <t>http://example.org/eventloss/611f54ec-54dd-4591-b1ae-9a56bd04575c</t>
  </si>
  <si>
    <t>http://example.org/eventloss/2665b931-1b86-4072-b745-8089972bdca2</t>
  </si>
  <si>
    <t>http://example.org/eventloss/595ec86b-b300-408e-9166-4bcd00891ba2</t>
  </si>
  <si>
    <t>http://example.org/event/2021-0434</t>
  </si>
  <si>
    <t>http://example.org/eventloss/cd27a4ca-d35f-42ca-b01d-8bf19a311b72</t>
  </si>
  <si>
    <t>http://example.org/eventloss/5d87eb3b-0421-4136-8440-c69b7bbec9da</t>
  </si>
  <si>
    <t>http://example.org/event/2021-0459</t>
  </si>
  <si>
    <t>http://example.org/eventloss/d4b68a5f-70d9-4eb1-9781-b35473fd1b58</t>
  </si>
  <si>
    <t>http://example.org/eventloss/08c8d6e2-1e82-409e-9380-db358c3691c7</t>
  </si>
  <si>
    <t>http://example.org/eventloss/20c897e5-858f-48eb-b875-4d568a24ad1c</t>
  </si>
  <si>
    <t>http://example.org/eventloss/40f952e2-36ba-4a08-9b9f-f42775192bd3</t>
  </si>
  <si>
    <t>http://example.org/eventloss/e36c07da-3ec4-4034-8fe3-23a2088de990</t>
  </si>
  <si>
    <t>http://example.org/eventloss/5d384269-bf0a-45fb-bdc9-3afe3ffb519d</t>
  </si>
  <si>
    <t>http://example.org/eventloss/a1d112b6-8754-4245-8b80-e114fd84878c</t>
  </si>
  <si>
    <t>http://example.org/event/2018-0419</t>
  </si>
  <si>
    <t>http://example.org/eventloss/0431c260-57f3-4afb-b63f-e7990510efa5</t>
  </si>
  <si>
    <t>http://example.org/eventloss/5e154ca2-7b85-4e49-8669-641ef50d7d09</t>
  </si>
  <si>
    <t>http://example.org/eventloss/8e2383de-5510-4653-b747-3bd499168a5a</t>
  </si>
  <si>
    <t>http://example.org/eventloss/383ec097-e81d-4f12-ac34-74a7a93c2e43</t>
  </si>
  <si>
    <t>http://example.org/eventloss/27f7f975-6fca-40d8-aa6f-d849d0307473</t>
  </si>
  <si>
    <t>http://example.org/eventloss/27c70bcc-4a0d-47d0-b1ea-7925112a4fe3</t>
  </si>
  <si>
    <t>http://example.org/event/2021-0792</t>
  </si>
  <si>
    <t>http://example.org/eventloss/4e356c5f-f2e0-4131-9d9a-11e9d84fa23c</t>
  </si>
  <si>
    <t>http://example.org/eventloss/3a42c7a7-1485-4e8e-a6fc-59b9d8360601</t>
  </si>
  <si>
    <t>http://example.org/event/2017-0126</t>
  </si>
  <si>
    <t>http://example.org/eventloss/e7d47f98-1654-41ad-a821-020c32dbd9dc</t>
  </si>
  <si>
    <t>http://example.org/eventloss/d6252f3e-35ce-41c4-ade3-884d8b777779</t>
  </si>
  <si>
    <t>http://example.org/eventloss/68c10098-a0e8-4928-8e57-f8fd7bd428d2</t>
  </si>
  <si>
    <t>http://example.org/eventloss/49d3bdd4-9647-416f-b9c3-dc9dafe313ea</t>
  </si>
  <si>
    <t>http://example.org/event/2018-0375</t>
  </si>
  <si>
    <t>http://example.org/eventloss/b8038c07-cd5b-4c28-a71a-47d5edb09d0f</t>
  </si>
  <si>
    <t>http://example.org/eventloss/1e80adf9-5764-45b5-8794-926f2688c638</t>
  </si>
  <si>
    <t>http://example.org/event/2018-0010</t>
  </si>
  <si>
    <t>http://example.org/eventloss/a8e6a608-e522-4370-b9b2-fc2234d7eca0</t>
  </si>
  <si>
    <t>http://example.org/eventloss/de43432d-c756-49db-bfd7-6771f5781fe4</t>
  </si>
  <si>
    <t>http://example.org/eventloss/60c62959-6f58-4afe-b92c-2ad3ce680526</t>
  </si>
  <si>
    <t>http://example.org/eventloss/9347fe4e-9e52-42c8-8196-3c4b0f18782b</t>
  </si>
  <si>
    <t>http://example.org/eventloss/3f9d3b05-de34-44bc-95b3-9e230ee71fd7</t>
  </si>
  <si>
    <t>http://example.org/event/2017-0176</t>
  </si>
  <si>
    <t>http://example.org/eventloss/963c4455-2fdd-4ce9-9576-98468114340d</t>
  </si>
  <si>
    <t>http://example.org/eventloss/46ec3c14-d12e-4f47-8827-ee1d06daf309</t>
  </si>
  <si>
    <t>http://example.org/eventloss/19ec6a16-95a9-42f0-9a1f-696e745b5c9d</t>
  </si>
  <si>
    <t>http://example.org/event/2023-0280</t>
  </si>
  <si>
    <t>http://example.org/eventloss/8e6e75f0-d279-49cb-a4d1-f7b7c3cfa079</t>
  </si>
  <si>
    <t>http://example.org/eventloss/8f8fb784-1cd5-4514-9f0f-b852c90d80c2</t>
  </si>
  <si>
    <t>http://example.org/eventloss/725ba031-66db-4cb2-9964-62d90cef9c6d</t>
  </si>
  <si>
    <t>http://example.org/event/2021-0411</t>
  </si>
  <si>
    <t>http://example.org/eventloss/17f90306-ab0c-49c0-bfbe-fe524289d0a7</t>
  </si>
  <si>
    <t>http://example.org/eventloss/7f904f9e-b40f-4593-b873-5f58d5706a6b</t>
  </si>
  <si>
    <t>http://example.org/event/2019-0171</t>
  </si>
  <si>
    <t>http://example.org/eventloss/1021f8f2-f015-4640-8478-65d5bb8bb0a9</t>
  </si>
  <si>
    <t>http://example.org/eventloss/06fdf9c3-16d1-4b6b-85fb-c136f52786ea</t>
  </si>
  <si>
    <t>http://example.org/eventloss/8dce688c-61d0-4a00-9b23-26a5c4205791</t>
  </si>
  <si>
    <t>http://example.org/eventloss/6e400a50-e2f6-425c-a50d-7ae990f6c7d9</t>
  </si>
  <si>
    <t>http://example.org/eventloss/c8c9bef4-74a5-44c3-ac2a-e96b48e27715</t>
  </si>
  <si>
    <t>http://example.org/eventloss/c7714d40-52f2-4cfa-bba4-d84ebd5c9a81</t>
  </si>
  <si>
    <t>http://example.org/eventloss/ea313d10-866b-4e0f-a6b9-f293ecb0afe9</t>
  </si>
  <si>
    <t>http://example.org/eventloss/61f1f46c-2882-472b-a300-c27099164071</t>
  </si>
  <si>
    <t>http://example.org/eventloss/9ec007bb-7d1b-4d72-ae33-81b4c1a1ca95</t>
  </si>
  <si>
    <t>http://example.org/event/2019-0116</t>
  </si>
  <si>
    <t>http://example.org/eventloss/7f7db35e-00df-4536-93d0-ef7d64126422</t>
  </si>
  <si>
    <t>http://example.org/eventloss/bc5f5d9f-220f-432e-8cf9-2e11b33686cf</t>
  </si>
  <si>
    <t>http://example.org/eventloss/13047307-11a3-4356-91e4-589d7e148823</t>
  </si>
  <si>
    <t>http://example.org/eventloss/c1481abe-e8c0-4cd9-b3d1-8039ef49d58e</t>
  </si>
  <si>
    <t>http://example.org/eventloss/623b607c-eef0-41a2-81b9-3dc07d3f045f</t>
  </si>
  <si>
    <t>http://example.org/event/2018-0037</t>
  </si>
  <si>
    <t>http://example.org/eventloss/562c448f-f415-4478-8106-57836f1e10f3</t>
  </si>
  <si>
    <t>http://example.org/eventloss/9fd467ea-4026-4c70-b119-42d1772c0422</t>
  </si>
  <si>
    <t>http://example.org/eventloss/ada779cc-63ca-41a1-9ff7-582e7dec37b4</t>
  </si>
  <si>
    <t>http://example.org/eventloss/ff5f7adb-e0d4-430f-bde9-ab842caeefdc</t>
  </si>
  <si>
    <t>http://example.org/eventloss/d39a02f0-e4f3-43ba-b16b-b2dee18b2700</t>
  </si>
  <si>
    <t>http://example.org/eventloss/33a7d7ef-a0fe-42c8-8400-8f53ff63b431</t>
  </si>
  <si>
    <t>http://example.org/eventloss/0eac9cfb-f702-440b-a0f0-75e6ac1e0b59</t>
  </si>
  <si>
    <t>http://example.org/event/2020-0191</t>
  </si>
  <si>
    <t>http://example.org/eventloss/33af8681-5bca-4717-8261-1feb9b4396ef</t>
  </si>
  <si>
    <t>http://example.org/eventloss/35ba89db-a44b-4435-976c-8cec28250469</t>
  </si>
  <si>
    <t>http://example.org/eventloss/a10dbd79-85a6-4698-8e45-65585144edee</t>
  </si>
  <si>
    <t>http://example.org/eventloss/f3c13936-c03a-483d-80e7-1421110b6e7c</t>
  </si>
  <si>
    <t>http://example.org/eventloss/a8e52b93-f310-47e2-b79d-7c798b6fabd8</t>
  </si>
  <si>
    <t>http://example.org/event/2017-0136</t>
  </si>
  <si>
    <t>http://example.org/eventloss/42c690d0-316b-457d-afec-e98b0d2522b0</t>
  </si>
  <si>
    <t>http://example.org/eventloss/9f89a10d-6f4d-48eb-8eaf-7e04bea23f17</t>
  </si>
  <si>
    <t>http://example.org/eventloss/aafe36d9-c0d3-4e30-9b37-f0d12e950541</t>
  </si>
  <si>
    <t>http://example.org/event/2022-0091</t>
  </si>
  <si>
    <t>http://example.org/eventloss/e42177a6-4da1-4360-951d-fd8b4f93ffb5</t>
  </si>
  <si>
    <t>Sum of grloss</t>
  </si>
  <si>
    <t>Sum of modeled_aal</t>
  </si>
  <si>
    <t>GR Loss</t>
  </si>
  <si>
    <t>Modeled AAL</t>
  </si>
  <si>
    <t>claims/aal</t>
  </si>
  <si>
    <t>?ylpr_tag</t>
  </si>
  <si>
    <t>?GrossIncurredClaims</t>
  </si>
  <si>
    <t>?modeled_aal</t>
  </si>
  <si>
    <t>2023-COMMERCIAL-QQ1-US</t>
  </si>
  <si>
    <t>2023-CONSUMER-ZZ1-US</t>
  </si>
  <si>
    <t>2023-COMMERCIAL-ZZ1-US</t>
  </si>
  <si>
    <t>2023-CONSUMER-QQ1-US</t>
  </si>
  <si>
    <t>2023-COMMERCIAL-WW1-CB</t>
  </si>
  <si>
    <t>2023-COMMERCIAL-QQ1-CA</t>
  </si>
  <si>
    <t>2023-COMMERCIAL-XZ1-CA</t>
  </si>
  <si>
    <t>2023-COMMERCIAL-QQ1-CB</t>
  </si>
  <si>
    <t>2017-COMMERCIAL-QQ1-CA</t>
  </si>
  <si>
    <t>2017-COMMERCIAL-QQ1-CB</t>
  </si>
  <si>
    <t>2017-COMMERCIAL-QQ1-US</t>
  </si>
  <si>
    <t>2017-COMMERCIAL-XZ1-CA</t>
  </si>
  <si>
    <t>2017-CONSUMER-QQ1-US</t>
  </si>
  <si>
    <t>2018-COMMERCIAL-QQ1-CA</t>
  </si>
  <si>
    <t>2018-COMMERCIAL-QQ1-CB</t>
  </si>
  <si>
    <t>2018-COMMERCIAL-QQ1-EU</t>
  </si>
  <si>
    <t>2018-COMMERCIAL-QQ1-US</t>
  </si>
  <si>
    <t>2018-COMMERCIAL-WW1-CB</t>
  </si>
  <si>
    <t>2018-COMMERCIAL-ZZ1-CA</t>
  </si>
  <si>
    <t>2018-CONSUMER-QQ1-CA</t>
  </si>
  <si>
    <t>2018-CONSUMER-QQ1-US</t>
  </si>
  <si>
    <t>2019-COMMERCIAL-QQ1-CA</t>
  </si>
  <si>
    <t>2019-COMMERCIAL-QQ1-CB</t>
  </si>
  <si>
    <t>2019-COMMERCIAL-QQ1-EU</t>
  </si>
  <si>
    <t>2019-COMMERCIAL-ZZ1-CA</t>
  </si>
  <si>
    <t>2019-COMMERCIAL-ZZ1-US</t>
  </si>
  <si>
    <t>2019-CONSUMER-QQ1-CA</t>
  </si>
  <si>
    <t>2019-CONSUMER-ZZ1-US</t>
  </si>
  <si>
    <t>2020-COMMERCIAL-QQ1-CA</t>
  </si>
  <si>
    <t>2020-COMMERCIAL-QQ1-EU</t>
  </si>
  <si>
    <t>2020-COMMERCIAL-QQ1-US</t>
  </si>
  <si>
    <t>2020-COMMERCIAL-ZZ1-US</t>
  </si>
  <si>
    <t>2020-CONSUMER-QQ1-CA</t>
  </si>
  <si>
    <t>2020-CONSUMER-QQ1-US</t>
  </si>
  <si>
    <t>2020-CONSUMER-ZZ1-US</t>
  </si>
  <si>
    <t>2021-COMMERCIAL-QQ1-CA</t>
  </si>
  <si>
    <t>2021-COMMERCIAL-QQ1-CB</t>
  </si>
  <si>
    <t>2021-COMMERCIAL-QQ1-US</t>
  </si>
  <si>
    <t>2021-COMMERCIAL-WW1-CA</t>
  </si>
  <si>
    <t>2021-COMMERCIAL-WW1-CB</t>
  </si>
  <si>
    <t>2021-COMMERCIAL-WW1-EU</t>
  </si>
  <si>
    <t>2021-COMMERCIAL-ZZ1-CA</t>
  </si>
  <si>
    <t>2021-CONSUMER-QQ1-CB</t>
  </si>
  <si>
    <t>2021-CONSUMER-QQ1-US</t>
  </si>
  <si>
    <t>2021-CONSUMER-WW1-CB</t>
  </si>
  <si>
    <t>2021-CONSUMER-WW1-EU</t>
  </si>
  <si>
    <t>2022-COMMERCIAL-QQ1-CA</t>
  </si>
  <si>
    <t>2022-COMMERCIAL-QQ1-CB</t>
  </si>
  <si>
    <t>2022-COMMERCIAL-QQ1-EU</t>
  </si>
  <si>
    <t>2022-COMMERCIAL-WW1-CA</t>
  </si>
  <si>
    <t>2022-COMMERCIAL-XZ1-CA</t>
  </si>
  <si>
    <t>2022-CONSUMER-QQ1-CB</t>
  </si>
  <si>
    <t>2022-CONSUMER-QQ1-EU</t>
  </si>
  <si>
    <t>2023-COMMERCIAL-ZZ1-CA</t>
  </si>
  <si>
    <t>2023-COMMERCIAL-WW1-CA</t>
  </si>
  <si>
    <t>2023-CONSUMER-WW1-CB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</si>
</sst>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\ hh:mm:ss"/>
    <numFmt numFmtId="165" formatCode="[$-F800]dddd\,\ mmmm\ dd\,\ yyyy"/>
    <numFmt numFmtId="166" formatCode="_(* #,##0_);_(* \(#,##0\);_(* &quot;-&quot;??_);_(@_)"/>
    <numFmt numFmtId="167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Helv"/>
    </font>
    <font>
      <sz val="10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5" fillId="0" borderId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3" applyFont="1"/>
    <xf numFmtId="0" fontId="6" fillId="0" borderId="0" xfId="2" applyFont="1" applyAlignment="1">
      <alignment vertical="center" wrapText="1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65" fontId="0" fillId="0" borderId="0" xfId="0" applyNumberFormat="1"/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9" fillId="2" borderId="3" xfId="0" applyFont="1" applyFill="1" applyBorder="1"/>
    <xf numFmtId="0" fontId="9" fillId="2" borderId="0" xfId="0" applyFont="1" applyFill="1"/>
    <xf numFmtId="167" fontId="0" fillId="0" borderId="0" xfId="4" applyNumberFormat="1" applyFont="1"/>
    <xf numFmtId="2" fontId="0" fillId="0" borderId="0" xfId="0" applyNumberFormat="1"/>
    <xf numFmtId="167" fontId="7" fillId="0" borderId="1" xfId="4" applyNumberFormat="1" applyFont="1" applyBorder="1" applyAlignment="1">
      <alignment horizontal="center" vertical="top"/>
    </xf>
  </cellXfs>
  <cellStyles count="5">
    <cellStyle name="Comma" xfId="1" builtinId="3"/>
    <cellStyle name="Currency" xfId="4" builtinId="4"/>
    <cellStyle name="Normal" xfId="0" builtinId="0"/>
    <cellStyle name="Normal 2" xfId="2" xr:uid="{2DFCC377-BF92-4CF3-A26E-7796CED33CEC}"/>
    <cellStyle name="Normal 3" xfId="3" xr:uid="{69B68BD6-896B-4B53-8045-57FE59B7AAF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02.283760300925" createdVersion="8" refreshedVersion="8" minRefreshableVersion="3" recordCount="227" xr:uid="{ABE8A5A1-25D4-4D31-8151-EC144E8D9BCA}">
  <cacheSource type="worksheet">
    <worksheetSource ref="A1:E1048576" sheet="epfactors"/>
  </cacheSource>
  <cacheFields count="5">
    <cacheField name="index" numFmtId="0">
      <sharedItems containsString="0" containsBlank="1" containsNumber="1" containsInteger="1" minValue="0" maxValue="228"/>
    </cacheField>
    <cacheField name="Cat Code" numFmtId="0">
      <sharedItems containsBlank="1" count="206">
        <s v="2017-0015"/>
        <s v="2017-0022"/>
        <s v="2017-0039"/>
        <s v="2017-0062"/>
        <s v="2017-0070"/>
        <s v="2017-0086"/>
        <s v="2017-0108"/>
        <s v="2017-0126"/>
        <s v="2017-0136"/>
        <s v="2017-0176"/>
        <s v="2017-0203"/>
        <s v="2017-0234"/>
        <s v="2017-0253"/>
        <s v="2017-0328"/>
        <s v="2017-0336"/>
        <s v="2017-0360"/>
        <s v="2017-0362"/>
        <s v="2017-0381"/>
        <s v="2017-0383"/>
        <s v="2017-0408"/>
        <s v="2017-0410"/>
        <s v="2017-0417"/>
        <s v="2017-0434"/>
        <s v="2017-0511"/>
        <s v="2017-0512"/>
        <s v="2017-0542"/>
        <s v="2017-0544"/>
        <s v="2017-0563"/>
        <s v="2017-0564"/>
        <s v="2017-0565"/>
        <s v="2018-0002"/>
        <s v="2018-0010"/>
        <s v="2018-0025"/>
        <s v="2018-0037"/>
        <s v="2018-0045"/>
        <s v="2018-0046"/>
        <s v="2018-0111"/>
        <s v="2018-0129"/>
        <s v="2018-0130"/>
        <s v="2018-0170"/>
        <s v="2018-0206"/>
        <s v="2018-0258"/>
        <s v="2018-0279"/>
        <s v="2018-0331"/>
        <s v="2018-0342"/>
        <s v="2018-0344"/>
        <s v="2018-0366"/>
        <s v="2018-0373"/>
        <s v="2018-0375"/>
        <s v="2018-0376"/>
        <s v="2018-0397"/>
        <s v="2018-0409"/>
        <s v="2018-0419"/>
        <s v="2018-0457"/>
        <s v="2018-0468"/>
        <s v="2019-0045"/>
        <s v="2019-0081"/>
        <s v="2019-0089"/>
        <s v="2019-0116"/>
        <s v="2019-0160"/>
        <s v="2019-0171"/>
        <s v="2019-0306"/>
        <s v="2019-0335"/>
        <s v="2019-0412"/>
        <s v="2019-0417"/>
        <s v="2019-0484"/>
        <s v="2019-0513"/>
        <s v="2019-0517"/>
        <s v="2019-0532"/>
        <s v="2019-0558"/>
        <s v="2019-0621"/>
        <s v="2019-0624"/>
        <s v="2020-0007"/>
        <s v="2020-0011"/>
        <s v="2020-0082"/>
        <s v="2020-0089"/>
        <s v="2020-0148"/>
        <s v="2020-0158"/>
        <s v="2020-0167"/>
        <s v="2020-0190"/>
        <s v="2020-0191"/>
        <s v="2020-0212"/>
        <s v="2020-0219"/>
        <s v="2020-0238"/>
        <s v="2020-0266"/>
        <s v="2020-0312"/>
        <s v="2020-0316"/>
        <s v="2020-0331"/>
        <s v="2020-0376"/>
        <s v="2020-0406"/>
        <s v="2020-0412"/>
        <s v="2020-0418"/>
        <s v="2020-0438"/>
        <s v="2020-0441"/>
        <s v="2020-0459"/>
        <s v="2020-0474"/>
        <s v="2020-0483"/>
        <s v="2020-0521"/>
        <s v="2020-0538"/>
        <s v="2020-0540"/>
        <s v="2020-0580"/>
        <s v="2020-0582"/>
        <s v="2020-0583"/>
        <s v="2020-0584"/>
        <s v="2021-0011"/>
        <s v="2021-0037"/>
        <s v="2021-0043"/>
        <s v="2021-0059"/>
        <s v="2021-0063"/>
        <s v="2021-0096"/>
        <s v="2021-0117"/>
        <s v="2021-0134"/>
        <s v="2021-0150"/>
        <s v="2021-0166"/>
        <s v="2021-0178"/>
        <s v="2021-0193"/>
        <s v="2021-0199"/>
        <s v="2021-0211"/>
        <s v="2021-0250"/>
        <s v="2021-0251"/>
        <s v="2021-0266"/>
        <s v="2021-0273"/>
        <s v="2021-0305"/>
        <s v="2021-0335"/>
        <s v="2021-0356"/>
        <s v="2021-0357"/>
        <s v="2021-0367"/>
        <s v="2021-0373"/>
        <s v="2021-0410"/>
        <s v="2021-0411"/>
        <s v="2021-0433"/>
        <s v="2021-0434"/>
        <s v="2021-0442"/>
        <s v="2021-0459"/>
        <s v="2021-0487"/>
        <s v="2021-0488"/>
        <s v="2021-0526"/>
        <s v="2021-0531"/>
        <s v="2021-0532"/>
        <s v="2021-0533"/>
        <s v="2021-0551"/>
        <s v="2021-0562"/>
        <s v="2021-0565"/>
        <s v="2021-0566"/>
        <s v="2021-0583"/>
        <s v="2021-0627"/>
        <s v="2021-0733"/>
        <s v="2021-0741"/>
        <s v="2021-0784"/>
        <s v="2021-0792"/>
        <s v="2021-0797"/>
        <s v="2021-0815"/>
        <s v="2021-0832"/>
        <s v="2022-0007"/>
        <s v="2022-0080"/>
        <s v="2022-0091"/>
        <s v="2022-0112"/>
        <s v="2022-0126"/>
        <s v="2022-0157"/>
        <s v="2022-0185"/>
        <s v="2022-0193"/>
        <s v="2022-0212"/>
        <s v="2022-0215"/>
        <s v="2022-0227"/>
        <s v="2022-0244"/>
        <s v="2022-0261"/>
        <s v="2022-0284"/>
        <s v="2022-0304"/>
        <s v="2022-0325"/>
        <s v="2022-0480"/>
        <s v="2022-0486"/>
        <s v="2022-0603"/>
        <s v="2022-0614"/>
        <s v="2022-0734"/>
        <s v="2022-0735"/>
        <s v="2022-0808"/>
        <s v="2022-0811"/>
        <s v="2022-0818"/>
        <s v="2022-0863"/>
        <s v="2023-0032"/>
        <s v="2023-0122"/>
        <s v="2023-0135"/>
        <s v="2023-0176"/>
        <s v="2023-0192"/>
        <s v="2023-0206"/>
        <s v="2023-0225"/>
        <s v="2023-0239"/>
        <s v="2023-0253"/>
        <s v="2023-0280"/>
        <s v="2023-0288"/>
        <s v="2023-0293"/>
        <s v="2023-0323"/>
        <s v="2023-0324"/>
        <s v="2023-0332"/>
        <s v="2023-0370"/>
        <s v="2023-0426"/>
        <s v="2023-0466"/>
        <s v="2023-0524"/>
        <s v="2023-0535"/>
        <s v="2023-0565"/>
        <s v="2023-0656"/>
        <s v="2023-0734"/>
        <s v="2023-0761"/>
        <s v="2023-0826"/>
        <s v="2023-0843"/>
        <m/>
      </sharedItems>
    </cacheField>
    <cacheField name="ShortName" numFmtId="0">
      <sharedItems containsBlank="1"/>
    </cacheField>
    <cacheField name="ContributionFactor" numFmtId="0">
      <sharedItems containsString="0" containsBlank="1" containsNumber="1" minValue="0.02" maxValue="1" count="28">
        <n v="1"/>
        <n v="0.1"/>
        <n v="0.9"/>
        <n v="0.8"/>
        <n v="0.2"/>
        <n v="0.93"/>
        <n v="7.0000000000000007E-2"/>
        <n v="0.98"/>
        <n v="0.02"/>
        <n v="0.87"/>
        <n v="0.13"/>
        <n v="0.95"/>
        <n v="0.05"/>
        <n v="0.92"/>
        <n v="0.08"/>
        <n v="0.83"/>
        <n v="0.17"/>
        <n v="0.77"/>
        <n v="0.23"/>
        <n v="0.86"/>
        <n v="0.14000000000000001"/>
        <n v="0.94"/>
        <n v="0.06"/>
        <n v="0.75"/>
        <n v="0.25"/>
        <n v="0.7"/>
        <n v="0.3"/>
        <m/>
      </sharedItems>
    </cacheField>
    <cacheField name="Code" numFmtId="0">
      <sharedItems containsBlank="1"/>
    </cacheField>
  </cacheFields>
  <extLst>
    <ext xmlns:x14="http://schemas.microsoft.com/office/spreadsheetml/2009/9/main" uri="{725AE2AE-9491-48be-B2B4-4EB974FC3084}">
      <x14:pivotCacheDefinition pivotCacheId="8939143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04.332973032404" createdVersion="8" refreshedVersion="8" minRefreshableVersion="3" recordCount="467" xr:uid="{4CC168AA-1D3B-4376-8B08-1F9E2DC8A28D}">
  <cacheSource type="worksheet">
    <worksheetSource ref="G1:H1048576" sheet="Sheet1"/>
  </cacheSource>
  <cacheFields count="2">
    <cacheField name="tag" numFmtId="0">
      <sharedItems containsBlank="1" count="147">
        <s v="2017-COMMERCIAL-WW1-US"/>
        <s v="2017-COMMERCIAL-XZ1-US"/>
        <s v="2018-COMMERCIAL-XZ1-US"/>
        <s v="2018-COMMERCIAL-WW1-US"/>
        <s v="2019-COMMERCIAL-XZ1-US"/>
        <s v="2020-COMMERCIAL-WW1-US"/>
        <s v="2019-COMMERCIAL-WW1-US"/>
        <s v="2022-COMMERCIAL-WW1-US"/>
        <s v="2021-COMMERCIAL-WW1-US"/>
        <s v="2023-COMMERCIAL-WW1-US"/>
        <s v="2020-COMMERCIAL-XZ1-US"/>
        <s v="2017-CONSUMER-WW1-US"/>
        <s v="2019-COMMERCIAL-QQ1-US"/>
        <s v="2018-CONSUMER-WW1-US"/>
        <s v="2019-CONSUMER-WW1-US"/>
        <s v="2022-COMMERCIAL-XZ1-US"/>
        <s v="2021-COMMERCIAL-XZ1-US"/>
        <s v="2020-CONSUMER-BB1-US"/>
        <s v="2020-COMMERCIAL-OO1-US"/>
        <s v="2022-COMMERCIAL-QQ1-US"/>
        <s v="2019-CONSUMER-BB1-US"/>
        <s v="2023-COMMERCIAL-XZ1-US"/>
        <s v="2022-CONSUMER-WW1-US"/>
        <s v="2021-CONSUMER-WW1-US"/>
        <s v="2017-COMMERCIAL-WW1-EU"/>
        <s v="2020-CONSUMER-WW1-US"/>
        <s v="2023-CONSUMER-WW1-US"/>
        <s v="2021-CONSUMER-BB1-US"/>
        <s v="2018-COMMERCIAL-WW1-EU"/>
        <s v="2021-COMMERCIAL-OO1-US"/>
        <s v="2018-COMMERCIAL-ZZ1-US"/>
        <s v="2022-COMMERCIAL-OO1-US"/>
        <s v="2018-CONSUMER-BB1-US"/>
        <s v="2017-CONSUMER-BB1-US"/>
        <s v="2018-CONSUMER-ZZ1-US"/>
        <s v="2017-COMMERCIAL-ZZ1-US"/>
        <s v="2021-CONSUMER-ZZ1-US"/>
        <s v="2023-COMMERCIAL-OO1-US"/>
        <s v="2022-CONSUMER-ZZ1-US"/>
        <s v="2017-COMMERCIAL-QQ1-EU"/>
        <s v="2022-COMMERCIAL-ZZ1-US"/>
        <s v="2021-COMMERCIAL-ZZ1-US"/>
        <s v="2019-COMMERCIAL-BB1-US"/>
        <s v="2019-CONSUMER-XZ1-US"/>
        <s v="2020-CONSUMER-XZ1-US"/>
        <s v="2021-CONSUMER-XZ1-US"/>
        <s v="2018-CONSUMER-XZ1-US"/>
        <s v="2020-COMMERCIAL-BB1-US"/>
        <s v="2022-CONSUMER-XZ1-US"/>
        <s v="2023-CONSUMER-XZ1-US"/>
        <s v="2019-CONSUMER-QQ1-US"/>
        <s v="2019-COMMERCIAL-WW1-EU"/>
        <s v="2023-COMMERCIAL-QQ1-EU"/>
        <s v="2022-CONSUMER-BB1-US"/>
        <s v="2021-COMMERCIAL-QQ1-EU"/>
        <s v="2017-COMMERCIAL-BB1-US"/>
        <s v="2020-COMMERCIAL-WW1-EU"/>
        <s v="2018-COMMERCIAL-BB1-US"/>
        <s v="2021-COMMERCIAL-BB1-US"/>
        <s v="2022-COMMERCIAL-BB1-US"/>
        <s v="2020-COMMERCIAL-WW1-CB"/>
        <s v="2023-COMMERCIAL-WW1-EU"/>
        <s v="2022-COMMERCIAL-WW1-EU"/>
        <s v="2017-COMMERCIAL-WW1-CB"/>
        <s v="2019-COMMERCIAL-WW1-CB"/>
        <s v="2022-CONSUMER-QQ1-US"/>
        <s v="2023-CONSUMER-BB1-US"/>
        <s v="2020-CONSUMER-OO1-US"/>
        <s v="2021-CONSUMER-OO1-US"/>
        <s v="2018-COMMERCIAL-XZ1-CA"/>
        <s v="2023-COMMERCIAL-BB1-US"/>
        <s v="2020-COMMERCIAL-XZ1-CA"/>
        <s v="2022-CONSUMER-OO1-US"/>
        <s v="2023-CONSUMER-OO1-US"/>
        <s v="2022-COMMERCIAL-WW1-CB"/>
        <s v="2019-COMMERCIAL-XZ1-CA"/>
        <s v="2020-COMMERCIAL-OO1-EU"/>
        <s v="2020-COMMERCIAL-QQ1-CB"/>
        <s v="2021-COMMERCIAL-XZ1-CA"/>
        <s v="2022-COMMERCIAL-ZZ1-CA"/>
        <s v="2022-CONSUMER-WW1-EU"/>
        <s v="2017-CONSUMER-WW1-EU"/>
        <s v="2017-CONSUMER-QQ1-EU"/>
        <s v="2017-CONSUMER-WW1-CB"/>
        <s v="2017-CONSUMER-OO1-EU"/>
        <s v="2022-CONSUMER-WW1-CB"/>
        <s v="2021-CONSUMER-QQ1-EU"/>
        <s v="2023-CONSUMER-WW1-EU"/>
        <s v="2023-CONSUMER-QQ1-EU"/>
        <s v="2020-CONSUMER-OO1-EU"/>
        <s v="2019-CONSUMER-WW1-CB"/>
        <s v="2019-CONSUMER-OO1-US"/>
        <s v="2019-COMMERCIAL-OO1-US"/>
        <s v="2019-CONSUMER-OO1-CB"/>
        <s v="2019-COMMERCIAL-OO1-CB"/>
        <s v="2017-CONSUMER-XZ1-US"/>
        <s v="2022-CONSUMER-ZZ1-CA"/>
        <s v="2020-CONSUMER-XZ1-CA"/>
        <s v="2018-COMMERCIAL-OO1-US"/>
        <s v="2018-CONSUMER-OO1-US"/>
        <s v="2021-CONSUMER-BB1-CA"/>
        <s v="2021-COMMERCIAL-BB1-CA"/>
        <s v="2017-CONSUMER-BB1-EU"/>
        <s v="2017-COMMERCIAL-BB1-EU"/>
        <s v="2023-CONSUMER-OO1-EU"/>
        <s v="2023-COMMERCIAL-OO1-EU"/>
        <s v="2019-CONSUMER-XZ1-CA"/>
        <s v="2018-CONSUMER-WW1-EU"/>
        <s v="2022-CONSUMER-OO1-CA"/>
        <s v="2022-COMMERCIAL-OO1-CA"/>
        <s v="2021-CONSUMER-OO1-EU"/>
        <s v="2021-COMMERCIAL-OO1-EU"/>
        <s v="2021-CONSUMER-OO1-CA"/>
        <s v="2021-COMMERCIAL-OO1-CA"/>
        <s v="2023-COMMERCIAL-BB1-EU"/>
        <s v="2023-CONSUMER-BB1-EU"/>
        <s v="2017-COMMERCIAL-OO1-CB"/>
        <s v="2017-CONSUMER-OO1-CB"/>
        <s v="2021-CONSUMER-BB1-EU"/>
        <s v="2021-COMMERCIAL-BB1-EU"/>
        <s v="2020-CONSUMER-WW1-CB"/>
        <s v="2017-CONSUMER-ZZ1-US"/>
        <s v="2020-CONSUMER-QQ1-CB"/>
        <s v="2017-CONSUMER-OO1-US"/>
        <s v="2017-COMMERCIAL-OO1-US"/>
        <s v="2017-COMMERCIAL-OO1-CA"/>
        <s v="2017-CONSUMER-OO1-CA"/>
        <s v="2018-COMMERCIAL-OO1-EU"/>
        <s v="2018-CONSUMER-OO1-EU"/>
        <s v="2018-CONSUMER-QLS-US"/>
        <s v="2018-COMMERCIAL-QLS-US"/>
        <s v="2020-CONSUMER-WW1-EU"/>
        <s v="2023-CONSUMER-BB1-CA"/>
        <s v="2023-COMMERCIAL-BB1-CA"/>
        <s v="2019-COMMERCIAL-OO1-CA"/>
        <s v="2019-CONSUMER-OO1-CA"/>
        <s v="2019-CONSUMER-WW1-EU"/>
        <s v="2018-CONSUMER-XZ1-CA"/>
        <s v="2018-COMMERCIAL-QLS-EU"/>
        <s v="2018-CONSUMER-QLS-EU"/>
        <s v="2021-CONSUMER-XZ1-CA"/>
        <s v="2017-COMMERCIAL-OO1-EU"/>
        <s v="2020-CONSUMER-OO1-CA"/>
        <s v="2020-COMMERCIAL-OO1-CA"/>
        <s v="2022-COMMERCIAL-OO1-CB"/>
        <s v="2022-CONSUMER-OO1-CB"/>
        <m/>
      </sharedItems>
    </cacheField>
    <cacheField name="grloss" numFmtId="0">
      <sharedItems containsString="0" containsBlank="1" containsNumber="1" minValue="2238.1671122972798" maxValue="814119365.146837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04.333799074077" createdVersion="8" refreshedVersion="8" minRefreshableVersion="3" recordCount="146" xr:uid="{3E864965-1057-4A46-95A1-DF484473B62B}">
  <cacheSource type="worksheet">
    <worksheetSource ref="A1:B147" sheet="Sheet1"/>
  </cacheSource>
  <cacheFields count="2">
    <cacheField name="tag" numFmtId="0">
      <sharedItems count="146">
        <s v="2017-COMMERCIAL-WW1-US"/>
        <s v="2017-COMMERCIAL-XZ1-US"/>
        <s v="2018-COMMERCIAL-XZ1-US"/>
        <s v="2018-COMMERCIAL-WW1-US"/>
        <s v="2019-COMMERCIAL-XZ1-US"/>
        <s v="2020-COMMERCIAL-WW1-US"/>
        <s v="2019-COMMERCIAL-WW1-US"/>
        <s v="2022-COMMERCIAL-WW1-US"/>
        <s v="2021-COMMERCIAL-WW1-US"/>
        <s v="2023-COMMERCIAL-WW1-US"/>
        <s v="2020-COMMERCIAL-XZ1-US"/>
        <s v="2017-CONSUMER-WW1-US"/>
        <s v="2019-COMMERCIAL-QQ1-US"/>
        <s v="2018-CONSUMER-WW1-US"/>
        <s v="2019-CONSUMER-WW1-US"/>
        <s v="2022-COMMERCIAL-XZ1-US"/>
        <s v="2021-COMMERCIAL-XZ1-US"/>
        <s v="2020-CONSUMER-BB1-US"/>
        <s v="2020-COMMERCIAL-OO1-US"/>
        <s v="2022-COMMERCIAL-QQ1-US"/>
        <s v="2019-CONSUMER-BB1-US"/>
        <s v="2023-COMMERCIAL-XZ1-US"/>
        <s v="2022-CONSUMER-WW1-US"/>
        <s v="2021-CONSUMER-WW1-US"/>
        <s v="2017-COMMERCIAL-WW1-EU"/>
        <s v="2020-CONSUMER-WW1-US"/>
        <s v="2023-CONSUMER-WW1-US"/>
        <s v="2021-CONSUMER-BB1-US"/>
        <s v="2018-COMMERCIAL-WW1-EU"/>
        <s v="2021-COMMERCIAL-OO1-US"/>
        <s v="2018-COMMERCIAL-ZZ1-US"/>
        <s v="2022-COMMERCIAL-OO1-US"/>
        <s v="2018-CONSUMER-BB1-US"/>
        <s v="2017-CONSUMER-BB1-US"/>
        <s v="2018-CONSUMER-ZZ1-US"/>
        <s v="2017-COMMERCIAL-ZZ1-US"/>
        <s v="2021-CONSUMER-ZZ1-US"/>
        <s v="2023-COMMERCIAL-OO1-US"/>
        <s v="2022-CONSUMER-ZZ1-US"/>
        <s v="2017-COMMERCIAL-QQ1-EU"/>
        <s v="2022-COMMERCIAL-ZZ1-US"/>
        <s v="2021-COMMERCIAL-ZZ1-US"/>
        <s v="2019-COMMERCIAL-BB1-US"/>
        <s v="2019-CONSUMER-XZ1-US"/>
        <s v="2020-CONSUMER-XZ1-US"/>
        <s v="2021-CONSUMER-XZ1-US"/>
        <s v="2018-CONSUMER-XZ1-US"/>
        <s v="2020-COMMERCIAL-BB1-US"/>
        <s v="2022-CONSUMER-XZ1-US"/>
        <s v="2023-CONSUMER-XZ1-US"/>
        <s v="2019-CONSUMER-QQ1-US"/>
        <s v="2019-COMMERCIAL-WW1-EU"/>
        <s v="2023-COMMERCIAL-QQ1-EU"/>
        <s v="2022-CONSUMER-BB1-US"/>
        <s v="2021-COMMERCIAL-QQ1-EU"/>
        <s v="2017-COMMERCIAL-BB1-US"/>
        <s v="2020-COMMERCIAL-WW1-EU"/>
        <s v="2018-COMMERCIAL-BB1-US"/>
        <s v="2021-COMMERCIAL-BB1-US"/>
        <s v="2022-COMMERCIAL-BB1-US"/>
        <s v="2020-COMMERCIAL-WW1-CB"/>
        <s v="2023-COMMERCIAL-WW1-EU"/>
        <s v="2022-COMMERCIAL-WW1-EU"/>
        <s v="2017-COMMERCIAL-WW1-CB"/>
        <s v="2019-COMMERCIAL-WW1-CB"/>
        <s v="2022-CONSUMER-QQ1-US"/>
        <s v="2023-CONSUMER-BB1-US"/>
        <s v="2020-CONSUMER-OO1-US"/>
        <s v="2021-CONSUMER-OO1-US"/>
        <s v="2018-COMMERCIAL-XZ1-CA"/>
        <s v="2023-COMMERCIAL-BB1-US"/>
        <s v="2020-COMMERCIAL-XZ1-CA"/>
        <s v="2022-CONSUMER-OO1-US"/>
        <s v="2023-CONSUMER-OO1-US"/>
        <s v="2022-COMMERCIAL-WW1-CB"/>
        <s v="2019-COMMERCIAL-XZ1-CA"/>
        <s v="2020-COMMERCIAL-OO1-EU"/>
        <s v="2020-COMMERCIAL-QQ1-CB"/>
        <s v="2021-COMMERCIAL-XZ1-CA"/>
        <s v="2022-COMMERCIAL-ZZ1-CA"/>
        <s v="2022-CONSUMER-WW1-EU"/>
        <s v="2017-CONSUMER-WW1-EU"/>
        <s v="2017-CONSUMER-QQ1-EU"/>
        <s v="2017-CONSUMER-WW1-CB"/>
        <s v="2017-CONSUMER-OO1-EU"/>
        <s v="2022-CONSUMER-WW1-CB"/>
        <s v="2021-CONSUMER-QQ1-EU"/>
        <s v="2023-CONSUMER-WW1-EU"/>
        <s v="2023-CONSUMER-QQ1-EU"/>
        <s v="2020-CONSUMER-OO1-EU"/>
        <s v="2019-CONSUMER-WW1-CB"/>
        <s v="2019-CONSUMER-OO1-US"/>
        <s v="2019-COMMERCIAL-OO1-US"/>
        <s v="2019-CONSUMER-OO1-CB"/>
        <s v="2019-COMMERCIAL-OO1-CB"/>
        <s v="2017-CONSUMER-XZ1-US"/>
        <s v="2022-CONSUMER-ZZ1-CA"/>
        <s v="2020-CONSUMER-XZ1-CA"/>
        <s v="2018-COMMERCIAL-OO1-US"/>
        <s v="2018-CONSUMER-OO1-US"/>
        <s v="2021-CONSUMER-BB1-CA"/>
        <s v="2021-COMMERCIAL-BB1-CA"/>
        <s v="2017-CONSUMER-BB1-EU"/>
        <s v="2017-COMMERCIAL-BB1-EU"/>
        <s v="2023-CONSUMER-OO1-EU"/>
        <s v="2023-COMMERCIAL-OO1-EU"/>
        <s v="2019-CONSUMER-XZ1-CA"/>
        <s v="2018-CONSUMER-WW1-EU"/>
        <s v="2022-CONSUMER-OO1-CA"/>
        <s v="2022-COMMERCIAL-OO1-CA"/>
        <s v="2021-CONSUMER-OO1-EU"/>
        <s v="2021-COMMERCIAL-OO1-EU"/>
        <s v="2021-CONSUMER-OO1-CA"/>
        <s v="2021-COMMERCIAL-OO1-CA"/>
        <s v="2023-COMMERCIAL-BB1-EU"/>
        <s v="2023-CONSUMER-BB1-EU"/>
        <s v="2017-COMMERCIAL-OO1-CB"/>
        <s v="2017-CONSUMER-OO1-CB"/>
        <s v="2021-CONSUMER-BB1-EU"/>
        <s v="2021-COMMERCIAL-BB1-EU"/>
        <s v="2020-CONSUMER-WW1-CB"/>
        <s v="2017-CONSUMER-ZZ1-US"/>
        <s v="2020-CONSUMER-QQ1-CB"/>
        <s v="2017-CONSUMER-OO1-US"/>
        <s v="2017-COMMERCIAL-OO1-US"/>
        <s v="2017-COMMERCIAL-OO1-CA"/>
        <s v="2017-CONSUMER-OO1-CA"/>
        <s v="2018-COMMERCIAL-OO1-EU"/>
        <s v="2018-CONSUMER-OO1-EU"/>
        <s v="2018-CONSUMER-QLS-US"/>
        <s v="2018-COMMERCIAL-QLS-US"/>
        <s v="2020-CONSUMER-WW1-EU"/>
        <s v="2023-CONSUMER-BB1-CA"/>
        <s v="2023-COMMERCIAL-BB1-CA"/>
        <s v="2019-COMMERCIAL-OO1-CA"/>
        <s v="2019-CONSUMER-OO1-CA"/>
        <s v="2019-CONSUMER-WW1-EU"/>
        <s v="2018-CONSUMER-XZ1-CA"/>
        <s v="2018-COMMERCIAL-QLS-EU"/>
        <s v="2018-CONSUMER-QLS-EU"/>
        <s v="2021-CONSUMER-XZ1-CA"/>
        <s v="2017-COMMERCIAL-OO1-EU"/>
        <s v="2020-CONSUMER-OO1-CA"/>
        <s v="2020-COMMERCIAL-OO1-CA"/>
        <s v="2022-COMMERCIAL-OO1-CB"/>
        <s v="2022-CONSUMER-OO1-CB"/>
      </sharedItems>
    </cacheField>
    <cacheField name="modeled_aal" numFmtId="0">
      <sharedItems containsString="0" containsBlank="1" containsNumber="1" minValue="22991.737451667901" maxValue="248559680.751489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0"/>
    <x v="0"/>
    <s v="EQ"/>
    <x v="0"/>
    <s v="QQ1"/>
  </r>
  <r>
    <n v="1"/>
    <x v="1"/>
    <s v="CS"/>
    <x v="0"/>
    <s v="XZ1"/>
  </r>
  <r>
    <n v="2"/>
    <x v="2"/>
    <s v="WT"/>
    <x v="0"/>
    <s v="ZZ1"/>
  </r>
  <r>
    <n v="3"/>
    <x v="3"/>
    <s v="CS"/>
    <x v="0"/>
    <s v="XZ1"/>
  </r>
  <r>
    <n v="4"/>
    <x v="4"/>
    <s v="CS"/>
    <x v="0"/>
    <s v="XZ1"/>
  </r>
  <r>
    <n v="5"/>
    <x v="5"/>
    <s v="WS"/>
    <x v="0"/>
    <s v="WW1"/>
  </r>
  <r>
    <n v="6"/>
    <x v="6"/>
    <s v="WT"/>
    <x v="0"/>
    <s v="ZZ1"/>
  </r>
  <r>
    <n v="7"/>
    <x v="7"/>
    <s v="FL"/>
    <x v="0"/>
    <s v="OO1"/>
  </r>
  <r>
    <n v="8"/>
    <x v="8"/>
    <s v="FL"/>
    <x v="0"/>
    <s v="OO1"/>
  </r>
  <r>
    <n v="9"/>
    <x v="9"/>
    <s v="WF"/>
    <x v="0"/>
    <s v="BB1"/>
  </r>
  <r>
    <n v="10"/>
    <x v="10"/>
    <s v="CS"/>
    <x v="0"/>
    <s v="XZ1"/>
  </r>
  <r>
    <n v="11"/>
    <x v="11"/>
    <s v="CS"/>
    <x v="0"/>
    <s v="XZ1"/>
  </r>
  <r>
    <n v="12"/>
    <x v="12"/>
    <s v="CS"/>
    <x v="0"/>
    <s v="XZ1"/>
  </r>
  <r>
    <n v="13"/>
    <x v="13"/>
    <s v="WS"/>
    <x v="0"/>
    <s v="WW1"/>
  </r>
  <r>
    <n v="14"/>
    <x v="14"/>
    <s v="CS"/>
    <x v="0"/>
    <s v="XZ1"/>
  </r>
  <r>
    <n v="15"/>
    <x v="15"/>
    <s v="WS"/>
    <x v="0"/>
    <s v="WW1"/>
  </r>
  <r>
    <n v="16"/>
    <x v="16"/>
    <s v="WS"/>
    <x v="1"/>
    <s v="WW1"/>
  </r>
  <r>
    <n v="17"/>
    <x v="16"/>
    <s v="FL"/>
    <x v="2"/>
    <s v="OO1"/>
  </r>
  <r>
    <n v="18"/>
    <x v="17"/>
    <s v="WS"/>
    <x v="0"/>
    <s v="WW1"/>
  </r>
  <r>
    <n v="19"/>
    <x v="17"/>
    <s v="WS"/>
    <x v="3"/>
    <s v="WW1"/>
  </r>
  <r>
    <n v="20"/>
    <x v="17"/>
    <s v="FL"/>
    <x v="4"/>
    <s v="OO1"/>
  </r>
  <r>
    <n v="21"/>
    <x v="18"/>
    <s v="WS"/>
    <x v="5"/>
    <s v="WW1"/>
  </r>
  <r>
    <n v="22"/>
    <x v="18"/>
    <s v="FL"/>
    <x v="6"/>
    <s v="OO1"/>
  </r>
  <r>
    <n v="23"/>
    <x v="19"/>
    <s v="WS"/>
    <x v="0"/>
    <s v="WW1"/>
  </r>
  <r>
    <n v="24"/>
    <x v="20"/>
    <s v="WS"/>
    <x v="0"/>
    <s v="WW1"/>
  </r>
  <r>
    <n v="25"/>
    <x v="21"/>
    <s v="WF"/>
    <x v="0"/>
    <s v="BB1"/>
  </r>
  <r>
    <n v="26"/>
    <x v="22"/>
    <s v="WF"/>
    <x v="0"/>
    <s v="BB1"/>
  </r>
  <r>
    <n v="27"/>
    <x v="23"/>
    <s v="WF"/>
    <x v="0"/>
    <s v="BB1"/>
  </r>
  <r>
    <n v="28"/>
    <x v="24"/>
    <s v="CS"/>
    <x v="0"/>
    <s v="XZ1"/>
  </r>
  <r>
    <n v="29"/>
    <x v="25"/>
    <s v="WT"/>
    <x v="0"/>
    <s v="ZZ1"/>
  </r>
  <r>
    <n v="30"/>
    <x v="26"/>
    <s v="FL"/>
    <x v="0"/>
    <s v="OO1"/>
  </r>
  <r>
    <n v="31"/>
    <x v="27"/>
    <s v="CS"/>
    <x v="0"/>
    <s v="XZ1"/>
  </r>
  <r>
    <n v="32"/>
    <x v="28"/>
    <s v="CS"/>
    <x v="0"/>
    <s v="XZ1"/>
  </r>
  <r>
    <n v="33"/>
    <x v="29"/>
    <s v="WS"/>
    <x v="0"/>
    <s v="WW1"/>
  </r>
  <r>
    <n v="34"/>
    <x v="30"/>
    <s v="WS"/>
    <x v="7"/>
    <s v="WW1"/>
  </r>
  <r>
    <n v="35"/>
    <x v="30"/>
    <s v="MD"/>
    <x v="8"/>
    <s v="QLS"/>
  </r>
  <r>
    <n v="36"/>
    <x v="31"/>
    <s v="MD"/>
    <x v="0"/>
    <s v="QLS"/>
  </r>
  <r>
    <n v="37"/>
    <x v="32"/>
    <s v="WS"/>
    <x v="0"/>
    <s v="WW1"/>
  </r>
  <r>
    <n v="38"/>
    <x v="33"/>
    <s v="FL"/>
    <x v="0"/>
    <s v="OO1"/>
  </r>
  <r>
    <n v="39"/>
    <x v="34"/>
    <s v="WT"/>
    <x v="0"/>
    <s v="ZZ1"/>
  </r>
  <r>
    <n v="40"/>
    <x v="35"/>
    <s v="WT"/>
    <x v="0"/>
    <s v="ZZ1"/>
  </r>
  <r>
    <n v="41"/>
    <x v="36"/>
    <s v="WT"/>
    <x v="0"/>
    <s v="ZZ1"/>
  </r>
  <r>
    <n v="42"/>
    <x v="37"/>
    <s v="CS"/>
    <x v="0"/>
    <s v="XZ1"/>
  </r>
  <r>
    <n v="43"/>
    <x v="38"/>
    <s v="FL"/>
    <x v="0"/>
    <s v="OO1"/>
  </r>
  <r>
    <n v="44"/>
    <x v="39"/>
    <s v="WS"/>
    <x v="0"/>
    <s v="WW1"/>
  </r>
  <r>
    <n v="45"/>
    <x v="40"/>
    <s v="CS"/>
    <x v="0"/>
    <s v="XZ1"/>
  </r>
  <r>
    <n v="46"/>
    <x v="41"/>
    <s v="WF"/>
    <x v="0"/>
    <s v="BB1"/>
  </r>
  <r>
    <n v="47"/>
    <x v="42"/>
    <s v="CS"/>
    <x v="0"/>
    <s v="XZ1"/>
  </r>
  <r>
    <n v="48"/>
    <x v="43"/>
    <s v="FL"/>
    <x v="0"/>
    <s v="OO1"/>
  </r>
  <r>
    <n v="49"/>
    <x v="44"/>
    <s v="WS"/>
    <x v="9"/>
    <s v="WW1"/>
  </r>
  <r>
    <n v="50"/>
    <x v="44"/>
    <s v="FL"/>
    <x v="10"/>
    <s v="OO1"/>
  </r>
  <r>
    <n v="51"/>
    <x v="45"/>
    <s v="CS"/>
    <x v="0"/>
    <s v="XZ1"/>
  </r>
  <r>
    <n v="52"/>
    <x v="46"/>
    <s v="CS"/>
    <x v="0"/>
    <s v="XZ1"/>
  </r>
  <r>
    <n v="53"/>
    <x v="47"/>
    <s v="WS"/>
    <x v="0"/>
    <s v="WW1"/>
  </r>
  <r>
    <n v="54"/>
    <x v="48"/>
    <s v="FL"/>
    <x v="0"/>
    <s v="OO1"/>
  </r>
  <r>
    <n v="55"/>
    <x v="49"/>
    <s v="WS"/>
    <x v="0"/>
    <s v="WW1"/>
  </r>
  <r>
    <n v="56"/>
    <x v="50"/>
    <s v="WS"/>
    <x v="0"/>
    <s v="WW1"/>
  </r>
  <r>
    <n v="57"/>
    <x v="51"/>
    <s v="WF"/>
    <x v="0"/>
    <s v="BB1"/>
  </r>
  <r>
    <n v="58"/>
    <x v="52"/>
    <s v="FL"/>
    <x v="0"/>
    <s v="OO1"/>
  </r>
  <r>
    <n v="59"/>
    <x v="53"/>
    <s v="WT"/>
    <x v="0"/>
    <s v="ZZ1"/>
  </r>
  <r>
    <n v="60"/>
    <x v="54"/>
    <s v="WF"/>
    <x v="0"/>
    <s v="BB1"/>
  </r>
  <r>
    <n v="61"/>
    <x v="55"/>
    <s v="CS"/>
    <x v="0"/>
    <s v="XZ1"/>
  </r>
  <r>
    <n v="62"/>
    <x v="56"/>
    <s v="CS"/>
    <x v="0"/>
    <s v="XZ1"/>
  </r>
  <r>
    <n v="63"/>
    <x v="57"/>
    <s v="CS"/>
    <x v="0"/>
    <s v="XZ1"/>
  </r>
  <r>
    <n v="64"/>
    <x v="58"/>
    <s v="FL"/>
    <x v="0"/>
    <s v="OO1"/>
  </r>
  <r>
    <n v="65"/>
    <x v="59"/>
    <s v="CS"/>
    <x v="0"/>
    <s v="XZ1"/>
  </r>
  <r>
    <n v="66"/>
    <x v="60"/>
    <s v="FL"/>
    <x v="0"/>
    <s v="OO1"/>
  </r>
  <r>
    <n v="67"/>
    <x v="61"/>
    <s v="EQ"/>
    <x v="0"/>
    <s v="QQ1"/>
  </r>
  <r>
    <n v="68"/>
    <x v="62"/>
    <s v="WS"/>
    <x v="0"/>
    <s v="WW1"/>
  </r>
  <r>
    <n v="69"/>
    <x v="63"/>
    <s v="WS"/>
    <x v="0"/>
    <s v="WW1"/>
  </r>
  <r>
    <n v="70"/>
    <x v="63"/>
    <s v="WS"/>
    <x v="11"/>
    <s v="WW1"/>
  </r>
  <r>
    <n v="71"/>
    <x v="63"/>
    <s v="FL"/>
    <x v="12"/>
    <s v="OO1"/>
  </r>
  <r>
    <n v="72"/>
    <x v="64"/>
    <s v="WS"/>
    <x v="13"/>
    <s v="WW1"/>
  </r>
  <r>
    <n v="73"/>
    <x v="64"/>
    <s v="FL"/>
    <x v="14"/>
    <s v="OO1"/>
  </r>
  <r>
    <n v="74"/>
    <x v="65"/>
    <s v="CS"/>
    <x v="0"/>
    <s v="XZ1"/>
  </r>
  <r>
    <n v="75"/>
    <x v="66"/>
    <s v="WF"/>
    <x v="0"/>
    <s v="BB1"/>
  </r>
  <r>
    <n v="76"/>
    <x v="67"/>
    <s v="WF"/>
    <x v="0"/>
    <s v="BB1"/>
  </r>
  <r>
    <n v="77"/>
    <x v="68"/>
    <s v="CS"/>
    <x v="0"/>
    <s v="XZ1"/>
  </r>
  <r>
    <n v="78"/>
    <x v="69"/>
    <s v="WS"/>
    <x v="0"/>
    <s v="WW1"/>
  </r>
  <r>
    <n v="79"/>
    <x v="70"/>
    <s v="WS"/>
    <x v="0"/>
    <s v="WW1"/>
  </r>
  <r>
    <n v="80"/>
    <x v="71"/>
    <s v="CS"/>
    <x v="0"/>
    <s v="XZ1"/>
  </r>
  <r>
    <n v="81"/>
    <x v="72"/>
    <s v="EQ"/>
    <x v="0"/>
    <s v="QQ1"/>
  </r>
  <r>
    <n v="82"/>
    <x v="73"/>
    <s v="CS"/>
    <x v="0"/>
    <s v="XZ1"/>
  </r>
  <r>
    <n v="83"/>
    <x v="74"/>
    <s v="CS"/>
    <x v="0"/>
    <s v="XZ1"/>
  </r>
  <r>
    <n v="84"/>
    <x v="75"/>
    <s v="FL"/>
    <x v="0"/>
    <s v="OO1"/>
  </r>
  <r>
    <n v="85"/>
    <x v="76"/>
    <s v="CS"/>
    <x v="0"/>
    <s v="XZ1"/>
  </r>
  <r>
    <n v="86"/>
    <x v="77"/>
    <s v="EQ"/>
    <x v="0"/>
    <s v="QQ1"/>
  </r>
  <r>
    <n v="87"/>
    <x v="78"/>
    <s v="CS"/>
    <x v="0"/>
    <s v="XZ1"/>
  </r>
  <r>
    <n v="88"/>
    <x v="79"/>
    <s v="CS"/>
    <x v="0"/>
    <s v="XZ1"/>
  </r>
  <r>
    <n v="89"/>
    <x v="80"/>
    <s v="FL"/>
    <x v="0"/>
    <s v="OO1"/>
  </r>
  <r>
    <n v="90"/>
    <x v="81"/>
    <s v="FL"/>
    <x v="0"/>
    <s v="OO1"/>
  </r>
  <r>
    <n v="91"/>
    <x v="82"/>
    <s v="WS"/>
    <x v="0"/>
    <s v="WW1"/>
  </r>
  <r>
    <n v="92"/>
    <x v="83"/>
    <s v="CS"/>
    <x v="0"/>
    <s v="XZ1"/>
  </r>
  <r>
    <n v="93"/>
    <x v="84"/>
    <s v="CS"/>
    <x v="0"/>
    <s v="XZ1"/>
  </r>
  <r>
    <n v="94"/>
    <x v="85"/>
    <s v="WS"/>
    <x v="0"/>
    <s v="WW1"/>
  </r>
  <r>
    <n v="95"/>
    <x v="85"/>
    <s v="WS"/>
    <x v="0"/>
    <s v="WW1"/>
  </r>
  <r>
    <n v="96"/>
    <x v="86"/>
    <s v="WS"/>
    <x v="7"/>
    <s v="WW1"/>
  </r>
  <r>
    <n v="97"/>
    <x v="86"/>
    <s v="FL"/>
    <x v="8"/>
    <s v="OO1"/>
  </r>
  <r>
    <n v="98"/>
    <x v="87"/>
    <s v="FL"/>
    <x v="0"/>
    <s v="OO1"/>
  </r>
  <r>
    <n v="99"/>
    <x v="88"/>
    <s v="WS"/>
    <x v="0"/>
    <s v="WW1"/>
  </r>
  <r>
    <n v="100"/>
    <x v="89"/>
    <s v="WS"/>
    <x v="0"/>
    <s v="WW1"/>
  </r>
  <r>
    <n v="101"/>
    <x v="90"/>
    <s v="WS"/>
    <x v="11"/>
    <s v="WW1"/>
  </r>
  <r>
    <n v="102"/>
    <x v="90"/>
    <s v="FL"/>
    <x v="12"/>
    <s v="OO1"/>
  </r>
  <r>
    <n v="103"/>
    <x v="91"/>
    <s v="WS"/>
    <x v="0"/>
    <s v="WW1"/>
  </r>
  <r>
    <n v="104"/>
    <x v="92"/>
    <s v="WS"/>
    <x v="2"/>
    <s v="WW1"/>
  </r>
  <r>
    <n v="105"/>
    <x v="92"/>
    <s v="FL"/>
    <x v="1"/>
    <s v="OO1"/>
  </r>
  <r>
    <n v="106"/>
    <x v="93"/>
    <s v="WF"/>
    <x v="0"/>
    <s v="BB1"/>
  </r>
  <r>
    <n v="107"/>
    <x v="94"/>
    <s v="FL"/>
    <x v="0"/>
    <s v="OO1"/>
  </r>
  <r>
    <n v="108"/>
    <x v="95"/>
    <s v="WS"/>
    <x v="15"/>
    <s v="WW1"/>
  </r>
  <r>
    <n v="109"/>
    <x v="95"/>
    <s v="FL"/>
    <x v="16"/>
    <s v="OO1"/>
  </r>
  <r>
    <n v="110"/>
    <x v="96"/>
    <s v="WS"/>
    <x v="0"/>
    <s v="WW1"/>
  </r>
  <r>
    <n v="111"/>
    <x v="97"/>
    <s v="FL"/>
    <x v="0"/>
    <s v="OO1"/>
  </r>
  <r>
    <n v="112"/>
    <x v="98"/>
    <s v="CS"/>
    <x v="0"/>
    <s v="XZ1"/>
  </r>
  <r>
    <n v="113"/>
    <x v="99"/>
    <s v="FL"/>
    <x v="0"/>
    <s v="OO1"/>
  </r>
  <r>
    <n v="114"/>
    <x v="100"/>
    <s v="CS"/>
    <x v="0"/>
    <s v="XZ1"/>
  </r>
  <r>
    <n v="115"/>
    <x v="101"/>
    <s v="CS"/>
    <x v="0"/>
    <s v="XZ1"/>
  </r>
  <r>
    <n v="116"/>
    <x v="102"/>
    <s v="CS"/>
    <x v="0"/>
    <s v="XZ1"/>
  </r>
  <r>
    <n v="117"/>
    <x v="103"/>
    <s v="CS"/>
    <x v="0"/>
    <s v="XZ1"/>
  </r>
  <r>
    <n v="118"/>
    <x v="104"/>
    <s v="CS"/>
    <x v="0"/>
    <s v="XZ1"/>
  </r>
  <r>
    <n v="119"/>
    <x v="105"/>
    <s v="CS"/>
    <x v="0"/>
    <s v="XZ1"/>
  </r>
  <r>
    <n v="120"/>
    <x v="106"/>
    <s v="CS"/>
    <x v="0"/>
    <s v="XZ1"/>
  </r>
  <r>
    <n v="121"/>
    <x v="107"/>
    <s v="WT"/>
    <x v="0"/>
    <s v="ZZ1"/>
  </r>
  <r>
    <n v="122"/>
    <x v="108"/>
    <s v="FL"/>
    <x v="0"/>
    <s v="OO1"/>
  </r>
  <r>
    <n v="123"/>
    <x v="109"/>
    <s v="WT"/>
    <x v="0"/>
    <s v="ZZ1"/>
  </r>
  <r>
    <n v="124"/>
    <x v="110"/>
    <s v="FL"/>
    <x v="0"/>
    <s v="OO1"/>
  </r>
  <r>
    <n v="125"/>
    <x v="111"/>
    <s v="EQ"/>
    <x v="0"/>
    <s v="QQ1"/>
  </r>
  <r>
    <n v="126"/>
    <x v="112"/>
    <s v="FL"/>
    <x v="0"/>
    <s v="OO1"/>
  </r>
  <r>
    <n v="127"/>
    <x v="113"/>
    <s v="CS"/>
    <x v="0"/>
    <s v="XZ1"/>
  </r>
  <r>
    <n v="128"/>
    <x v="114"/>
    <s v="CS"/>
    <x v="0"/>
    <s v="XZ1"/>
  </r>
  <r>
    <n v="129"/>
    <x v="115"/>
    <s v="FL"/>
    <x v="0"/>
    <s v="OO1"/>
  </r>
  <r>
    <n v="130"/>
    <x v="116"/>
    <s v="CS"/>
    <x v="0"/>
    <s v="XZ1"/>
  </r>
  <r>
    <n v="131"/>
    <x v="117"/>
    <s v="CS"/>
    <x v="0"/>
    <s v="XZ1"/>
  </r>
  <r>
    <n v="132"/>
    <x v="118"/>
    <s v="CS"/>
    <x v="0"/>
    <s v="XZ1"/>
  </r>
  <r>
    <n v="133"/>
    <x v="119"/>
    <s v="CS"/>
    <x v="0"/>
    <s v="XZ1"/>
  </r>
  <r>
    <n v="134"/>
    <x v="120"/>
    <s v="CS"/>
    <x v="0"/>
    <s v="XZ1"/>
  </r>
  <r>
    <n v="135"/>
    <x v="121"/>
    <s v="CS"/>
    <x v="0"/>
    <s v="XZ1"/>
  </r>
  <r>
    <n v="136"/>
    <x v="122"/>
    <s v="CS"/>
    <x v="0"/>
    <s v="XZ1"/>
  </r>
  <r>
    <n v="137"/>
    <x v="123"/>
    <s v="FL"/>
    <x v="0"/>
    <s v="OO1"/>
  </r>
  <r>
    <n v="138"/>
    <x v="124"/>
    <s v="CS"/>
    <x v="0"/>
    <s v="XZ1"/>
  </r>
  <r>
    <n v="139"/>
    <x v="125"/>
    <s v="WF"/>
    <x v="0"/>
    <s v="BB1"/>
  </r>
  <r>
    <n v="140"/>
    <x v="126"/>
    <s v="WF"/>
    <x v="0"/>
    <s v="BB1"/>
  </r>
  <r>
    <n v="141"/>
    <x v="127"/>
    <s v="WS"/>
    <x v="17"/>
    <s v="WW1"/>
  </r>
  <r>
    <n v="142"/>
    <x v="127"/>
    <s v="FL"/>
    <x v="18"/>
    <s v="OO1"/>
  </r>
  <r>
    <n v="143"/>
    <x v="128"/>
    <s v="WF"/>
    <x v="0"/>
    <s v="BB1"/>
  </r>
  <r>
    <n v="144"/>
    <x v="129"/>
    <s v="FL"/>
    <x v="0"/>
    <s v="OO1"/>
  </r>
  <r>
    <n v="145"/>
    <x v="130"/>
    <s v="WF"/>
    <x v="0"/>
    <s v="BB1"/>
  </r>
  <r>
    <n v="146"/>
    <x v="131"/>
    <s v="WF"/>
    <x v="0"/>
    <s v="BB1"/>
  </r>
  <r>
    <n v="147"/>
    <x v="132"/>
    <s v="FL"/>
    <x v="0"/>
    <s v="OO1"/>
  </r>
  <r>
    <n v="148"/>
    <x v="133"/>
    <s v="WF"/>
    <x v="0"/>
    <s v="BB1"/>
  </r>
  <r>
    <n v="149"/>
    <x v="134"/>
    <s v="CS"/>
    <x v="0"/>
    <s v="XZ1"/>
  </r>
  <r>
    <n v="150"/>
    <x v="135"/>
    <s v="FL"/>
    <x v="0"/>
    <s v="OO1"/>
  </r>
  <r>
    <n v="151"/>
    <x v="136"/>
    <s v="WF"/>
    <x v="0"/>
    <s v="BB1"/>
  </r>
  <r>
    <n v="152"/>
    <x v="137"/>
    <s v="WS"/>
    <x v="19"/>
    <s v="WW1"/>
  </r>
  <r>
    <n v="153"/>
    <x v="137"/>
    <s v="FL"/>
    <x v="20"/>
    <s v="OO1"/>
  </r>
  <r>
    <n v="154"/>
    <x v="138"/>
    <s v="WS"/>
    <x v="21"/>
    <s v="WW1"/>
  </r>
  <r>
    <n v="155"/>
    <x v="138"/>
    <s v="FL"/>
    <x v="22"/>
    <s v="OO1"/>
  </r>
  <r>
    <n v="156"/>
    <x v="139"/>
    <s v="FL"/>
    <x v="0"/>
    <s v="OO1"/>
  </r>
  <r>
    <n v="157"/>
    <x v="140"/>
    <s v="WS"/>
    <x v="23"/>
    <s v="WW1"/>
  </r>
  <r>
    <n v="158"/>
    <x v="140"/>
    <s v="FL"/>
    <x v="24"/>
    <s v="OO1"/>
  </r>
  <r>
    <n v="159"/>
    <x v="141"/>
    <s v="FL"/>
    <x v="0"/>
    <s v="OO1"/>
  </r>
  <r>
    <n v="160"/>
    <x v="142"/>
    <s v="CS"/>
    <x v="0"/>
    <s v="XZ1"/>
  </r>
  <r>
    <n v="161"/>
    <x v="143"/>
    <s v="FL"/>
    <x v="0"/>
    <s v="OO1"/>
  </r>
  <r>
    <n v="162"/>
    <x v="144"/>
    <s v="WS"/>
    <x v="0"/>
    <s v="WW1"/>
  </r>
  <r>
    <n v="164"/>
    <x v="145"/>
    <s v="EQ"/>
    <x v="0"/>
    <s v="QQ1"/>
  </r>
  <r>
    <n v="165"/>
    <x v="146"/>
    <s v="FL"/>
    <x v="0"/>
    <s v="OO1"/>
  </r>
  <r>
    <n v="166"/>
    <x v="147"/>
    <s v="FL"/>
    <x v="0"/>
    <s v="OO1"/>
  </r>
  <r>
    <n v="167"/>
    <x v="147"/>
    <s v="FL"/>
    <x v="0"/>
    <s v="OO1"/>
  </r>
  <r>
    <n v="168"/>
    <x v="148"/>
    <s v="FL"/>
    <x v="0"/>
    <s v="OO1"/>
  </r>
  <r>
    <n v="169"/>
    <x v="149"/>
    <s v="FL"/>
    <x v="0"/>
    <s v="OO1"/>
  </r>
  <r>
    <n v="170"/>
    <x v="150"/>
    <s v="CS"/>
    <x v="0"/>
    <s v="XZ1"/>
  </r>
  <r>
    <n v="171"/>
    <x v="151"/>
    <s v="CS"/>
    <x v="0"/>
    <s v="XZ1"/>
  </r>
  <r>
    <n v="172"/>
    <x v="152"/>
    <s v="WF"/>
    <x v="0"/>
    <s v="BB1"/>
  </r>
  <r>
    <n v="173"/>
    <x v="153"/>
    <s v="WT"/>
    <x v="0"/>
    <s v="ZZ1"/>
  </r>
  <r>
    <n v="174"/>
    <x v="154"/>
    <s v="CS"/>
    <x v="0"/>
    <s v="XZ1"/>
  </r>
  <r>
    <n v="175"/>
    <x v="155"/>
    <s v="FL"/>
    <x v="0"/>
    <s v="OO1"/>
  </r>
  <r>
    <n v="176"/>
    <x v="156"/>
    <s v="WS"/>
    <x v="0"/>
    <s v="WW1"/>
  </r>
  <r>
    <n v="177"/>
    <x v="157"/>
    <s v="CS"/>
    <x v="0"/>
    <s v="XZ1"/>
  </r>
  <r>
    <n v="178"/>
    <x v="158"/>
    <s v="CS"/>
    <x v="0"/>
    <s v="XZ1"/>
  </r>
  <r>
    <n v="179"/>
    <x v="159"/>
    <s v="CS"/>
    <x v="0"/>
    <s v="XZ1"/>
  </r>
  <r>
    <n v="180"/>
    <x v="160"/>
    <s v="CS"/>
    <x v="0"/>
    <s v="XZ1"/>
  </r>
  <r>
    <n v="181"/>
    <x v="161"/>
    <s v="CS"/>
    <x v="0"/>
    <s v="XZ1"/>
  </r>
  <r>
    <n v="182"/>
    <x v="162"/>
    <s v="WF"/>
    <x v="0"/>
    <s v="BB1"/>
  </r>
  <r>
    <n v="183"/>
    <x v="163"/>
    <s v="CS"/>
    <x v="0"/>
    <s v="XZ1"/>
  </r>
  <r>
    <n v="184"/>
    <x v="164"/>
    <s v="CS"/>
    <x v="0"/>
    <s v="XZ1"/>
  </r>
  <r>
    <n v="185"/>
    <x v="165"/>
    <s v="CS"/>
    <x v="0"/>
    <s v="XZ1"/>
  </r>
  <r>
    <n v="186"/>
    <x v="166"/>
    <s v="CS"/>
    <x v="0"/>
    <s v="XZ1"/>
  </r>
  <r>
    <n v="187"/>
    <x v="167"/>
    <s v="FL"/>
    <x v="0"/>
    <s v="OO1"/>
  </r>
  <r>
    <n v="188"/>
    <x v="168"/>
    <s v="CS"/>
    <x v="0"/>
    <s v="XZ1"/>
  </r>
  <r>
    <n v="189"/>
    <x v="169"/>
    <s v="FL"/>
    <x v="0"/>
    <s v="OO1"/>
  </r>
  <r>
    <n v="190"/>
    <x v="170"/>
    <s v="WF"/>
    <x v="0"/>
    <s v="BB1"/>
  </r>
  <r>
    <n v="191"/>
    <x v="171"/>
    <s v="WS"/>
    <x v="0"/>
    <s v="WW1"/>
  </r>
  <r>
    <n v="193"/>
    <x v="172"/>
    <s v="WS"/>
    <x v="0"/>
    <s v="WW1"/>
  </r>
  <r>
    <n v="195"/>
    <x v="173"/>
    <s v="WS"/>
    <x v="0"/>
    <s v="WW1"/>
  </r>
  <r>
    <n v="196"/>
    <x v="174"/>
    <s v="CS"/>
    <x v="0"/>
    <s v="XZ1"/>
  </r>
  <r>
    <n v="197"/>
    <x v="175"/>
    <s v="EQ"/>
    <x v="0"/>
    <s v="QQ1"/>
  </r>
  <r>
    <n v="198"/>
    <x v="176"/>
    <s v="CS"/>
    <x v="0"/>
    <s v="XZ1"/>
  </r>
  <r>
    <n v="199"/>
    <x v="177"/>
    <s v="WT"/>
    <x v="0"/>
    <s v="ZZ1"/>
  </r>
  <r>
    <n v="200"/>
    <x v="177"/>
    <s v="WT"/>
    <x v="0"/>
    <s v="ZZ1"/>
  </r>
  <r>
    <n v="201"/>
    <x v="178"/>
    <s v="CS"/>
    <x v="0"/>
    <s v="XZ1"/>
  </r>
  <r>
    <n v="202"/>
    <x v="179"/>
    <s v="CS"/>
    <x v="0"/>
    <s v="XZ1"/>
  </r>
  <r>
    <n v="203"/>
    <x v="180"/>
    <s v="CS"/>
    <x v="0"/>
    <s v="XZ1"/>
  </r>
  <r>
    <n v="204"/>
    <x v="181"/>
    <s v="CS"/>
    <x v="0"/>
    <s v="XZ1"/>
  </r>
  <r>
    <n v="205"/>
    <x v="182"/>
    <s v="CS"/>
    <x v="0"/>
    <s v="XZ1"/>
  </r>
  <r>
    <n v="206"/>
    <x v="183"/>
    <s v="CS"/>
    <x v="0"/>
    <s v="XZ1"/>
  </r>
  <r>
    <n v="207"/>
    <x v="184"/>
    <s v="CS"/>
    <x v="0"/>
    <s v="XZ1"/>
  </r>
  <r>
    <n v="208"/>
    <x v="185"/>
    <s v="FL"/>
    <x v="0"/>
    <s v="OO1"/>
  </r>
  <r>
    <n v="209"/>
    <x v="186"/>
    <s v="CS"/>
    <x v="0"/>
    <s v="XZ1"/>
  </r>
  <r>
    <n v="210"/>
    <x v="187"/>
    <s v="CS"/>
    <x v="0"/>
    <s v="XZ1"/>
  </r>
  <r>
    <n v="211"/>
    <x v="188"/>
    <s v="WF"/>
    <x v="0"/>
    <s v="BB1"/>
  </r>
  <r>
    <n v="212"/>
    <x v="189"/>
    <s v="CS"/>
    <x v="0"/>
    <s v="XZ1"/>
  </r>
  <r>
    <n v="213"/>
    <x v="190"/>
    <s v="FL"/>
    <x v="0"/>
    <s v="OO1"/>
  </r>
  <r>
    <n v="214"/>
    <x v="191"/>
    <s v="EQ"/>
    <x v="0"/>
    <s v="QQ1"/>
  </r>
  <r>
    <n v="215"/>
    <x v="192"/>
    <s v="CS"/>
    <x v="0"/>
    <s v="XZ1"/>
  </r>
  <r>
    <n v="216"/>
    <x v="193"/>
    <s v="CS"/>
    <x v="0"/>
    <s v="XZ1"/>
  </r>
  <r>
    <n v="217"/>
    <x v="194"/>
    <s v="CS"/>
    <x v="0"/>
    <s v="XZ1"/>
  </r>
  <r>
    <n v="218"/>
    <x v="195"/>
    <s v="FL"/>
    <x v="0"/>
    <s v="OO1"/>
  </r>
  <r>
    <n v="219"/>
    <x v="196"/>
    <s v="WS"/>
    <x v="0"/>
    <s v="WW1"/>
  </r>
  <r>
    <n v="220"/>
    <x v="197"/>
    <s v="WF"/>
    <x v="0"/>
    <s v="BB1"/>
  </r>
  <r>
    <n v="221"/>
    <x v="198"/>
    <s v="WF"/>
    <x v="0"/>
    <s v="BB1"/>
  </r>
  <r>
    <n v="222"/>
    <x v="199"/>
    <s v="WS"/>
    <x v="25"/>
    <s v="WW1"/>
  </r>
  <r>
    <n v="223"/>
    <x v="199"/>
    <s v="FL"/>
    <x v="26"/>
    <s v="OO1"/>
  </r>
  <r>
    <n v="224"/>
    <x v="200"/>
    <s v="CS"/>
    <x v="0"/>
    <s v="XZ1"/>
  </r>
  <r>
    <n v="225"/>
    <x v="201"/>
    <s v="FL"/>
    <x v="0"/>
    <s v="OO1"/>
  </r>
  <r>
    <n v="226"/>
    <x v="202"/>
    <s v="WS"/>
    <x v="0"/>
    <s v="WW1"/>
  </r>
  <r>
    <n v="227"/>
    <x v="203"/>
    <s v="CS"/>
    <x v="0"/>
    <s v="XZ1"/>
  </r>
  <r>
    <n v="228"/>
    <x v="204"/>
    <s v="CS"/>
    <x v="0"/>
    <s v="XZ1"/>
  </r>
  <r>
    <m/>
    <x v="205"/>
    <m/>
    <x v="2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7">
  <r>
    <x v="0"/>
    <n v="2341074.7858130098"/>
  </r>
  <r>
    <x v="0"/>
    <n v="404445104.58333999"/>
  </r>
  <r>
    <x v="0"/>
    <n v="90457707.238537595"/>
  </r>
  <r>
    <x v="1"/>
    <n v="10323673.3044497"/>
  </r>
  <r>
    <x v="1"/>
    <n v="17335179.916804001"/>
  </r>
  <r>
    <x v="1"/>
    <n v="14737392.520119799"/>
  </r>
  <r>
    <x v="1"/>
    <n v="1917852.82254549"/>
  </r>
  <r>
    <x v="1"/>
    <n v="2270269.1193386498"/>
  </r>
  <r>
    <x v="1"/>
    <n v="27743515.2711404"/>
  </r>
  <r>
    <x v="1"/>
    <n v="17950202.290039498"/>
  </r>
  <r>
    <x v="1"/>
    <n v="11924834.067503599"/>
  </r>
  <r>
    <x v="1"/>
    <n v="20927362.858742401"/>
  </r>
  <r>
    <x v="1"/>
    <n v="23897663.063958298"/>
  </r>
  <r>
    <x v="2"/>
    <n v="12688623.5225274"/>
  </r>
  <r>
    <x v="2"/>
    <n v="9254501.6327838991"/>
  </r>
  <r>
    <x v="2"/>
    <n v="12105886.8435876"/>
  </r>
  <r>
    <x v="2"/>
    <n v="12086412.7818169"/>
  </r>
  <r>
    <x v="3"/>
    <n v="112184015.699424"/>
  </r>
  <r>
    <x v="3"/>
    <n v="1107623.15891219"/>
  </r>
  <r>
    <x v="3"/>
    <n v="147560795.34786099"/>
  </r>
  <r>
    <x v="4"/>
    <n v="12046374.8908759"/>
  </r>
  <r>
    <x v="4"/>
    <n v="2078225.89262989"/>
  </r>
  <r>
    <x v="4"/>
    <n v="847150.10601515998"/>
  </r>
  <r>
    <x v="4"/>
    <n v="10054354.613634"/>
  </r>
  <r>
    <x v="4"/>
    <n v="1600375.5182918201"/>
  </r>
  <r>
    <x v="4"/>
    <n v="21917508.864282899"/>
  </r>
  <r>
    <x v="5"/>
    <n v="49336993.141742803"/>
  </r>
  <r>
    <x v="5"/>
    <n v="28910868.510570999"/>
  </r>
  <r>
    <x v="5"/>
    <n v="108903136.62999301"/>
  </r>
  <r>
    <x v="5"/>
    <n v="41946748.904798999"/>
  </r>
  <r>
    <x v="5"/>
    <n v="9161976.8697183598"/>
  </r>
  <r>
    <x v="5"/>
    <n v="10359291.5715841"/>
  </r>
  <r>
    <x v="5"/>
    <n v="2752420.1343179098"/>
  </r>
  <r>
    <x v="5"/>
    <n v="23914009.6762027"/>
  </r>
  <r>
    <x v="6"/>
    <n v="13878055.631955599"/>
  </r>
  <r>
    <x v="6"/>
    <n v="5105424.8767551202"/>
  </r>
  <r>
    <x v="6"/>
    <n v="27007498.197264899"/>
  </r>
  <r>
    <x v="7"/>
    <n v="570088358.90512395"/>
  </r>
  <r>
    <x v="7"/>
    <n v="4902394.3858100399"/>
  </r>
  <r>
    <x v="8"/>
    <n v="5874048.7413301496"/>
  </r>
  <r>
    <x v="8"/>
    <n v="3796746.3677745298"/>
  </r>
  <r>
    <x v="8"/>
    <n v="10256221.589242499"/>
  </r>
  <r>
    <x v="8"/>
    <n v="6548401.22089577"/>
  </r>
  <r>
    <x v="8"/>
    <n v="346164680.54764599"/>
  </r>
  <r>
    <x v="9"/>
    <n v="7109225.66846353"/>
  </r>
  <r>
    <x v="10"/>
    <n v="14460682.920194499"/>
  </r>
  <r>
    <x v="10"/>
    <n v="29483656.421490099"/>
  </r>
  <r>
    <x v="10"/>
    <n v="26911154.300235"/>
  </r>
  <r>
    <x v="10"/>
    <n v="12399211.010450101"/>
  </r>
  <r>
    <x v="10"/>
    <n v="11496992.094299"/>
  </r>
  <r>
    <x v="10"/>
    <n v="3131392.6719350801"/>
  </r>
  <r>
    <x v="10"/>
    <n v="25272876.579309601"/>
  </r>
  <r>
    <x v="10"/>
    <n v="9940577.8140233308"/>
  </r>
  <r>
    <x v="10"/>
    <n v="54869825.867312603"/>
  </r>
  <r>
    <x v="10"/>
    <n v="7351363.3606120301"/>
  </r>
  <r>
    <x v="10"/>
    <n v="21240906.490992699"/>
  </r>
  <r>
    <x v="11"/>
    <n v="1109319.8200185399"/>
  </r>
  <r>
    <x v="11"/>
    <n v="202390385.48415399"/>
  </r>
  <r>
    <x v="11"/>
    <n v="36811150.787015103"/>
  </r>
  <r>
    <x v="12"/>
    <n v="1641692.0635546099"/>
  </r>
  <r>
    <x v="13"/>
    <n v="51386544.631200202"/>
  </r>
  <r>
    <x v="13"/>
    <n v="526113.00139283796"/>
  </r>
  <r>
    <x v="13"/>
    <n v="71960579.580213502"/>
  </r>
  <r>
    <x v="14"/>
    <n v="6039490.28610148"/>
  </r>
  <r>
    <x v="14"/>
    <n v="2844208.6848446401"/>
  </r>
  <r>
    <x v="14"/>
    <n v="14263052.1455412"/>
  </r>
  <r>
    <x v="15"/>
    <n v="1952300.7254200999"/>
  </r>
  <r>
    <x v="15"/>
    <n v="2864828.4017872801"/>
  </r>
  <r>
    <x v="15"/>
    <n v="12972031.8225538"/>
  </r>
  <r>
    <x v="15"/>
    <n v="3608442.8009768301"/>
  </r>
  <r>
    <x v="15"/>
    <n v="1840438.6069328701"/>
  </r>
  <r>
    <x v="15"/>
    <n v="3299282.7517715502"/>
  </r>
  <r>
    <x v="15"/>
    <n v="18423194.185780801"/>
  </r>
  <r>
    <x v="15"/>
    <n v="4698249.4140799996"/>
  </r>
  <r>
    <x v="15"/>
    <n v="13582400.5902042"/>
  </r>
  <r>
    <x v="15"/>
    <n v="16393973.3074689"/>
  </r>
  <r>
    <x v="15"/>
    <n v="6257404.8578576101"/>
  </r>
  <r>
    <x v="15"/>
    <n v="6452643.7912111497"/>
  </r>
  <r>
    <x v="15"/>
    <n v="4146055.1510071899"/>
  </r>
  <r>
    <x v="16"/>
    <n v="40626638.1981363"/>
  </r>
  <r>
    <x v="16"/>
    <n v="27260560.535088301"/>
  </r>
  <r>
    <x v="16"/>
    <n v="991294.17627840699"/>
  </r>
  <r>
    <x v="16"/>
    <n v="10353491.6636067"/>
  </r>
  <r>
    <x v="16"/>
    <n v="7192709.5178888598"/>
  </r>
  <r>
    <x v="16"/>
    <n v="11075997.344214801"/>
  </r>
  <r>
    <x v="16"/>
    <n v="3215040.0802449002"/>
  </r>
  <r>
    <x v="16"/>
    <n v="2929370.1075642598"/>
  </r>
  <r>
    <x v="16"/>
    <n v="1479564.03602752"/>
  </r>
  <r>
    <x v="16"/>
    <n v="9169131.1170992292"/>
  </r>
  <r>
    <x v="16"/>
    <n v="11826399.432913899"/>
  </r>
  <r>
    <x v="16"/>
    <n v="9806205.9980011508"/>
  </r>
  <r>
    <x v="16"/>
    <n v="10642772.4729561"/>
  </r>
  <r>
    <x v="16"/>
    <n v="14364663.758730801"/>
  </r>
  <r>
    <x v="16"/>
    <n v="5446910.8562262198"/>
  </r>
  <r>
    <x v="16"/>
    <n v="8496929.06560665"/>
  </r>
  <r>
    <x v="17"/>
    <n v="43683068.9581673"/>
  </r>
  <r>
    <x v="18"/>
    <n v="5481888.1268603103"/>
  </r>
  <r>
    <x v="18"/>
    <n v="1460738.31482622"/>
  </r>
  <r>
    <x v="18"/>
    <n v="18613242.233973399"/>
  </r>
  <r>
    <x v="18"/>
    <n v="186979.11979016999"/>
  </r>
  <r>
    <x v="18"/>
    <n v="2121782.6110473499"/>
  </r>
  <r>
    <x v="18"/>
    <n v="1258632.08822119"/>
  </r>
  <r>
    <x v="19"/>
    <n v="1439999.7989069901"/>
  </r>
  <r>
    <x v="20"/>
    <n v="5847808.2593789799"/>
  </r>
  <r>
    <x v="20"/>
    <n v="1327474.2235991999"/>
  </r>
  <r>
    <x v="21"/>
    <n v="3914156.6260751002"/>
  </r>
  <r>
    <x v="21"/>
    <n v="3352636.8460677098"/>
  </r>
  <r>
    <x v="21"/>
    <n v="5403673.7102680597"/>
  </r>
  <r>
    <x v="21"/>
    <n v="14868110.992685201"/>
  </r>
  <r>
    <x v="21"/>
    <n v="7574348.4298554603"/>
  </r>
  <r>
    <x v="21"/>
    <n v="3350652.2653529001"/>
  </r>
  <r>
    <x v="21"/>
    <n v="14500627.7400408"/>
  </r>
  <r>
    <x v="21"/>
    <n v="6384242.3447511801"/>
  </r>
  <r>
    <x v="21"/>
    <n v="6952653.3004852301"/>
  </r>
  <r>
    <x v="21"/>
    <n v="5918156.1090539796"/>
  </r>
  <r>
    <x v="21"/>
    <n v="16334029.1419906"/>
  </r>
  <r>
    <x v="21"/>
    <n v="5766116.9950929303"/>
  </r>
  <r>
    <x v="21"/>
    <n v="591570.05485672795"/>
  </r>
  <r>
    <x v="21"/>
    <n v="1590852.04046906"/>
  </r>
  <r>
    <x v="21"/>
    <n v="297102.89910642197"/>
  </r>
  <r>
    <x v="21"/>
    <n v="8289041.1532308301"/>
  </r>
  <r>
    <x v="22"/>
    <n v="294308285.72090602"/>
  </r>
  <r>
    <x v="22"/>
    <n v="2242083.4905634602"/>
  </r>
  <r>
    <x v="23"/>
    <n v="3161565.57562932"/>
  </r>
  <r>
    <x v="23"/>
    <n v="2139365.2376417802"/>
  </r>
  <r>
    <x v="23"/>
    <n v="4806274.3709650803"/>
  </r>
  <r>
    <x v="23"/>
    <n v="3231577.4860768099"/>
  </r>
  <r>
    <x v="23"/>
    <n v="160437142.47185799"/>
  </r>
  <r>
    <x v="24"/>
    <n v="4716326.4082771102"/>
  </r>
  <r>
    <x v="24"/>
    <n v="6729518.9466456501"/>
  </r>
  <r>
    <x v="24"/>
    <n v="2076081.4279917099"/>
  </r>
  <r>
    <x v="24"/>
    <n v="1394272.04227988"/>
  </r>
  <r>
    <x v="24"/>
    <n v="34169.272674321801"/>
  </r>
  <r>
    <x v="25"/>
    <n v="22887088.211002801"/>
  </r>
  <r>
    <x v="25"/>
    <n v="16488953.6725004"/>
  </r>
  <r>
    <x v="25"/>
    <n v="55369304.133193001"/>
  </r>
  <r>
    <x v="25"/>
    <n v="20935278.942710601"/>
  </r>
  <r>
    <x v="25"/>
    <n v="5133604.96089435"/>
  </r>
  <r>
    <x v="25"/>
    <n v="5443552.9792440096"/>
  </r>
  <r>
    <x v="25"/>
    <n v="1481402.8929324399"/>
  </r>
  <r>
    <x v="25"/>
    <n v="11622033.5157141"/>
  </r>
  <r>
    <x v="26"/>
    <n v="3320895.5372693301"/>
  </r>
  <r>
    <x v="27"/>
    <n v="11811067.5559448"/>
  </r>
  <r>
    <x v="27"/>
    <n v="1294181.3467665699"/>
  </r>
  <r>
    <x v="27"/>
    <n v="5837210.2753075603"/>
  </r>
  <r>
    <x v="27"/>
    <n v="36257.389858401097"/>
  </r>
  <r>
    <x v="28"/>
    <n v="4924149.3667639503"/>
  </r>
  <r>
    <x v="28"/>
    <n v="1046876.82279848"/>
  </r>
  <r>
    <x v="28"/>
    <n v="1681387.11475639"/>
  </r>
  <r>
    <x v="28"/>
    <n v="9761548.4065653495"/>
  </r>
  <r>
    <x v="28"/>
    <n v="1027456.07657086"/>
  </r>
  <r>
    <x v="29"/>
    <n v="1754585.98767004"/>
  </r>
  <r>
    <x v="29"/>
    <n v="1744538.0708870599"/>
  </r>
  <r>
    <x v="29"/>
    <n v="635359.18651951605"/>
  </r>
  <r>
    <x v="29"/>
    <n v="1126672.48314206"/>
  </r>
  <r>
    <x v="29"/>
    <n v="2029317.4913721101"/>
  </r>
  <r>
    <x v="29"/>
    <n v="618074.99010282999"/>
  </r>
  <r>
    <x v="29"/>
    <n v="1517437.9541150201"/>
  </r>
  <r>
    <x v="29"/>
    <n v="654652.44186654198"/>
  </r>
  <r>
    <x v="29"/>
    <n v="351300.37589205703"/>
  </r>
  <r>
    <x v="29"/>
    <n v="2267057.8936332902"/>
  </r>
  <r>
    <x v="29"/>
    <n v="9198588.8925270196"/>
  </r>
  <r>
    <x v="29"/>
    <n v="193274.43579156499"/>
  </r>
  <r>
    <x v="29"/>
    <n v="415335.83570275398"/>
  </r>
  <r>
    <x v="29"/>
    <n v="115388226.849215"/>
  </r>
  <r>
    <x v="29"/>
    <n v="1122364.3240127"/>
  </r>
  <r>
    <x v="29"/>
    <n v="7220036.2103862697"/>
  </r>
  <r>
    <x v="30"/>
    <n v="9849492.6366038807"/>
  </r>
  <r>
    <x v="30"/>
    <n v="8780181.3451826908"/>
  </r>
  <r>
    <x v="30"/>
    <n v="460273.61431408202"/>
  </r>
  <r>
    <x v="30"/>
    <n v="1245797.9899738601"/>
  </r>
  <r>
    <x v="30"/>
    <n v="19509132.146696702"/>
  </r>
  <r>
    <x v="31"/>
    <n v="8203123.1881716"/>
  </r>
  <r>
    <x v="32"/>
    <n v="75477391.797584295"/>
  </r>
  <r>
    <x v="32"/>
    <n v="4107502.9861025801"/>
  </r>
  <r>
    <x v="32"/>
    <n v="19586485.222166501"/>
  </r>
  <r>
    <x v="33"/>
    <n v="9762460.5666900799"/>
  </r>
  <r>
    <x v="33"/>
    <n v="58304634.9038167"/>
  </r>
  <r>
    <x v="34"/>
    <n v="5429865.6582613299"/>
  </r>
  <r>
    <x v="34"/>
    <n v="4730328.3069914896"/>
  </r>
  <r>
    <x v="34"/>
    <n v="192935.471993802"/>
  </r>
  <r>
    <x v="34"/>
    <n v="814586.72484630195"/>
  </r>
  <r>
    <x v="34"/>
    <n v="11904478.996448601"/>
  </r>
  <r>
    <x v="35"/>
    <n v="9561752.5968990307"/>
  </r>
  <r>
    <x v="35"/>
    <n v="3778126.1664768001"/>
  </r>
  <r>
    <x v="36"/>
    <n v="356634.18709647801"/>
  </r>
  <r>
    <x v="36"/>
    <n v="96977887.311172798"/>
  </r>
  <r>
    <x v="37"/>
    <n v="3742348.2532578702"/>
  </r>
  <r>
    <x v="37"/>
    <n v="2476717.93128866"/>
  </r>
  <r>
    <x v="37"/>
    <n v="3046811.0007700799"/>
  </r>
  <r>
    <x v="38"/>
    <n v="7696630.0897971001"/>
  </r>
  <r>
    <x v="38"/>
    <n v="1330919.2779208201"/>
  </r>
  <r>
    <x v="39"/>
    <n v="176919.37519204599"/>
  </r>
  <r>
    <x v="40"/>
    <n v="14164438.643962599"/>
  </r>
  <r>
    <x v="40"/>
    <n v="2933010.31075696"/>
  </r>
  <r>
    <x v="41"/>
    <n v="842356.64883111895"/>
  </r>
  <r>
    <x v="41"/>
    <n v="215503819.56496999"/>
  </r>
  <r>
    <x v="42"/>
    <n v="11587731.580859501"/>
  </r>
  <r>
    <x v="42"/>
    <n v="2790011.39670341"/>
  </r>
  <r>
    <x v="43"/>
    <n v="4556905.5815774798"/>
  </r>
  <r>
    <x v="43"/>
    <n v="955147.43346556602"/>
  </r>
  <r>
    <x v="43"/>
    <n v="455228.85145225399"/>
  </r>
  <r>
    <x v="43"/>
    <n v="5430151.7829338899"/>
  </r>
  <r>
    <x v="43"/>
    <n v="893389.87641024299"/>
  </r>
  <r>
    <x v="43"/>
    <n v="13178596.946619101"/>
  </r>
  <r>
    <x v="44"/>
    <n v="5901722.7523393501"/>
  </r>
  <r>
    <x v="44"/>
    <n v="15538923.3900414"/>
  </r>
  <r>
    <x v="44"/>
    <n v="10563117.252708299"/>
  </r>
  <r>
    <x v="44"/>
    <n v="5731389.4629496001"/>
  </r>
  <r>
    <x v="44"/>
    <n v="6976105.9606526"/>
  </r>
  <r>
    <x v="44"/>
    <n v="1351812.9792182201"/>
  </r>
  <r>
    <x v="44"/>
    <n v="11164868.869671199"/>
  </r>
  <r>
    <x v="44"/>
    <n v="5402392.4217266198"/>
  </r>
  <r>
    <x v="44"/>
    <n v="30920365.7516862"/>
  </r>
  <r>
    <x v="44"/>
    <n v="3638718.2440522299"/>
  </r>
  <r>
    <x v="44"/>
    <n v="10345881.345656"/>
  </r>
  <r>
    <x v="45"/>
    <n v="21266359.440967999"/>
  </r>
  <r>
    <x v="45"/>
    <n v="10976654.7313937"/>
  </r>
  <r>
    <x v="45"/>
    <n v="393287.65711758402"/>
  </r>
  <r>
    <x v="45"/>
    <n v="4798994.9337148601"/>
  </r>
  <r>
    <x v="45"/>
    <n v="4375385.1869632099"/>
  </r>
  <r>
    <x v="45"/>
    <n v="5294420.40512117"/>
  </r>
  <r>
    <x v="45"/>
    <n v="1747882.23432194"/>
  </r>
  <r>
    <x v="45"/>
    <n v="1166283.89998616"/>
  </r>
  <r>
    <x v="45"/>
    <n v="680219.96600714605"/>
  </r>
  <r>
    <x v="45"/>
    <n v="3741093.6699124998"/>
  </r>
  <r>
    <x v="45"/>
    <n v="6430001.0863400605"/>
  </r>
  <r>
    <x v="45"/>
    <n v="3801942.1543953498"/>
  </r>
  <r>
    <x v="45"/>
    <n v="7109069.2703932896"/>
  </r>
  <r>
    <x v="45"/>
    <n v="9522215.1212198995"/>
  </r>
  <r>
    <x v="45"/>
    <n v="2565467.31767835"/>
  </r>
  <r>
    <x v="45"/>
    <n v="4287493.3548481297"/>
  </r>
  <r>
    <x v="46"/>
    <n v="6815667.1740010502"/>
  </r>
  <r>
    <x v="46"/>
    <n v="3978372.0771160801"/>
  </r>
  <r>
    <x v="46"/>
    <n v="4742911.4544495698"/>
  </r>
  <r>
    <x v="46"/>
    <n v="6939270.4049108699"/>
  </r>
  <r>
    <x v="47"/>
    <n v="96143097.5378647"/>
  </r>
  <r>
    <x v="48"/>
    <n v="1044720.05755823"/>
  </r>
  <r>
    <x v="48"/>
    <n v="1505188.31667492"/>
  </r>
  <r>
    <x v="48"/>
    <n v="6735584.5659794696"/>
  </r>
  <r>
    <x v="48"/>
    <n v="1726647.6038462799"/>
  </r>
  <r>
    <x v="48"/>
    <n v="1124164.3827438799"/>
  </r>
  <r>
    <x v="48"/>
    <n v="1671110.9721661999"/>
  </r>
  <r>
    <x v="48"/>
    <n v="11515947.858116699"/>
  </r>
  <r>
    <x v="48"/>
    <n v="3042951.0275790198"/>
  </r>
  <r>
    <x v="48"/>
    <n v="7010859.47569062"/>
  </r>
  <r>
    <x v="48"/>
    <n v="10866711.938280201"/>
  </r>
  <r>
    <x v="48"/>
    <n v="3338086.7047878602"/>
  </r>
  <r>
    <x v="48"/>
    <n v="3554650.7084040702"/>
  </r>
  <r>
    <x v="48"/>
    <n v="2095680.2270722799"/>
  </r>
  <r>
    <x v="49"/>
    <n v="1634158.5504628699"/>
  </r>
  <r>
    <x v="49"/>
    <n v="1761551.4572761201"/>
  </r>
  <r>
    <x v="49"/>
    <n v="2918811.1523539298"/>
  </r>
  <r>
    <x v="49"/>
    <n v="7725015.5305120097"/>
  </r>
  <r>
    <x v="49"/>
    <n v="4082284.7601130898"/>
  </r>
  <r>
    <x v="49"/>
    <n v="1500100.8409345199"/>
  </r>
  <r>
    <x v="49"/>
    <n v="7246365.1908928603"/>
  </r>
  <r>
    <x v="49"/>
    <n v="3030663.92014297"/>
  </r>
  <r>
    <x v="49"/>
    <n v="3308780.1313072601"/>
  </r>
  <r>
    <x v="49"/>
    <n v="3391879.3589102798"/>
  </r>
  <r>
    <x v="49"/>
    <n v="6833212.8304856"/>
  </r>
  <r>
    <x v="49"/>
    <n v="2284666.6557715498"/>
  </r>
  <r>
    <x v="49"/>
    <n v="300614.80211013102"/>
  </r>
  <r>
    <x v="49"/>
    <n v="765029.63600034697"/>
  </r>
  <r>
    <x v="49"/>
    <n v="139431.67628013401"/>
  </r>
  <r>
    <x v="49"/>
    <n v="3917366.5384664298"/>
  </r>
  <r>
    <x v="50"/>
    <n v="1048979.3811296499"/>
  </r>
  <r>
    <x v="51"/>
    <n v="2689059.3878087499"/>
  </r>
  <r>
    <x v="51"/>
    <n v="872448.38759537996"/>
  </r>
  <r>
    <x v="52"/>
    <n v="890151.55471948104"/>
  </r>
  <r>
    <x v="53"/>
    <n v="408451.17795376002"/>
  </r>
  <r>
    <x v="53"/>
    <n v="325750.87745219801"/>
  </r>
  <r>
    <x v="53"/>
    <n v="14953202.884824701"/>
  </r>
  <r>
    <x v="54"/>
    <n v="227915.24376616901"/>
  </r>
  <r>
    <x v="54"/>
    <n v="72077.035544895596"/>
  </r>
  <r>
    <x v="55"/>
    <n v="20409829.8604775"/>
  </r>
  <r>
    <x v="55"/>
    <n v="116405118.947822"/>
  </r>
  <r>
    <x v="56"/>
    <n v="531828.01004029403"/>
  </r>
  <r>
    <x v="56"/>
    <n v="7785798.3663283102"/>
  </r>
  <r>
    <x v="57"/>
    <n v="143646951.29225701"/>
  </r>
  <r>
    <x v="57"/>
    <n v="9090796.7676650807"/>
  </r>
  <r>
    <x v="57"/>
    <n v="47680025.943503499"/>
  </r>
  <r>
    <x v="58"/>
    <n v="23019947.018816199"/>
  </r>
  <r>
    <x v="58"/>
    <n v="2266924.18227281"/>
  </r>
  <r>
    <x v="58"/>
    <n v="9785607.9552594908"/>
  </r>
  <r>
    <x v="58"/>
    <n v="69277.060766152499"/>
  </r>
  <r>
    <x v="59"/>
    <n v="938655.43627664703"/>
  </r>
  <r>
    <x v="59"/>
    <n v="699756.11931039602"/>
  </r>
  <r>
    <x v="59"/>
    <n v="23679468.267380599"/>
  </r>
  <r>
    <x v="60"/>
    <n v="500325.96892074298"/>
  </r>
  <r>
    <x v="61"/>
    <n v="193107.63084936299"/>
  </r>
  <r>
    <x v="61"/>
    <n v="89859.372768433503"/>
  </r>
  <r>
    <x v="62"/>
    <n v="2134020.2682777299"/>
  </r>
  <r>
    <x v="62"/>
    <n v="3171587.4467944698"/>
  </r>
  <r>
    <x v="62"/>
    <n v="4625288.4924002597"/>
  </r>
  <r>
    <x v="63"/>
    <n v="590881880.12008202"/>
  </r>
  <r>
    <x v="63"/>
    <n v="13612.5453581319"/>
  </r>
  <r>
    <x v="64"/>
    <n v="29756996.644166999"/>
  </r>
  <r>
    <x v="65"/>
    <n v="551241.44625959895"/>
  </r>
  <r>
    <x v="66"/>
    <n v="4738585.4944550004"/>
  </r>
  <r>
    <x v="67"/>
    <n v="2543009.8012225302"/>
  </r>
  <r>
    <x v="67"/>
    <n v="849371.85364359897"/>
  </r>
  <r>
    <x v="67"/>
    <n v="9379709.3928002492"/>
  </r>
  <r>
    <x v="67"/>
    <n v="104767.448181517"/>
  </r>
  <r>
    <x v="67"/>
    <n v="1114944.58611021"/>
  </r>
  <r>
    <x v="67"/>
    <n v="611685.97451127204"/>
  </r>
  <r>
    <x v="68"/>
    <n v="944363.74336979701"/>
  </r>
  <r>
    <x v="68"/>
    <n v="999788.575914482"/>
  </r>
  <r>
    <x v="68"/>
    <n v="269335.84192291502"/>
  </r>
  <r>
    <x v="68"/>
    <n v="613837.44382534001"/>
  </r>
  <r>
    <x v="68"/>
    <n v="1025379.2587755501"/>
  </r>
  <r>
    <x v="68"/>
    <n v="348268.75961610401"/>
  </r>
  <r>
    <x v="68"/>
    <n v="699842.90423833102"/>
  </r>
  <r>
    <x v="68"/>
    <n v="306783.47048713203"/>
  </r>
  <r>
    <x v="68"/>
    <n v="153435.236505587"/>
  </r>
  <r>
    <x v="68"/>
    <n v="1494418.92996985"/>
  </r>
  <r>
    <x v="68"/>
    <n v="5302147.5094851498"/>
  </r>
  <r>
    <x v="68"/>
    <n v="85236.669372502307"/>
  </r>
  <r>
    <x v="68"/>
    <n v="178846.35713199899"/>
  </r>
  <r>
    <x v="68"/>
    <n v="53479047.490619302"/>
  </r>
  <r>
    <x v="68"/>
    <n v="610533.68939860899"/>
  </r>
  <r>
    <x v="68"/>
    <n v="4789117.8898736304"/>
  </r>
  <r>
    <x v="69"/>
    <n v="2944289.8026248901"/>
  </r>
  <r>
    <x v="70"/>
    <n v="9434935.87865692"/>
  </r>
  <r>
    <x v="71"/>
    <n v="9656606.6979026496"/>
  </r>
  <r>
    <x v="72"/>
    <n v="3666737.7815547502"/>
  </r>
  <r>
    <x v="73"/>
    <n v="1512605.4607925999"/>
  </r>
  <r>
    <x v="73"/>
    <n v="1148498.53523015"/>
  </r>
  <r>
    <x v="73"/>
    <n v="1423240.9445440001"/>
  </r>
  <r>
    <x v="74"/>
    <n v="11577158.3948295"/>
  </r>
  <r>
    <x v="75"/>
    <n v="2441453.82767371"/>
  </r>
  <r>
    <x v="76"/>
    <n v="473136.392801359"/>
  </r>
  <r>
    <x v="76"/>
    <n v="243772.715384082"/>
  </r>
  <r>
    <x v="76"/>
    <n v="548638.78390653897"/>
  </r>
  <r>
    <x v="76"/>
    <n v="93016.293626641607"/>
  </r>
  <r>
    <x v="77"/>
    <n v="1280854.8157810599"/>
  </r>
  <r>
    <x v="77"/>
    <n v="7375281.67227773"/>
  </r>
  <r>
    <x v="78"/>
    <n v="177964.04700399601"/>
  </r>
  <r>
    <x v="79"/>
    <n v="866279.39200341597"/>
  </r>
  <r>
    <x v="80"/>
    <n v="1965686.4990198901"/>
  </r>
  <r>
    <x v="80"/>
    <n v="1356191.0806839101"/>
  </r>
  <r>
    <x v="80"/>
    <n v="2602181.5944081699"/>
  </r>
  <r>
    <x v="81"/>
    <n v="2668396.8003929602"/>
  </r>
  <r>
    <x v="81"/>
    <n v="3365078.9999489798"/>
  </r>
  <r>
    <x v="81"/>
    <n v="792136.82839391904"/>
  </r>
  <r>
    <x v="81"/>
    <n v="848255.72908869095"/>
  </r>
  <r>
    <x v="81"/>
    <n v="12501.071587332201"/>
  </r>
  <r>
    <x v="82"/>
    <n v="72245.120219721706"/>
  </r>
  <r>
    <x v="83"/>
    <n v="299178571.62216699"/>
  </r>
  <r>
    <x v="83"/>
    <n v="8952.6684491891301"/>
  </r>
  <r>
    <x v="84"/>
    <n v="503207.06561138999"/>
  </r>
  <r>
    <x v="85"/>
    <n v="7272556.9721404603"/>
  </r>
  <r>
    <x v="86"/>
    <n v="137071.25939842299"/>
  </r>
  <r>
    <x v="86"/>
    <n v="37955.933281718397"/>
  </r>
  <r>
    <x v="87"/>
    <n v="87643.023965794404"/>
  </r>
  <r>
    <x v="87"/>
    <n v="54963.954590679801"/>
  </r>
  <r>
    <x v="88"/>
    <n v="364732.53972936998"/>
  </r>
  <r>
    <x v="89"/>
    <n v="194154.69881959699"/>
  </r>
  <r>
    <x v="90"/>
    <n v="12759551.7461983"/>
  </r>
  <r>
    <x v="91"/>
    <n v="317867.90979481401"/>
  </r>
  <r>
    <x v="92"/>
    <n v="730423.98062924296"/>
  </r>
  <r>
    <x v="93"/>
    <n v="671555.35506306903"/>
  </r>
  <r>
    <x v="94"/>
    <n v="1566157.7181140501"/>
  </r>
  <r>
    <x v="89"/>
    <n v="132901.82901938699"/>
  </r>
  <r>
    <x v="95"/>
    <n v="5031335.49767619"/>
  </r>
  <r>
    <x v="95"/>
    <n v="9029751.1803124696"/>
  </r>
  <r>
    <x v="96"/>
    <n v="363431.60618717602"/>
  </r>
  <r>
    <x v="97"/>
    <n v="5550587.4959353702"/>
  </r>
  <r>
    <x v="98"/>
    <n v="1114582.2326652701"/>
  </r>
  <r>
    <x v="99"/>
    <n v="570291.326413795"/>
  </r>
  <r>
    <x v="95"/>
    <n v="5497488.0853180299"/>
  </r>
  <r>
    <x v="100"/>
    <n v="333805.69541599602"/>
  </r>
  <r>
    <x v="101"/>
    <n v="666915.59280749096"/>
  </r>
  <r>
    <x v="95"/>
    <n v="739296.31707953895"/>
  </r>
  <r>
    <x v="102"/>
    <n v="1805442.0043240699"/>
  </r>
  <r>
    <x v="103"/>
    <n v="4904893.4232971696"/>
  </r>
  <r>
    <x v="104"/>
    <n v="1875483.3896550001"/>
  </r>
  <r>
    <x v="105"/>
    <n v="3884008.8583790301"/>
  </r>
  <r>
    <x v="99"/>
    <n v="916100.05982695799"/>
  </r>
  <r>
    <x v="98"/>
    <n v="2337670.9194521499"/>
  </r>
  <r>
    <x v="106"/>
    <n v="1235234.95642757"/>
  </r>
  <r>
    <x v="107"/>
    <n v="2646241.03551772"/>
  </r>
  <r>
    <x v="107"/>
    <n v="455027.297254059"/>
  </r>
  <r>
    <x v="108"/>
    <n v="106987.80505018101"/>
  </r>
  <r>
    <x v="109"/>
    <n v="224689.383553408"/>
  </r>
  <r>
    <x v="110"/>
    <n v="35488.124359841597"/>
  </r>
  <r>
    <x v="111"/>
    <n v="71375.234988667202"/>
  </r>
  <r>
    <x v="104"/>
    <n v="11998106.675584201"/>
  </r>
  <r>
    <x v="105"/>
    <n v="23497494.373710699"/>
  </r>
  <r>
    <x v="112"/>
    <n v="7795273.7674540998"/>
  </r>
  <r>
    <x v="113"/>
    <n v="14635960.239124799"/>
  </r>
  <r>
    <x v="114"/>
    <n v="357590.28482360701"/>
  </r>
  <r>
    <x v="115"/>
    <n v="178132.140032492"/>
  </r>
  <r>
    <x v="116"/>
    <n v="44474980.2240922"/>
  </r>
  <r>
    <x v="117"/>
    <n v="22518817.2188728"/>
  </r>
  <r>
    <x v="118"/>
    <n v="187309.58175536501"/>
  </r>
  <r>
    <x v="119"/>
    <n v="415653.19499398"/>
  </r>
  <r>
    <x v="118"/>
    <n v="1879625.0293896899"/>
  </r>
  <r>
    <x v="119"/>
    <n v="5119358.4224576"/>
  </r>
  <r>
    <x v="120"/>
    <n v="258764.99275300399"/>
  </r>
  <r>
    <x v="121"/>
    <n v="4212789.0761278402"/>
  </r>
  <r>
    <x v="99"/>
    <n v="7678449.1977655496"/>
  </r>
  <r>
    <x v="98"/>
    <n v="16763128.782672601"/>
  </r>
  <r>
    <x v="122"/>
    <n v="639464.45300008298"/>
  </r>
  <r>
    <x v="98"/>
    <n v="3570861.07498611"/>
  </r>
  <r>
    <x v="99"/>
    <n v="1929309.3790071199"/>
  </r>
  <r>
    <x v="123"/>
    <n v="50597596.371038601"/>
  </r>
  <r>
    <x v="116"/>
    <n v="3403.13633953299"/>
  </r>
  <r>
    <x v="124"/>
    <n v="101111276.145835"/>
  </r>
  <r>
    <x v="117"/>
    <n v="2238.1671122972798"/>
  </r>
  <r>
    <x v="110"/>
    <n v="72080.670070457898"/>
  </r>
  <r>
    <x v="111"/>
    <n v="179616.14536846901"/>
  </r>
  <r>
    <x v="125"/>
    <n v="1824130.5227403899"/>
  </r>
  <r>
    <x v="126"/>
    <n v="875215.282672634"/>
  </r>
  <r>
    <x v="91"/>
    <n v="1240265.4039600999"/>
  </r>
  <r>
    <x v="92"/>
    <n v="2348478.1041099899"/>
  </r>
  <r>
    <x v="127"/>
    <n v="3148431.7003301498"/>
  </r>
  <r>
    <x v="128"/>
    <n v="1467631.6371336801"/>
  </r>
  <r>
    <x v="129"/>
    <n v="4002616.22594235"/>
  </r>
  <r>
    <x v="130"/>
    <n v="7911738.0194383096"/>
  </r>
  <r>
    <x v="95"/>
    <n v="1298012.23696999"/>
  </r>
  <r>
    <x v="121"/>
    <n v="1759243.3174765499"/>
  </r>
  <r>
    <x v="95"/>
    <n v="13420690.7463613"/>
  </r>
  <r>
    <x v="102"/>
    <n v="1099176.87403368"/>
  </r>
  <r>
    <x v="103"/>
    <n v="2112283.04810892"/>
  </r>
  <r>
    <x v="131"/>
    <n v="261122.861081471"/>
  </r>
  <r>
    <x v="132"/>
    <n v="292129.44662302401"/>
  </r>
  <r>
    <x v="133"/>
    <n v="529991.62415082497"/>
  </r>
  <r>
    <x v="131"/>
    <n v="4511540.7504008599"/>
  </r>
  <r>
    <x v="111"/>
    <n v="277607391.20325601"/>
  </r>
  <r>
    <x v="110"/>
    <n v="140316166.23848701"/>
  </r>
  <r>
    <x v="134"/>
    <n v="6807271.7991533699"/>
  </r>
  <r>
    <x v="135"/>
    <n v="3794371.9896145999"/>
  </r>
  <r>
    <x v="136"/>
    <n v="1415398.48571246"/>
  </r>
  <r>
    <x v="137"/>
    <n v="1433921.2385251301"/>
  </r>
  <r>
    <x v="89"/>
    <n v="215799.40947385001"/>
  </r>
  <r>
    <x v="95"/>
    <n v="9247477.3320707195"/>
  </r>
  <r>
    <x v="123"/>
    <n v="331300357.08313602"/>
  </r>
  <r>
    <x v="124"/>
    <n v="814119365.14683795"/>
  </r>
  <r>
    <x v="89"/>
    <n v="35004.270021039403"/>
  </r>
  <r>
    <x v="92"/>
    <n v="92585559.051822394"/>
  </r>
  <r>
    <x v="91"/>
    <n v="40420707.934685402"/>
  </r>
  <r>
    <x v="138"/>
    <n v="34314.022750130498"/>
  </r>
  <r>
    <x v="139"/>
    <n v="20118.5609908896"/>
  </r>
  <r>
    <x v="107"/>
    <n v="985809.48855359002"/>
  </r>
  <r>
    <x v="127"/>
    <n v="3332718.81675871"/>
  </r>
  <r>
    <x v="128"/>
    <n v="1633180.6016281301"/>
  </r>
  <r>
    <x v="122"/>
    <n v="2965944.99710808"/>
  </r>
  <r>
    <x v="107"/>
    <n v="5070578.6507470198"/>
  </r>
  <r>
    <x v="140"/>
    <n v="80598.480788627407"/>
  </r>
  <r>
    <x v="141"/>
    <n v="1158441.9734094799"/>
  </r>
  <r>
    <x v="136"/>
    <n v="453326.99749028002"/>
  </r>
  <r>
    <x v="142"/>
    <n v="4827736.1589992596"/>
  </r>
  <r>
    <x v="143"/>
    <n v="11676229.855422501"/>
  </r>
  <r>
    <x v="95"/>
    <n v="7306107.4476173297"/>
  </r>
  <r>
    <x v="95"/>
    <n v="8514534.0249174908"/>
  </r>
  <r>
    <x v="107"/>
    <n v="495073.82261788001"/>
  </r>
  <r>
    <x v="124"/>
    <n v="15895923.8806643"/>
  </r>
  <r>
    <x v="123"/>
    <n v="6703933.2638778798"/>
  </r>
  <r>
    <x v="95"/>
    <n v="13439726.7317189"/>
  </r>
  <r>
    <x v="144"/>
    <n v="94572.475575210294"/>
  </r>
  <r>
    <x v="145"/>
    <n v="45081.324184243102"/>
  </r>
  <r>
    <x v="146"/>
    <m/>
  </r>
  <r>
    <x v="146"/>
    <m/>
  </r>
  <r>
    <x v="146"/>
    <m/>
  </r>
  <r>
    <x v="146"/>
    <m/>
  </r>
  <r>
    <x v="146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n v="248559680.75148901"/>
  </r>
  <r>
    <x v="1"/>
    <n v="235202293"/>
  </r>
  <r>
    <x v="2"/>
    <n v="226362739.153855"/>
  </r>
  <r>
    <x v="3"/>
    <n v="216427506.98863101"/>
  </r>
  <r>
    <x v="4"/>
    <n v="159838023.45796299"/>
  </r>
  <r>
    <x v="5"/>
    <n v="159646223.74818599"/>
  </r>
  <r>
    <x v="6"/>
    <n v="153196999.43472299"/>
  </r>
  <r>
    <x v="7"/>
    <n v="152508388.52226999"/>
  </r>
  <r>
    <x v="8"/>
    <n v="148007171.939549"/>
  </r>
  <r>
    <x v="9"/>
    <n v="140990912.823383"/>
  </r>
  <r>
    <x v="10"/>
    <n v="139672661.35235801"/>
  </r>
  <r>
    <x v="11"/>
    <n v="125524653.059774"/>
  </r>
  <r>
    <x v="12"/>
    <n v="115647428.787459"/>
  </r>
  <r>
    <x v="13"/>
    <n v="113740207.835118"/>
  </r>
  <r>
    <x v="14"/>
    <n v="107065359.451557"/>
  </r>
  <r>
    <x v="15"/>
    <n v="106389196.352901"/>
  </r>
  <r>
    <x v="16"/>
    <n v="103984248.64621601"/>
  </r>
  <r>
    <x v="17"/>
    <n v="97827721"/>
  </r>
  <r>
    <x v="18"/>
    <n v="97210245.738440499"/>
  </r>
  <r>
    <x v="19"/>
    <n v="97011233.222951293"/>
  </r>
  <r>
    <x v="20"/>
    <n v="92788280"/>
  </r>
  <r>
    <x v="21"/>
    <n v="79916913.810530394"/>
  </r>
  <r>
    <x v="22"/>
    <n v="78837693.429452002"/>
  </r>
  <r>
    <x v="23"/>
    <n v="78452740.401203394"/>
  </r>
  <r>
    <x v="24"/>
    <n v="77567893.919245094"/>
  </r>
  <r>
    <x v="25"/>
    <n v="74613458.544619307"/>
  </r>
  <r>
    <x v="26"/>
    <n v="64896028.322460301"/>
  </r>
  <r>
    <x v="27"/>
    <n v="64708868.493319698"/>
  </r>
  <r>
    <x v="28"/>
    <n v="64588571.583176903"/>
  </r>
  <r>
    <x v="29"/>
    <n v="64281544.820395201"/>
  </r>
  <r>
    <x v="30"/>
    <n v="62788067"/>
  </r>
  <r>
    <x v="31"/>
    <n v="60623774.789384097"/>
  </r>
  <r>
    <x v="32"/>
    <n v="58556063"/>
  </r>
  <r>
    <x v="33"/>
    <n v="58139251"/>
  </r>
  <r>
    <x v="34"/>
    <n v="57347349"/>
  </r>
  <r>
    <x v="35"/>
    <n v="54827598"/>
  </r>
  <r>
    <x v="36"/>
    <n v="52312477.847168803"/>
  </r>
  <r>
    <x v="37"/>
    <n v="47250249.677707799"/>
  </r>
  <r>
    <x v="38"/>
    <n v="45341678.094902501"/>
  </r>
  <r>
    <x v="39"/>
    <n v="36710419.671129502"/>
  </r>
  <r>
    <x v="40"/>
    <n v="34689719.407495901"/>
  </r>
  <r>
    <x v="41"/>
    <n v="34209685.532672003"/>
  </r>
  <r>
    <x v="42"/>
    <n v="33790154"/>
  </r>
  <r>
    <x v="43"/>
    <n v="33182937.106100801"/>
  </r>
  <r>
    <x v="44"/>
    <n v="32364410.210595801"/>
  </r>
  <r>
    <x v="45"/>
    <n v="31841190.142281301"/>
  </r>
  <r>
    <x v="46"/>
    <n v="31687500.377034899"/>
  </r>
  <r>
    <x v="47"/>
    <n v="30735684"/>
  </r>
  <r>
    <x v="48"/>
    <n v="30384272.929985002"/>
  </r>
  <r>
    <x v="49"/>
    <n v="29559262.1129364"/>
  </r>
  <r>
    <x v="50"/>
    <n v="27850960.171438001"/>
  </r>
  <r>
    <x v="51"/>
    <n v="24567373.8937205"/>
  </r>
  <r>
    <x v="52"/>
    <n v="23906199.692347199"/>
  </r>
  <r>
    <x v="53"/>
    <n v="20763331.809972499"/>
  </r>
  <r>
    <x v="54"/>
    <n v="19444837.902046099"/>
  </r>
  <r>
    <x v="55"/>
    <n v="18893073"/>
  </r>
  <r>
    <x v="56"/>
    <n v="18786994.500013798"/>
  </r>
  <r>
    <x v="57"/>
    <n v="17754596"/>
  </r>
  <r>
    <x v="58"/>
    <n v="16568946.8391925"/>
  </r>
  <r>
    <x v="59"/>
    <n v="16568141.199934"/>
  </r>
  <r>
    <x v="60"/>
    <n v="15915016.975939199"/>
  </r>
  <r>
    <x v="61"/>
    <n v="15513708.7223578"/>
  </r>
  <r>
    <x v="62"/>
    <n v="15092347.4902493"/>
  </r>
  <r>
    <x v="63"/>
    <n v="14785987.406061901"/>
  </r>
  <r>
    <x v="64"/>
    <n v="13333977.5808906"/>
  </r>
  <r>
    <x v="65"/>
    <n v="12456957.035206599"/>
  </r>
  <r>
    <x v="66"/>
    <n v="12406151.757564699"/>
  </r>
  <r>
    <x v="67"/>
    <n v="11003311.2832203"/>
  </r>
  <r>
    <x v="68"/>
    <n v="10137456.259870199"/>
  </r>
  <r>
    <x v="69"/>
    <n v="7694537"/>
  </r>
  <r>
    <x v="70"/>
    <n v="7422370.3444844"/>
  </r>
  <r>
    <x v="71"/>
    <n v="6846762"/>
  </r>
  <r>
    <x v="72"/>
    <n v="6581475.8352901097"/>
  </r>
  <r>
    <x v="73"/>
    <n v="5833748.4567493601"/>
  </r>
  <r>
    <x v="74"/>
    <n v="4645070.3915823"/>
  </r>
  <r>
    <x v="75"/>
    <n v="4269483"/>
  </r>
  <r>
    <x v="76"/>
    <n v="4141555"/>
  </r>
  <r>
    <x v="77"/>
    <n v="3695910.0956614702"/>
  </r>
  <r>
    <x v="78"/>
    <n v="3546557.0309524601"/>
  </r>
  <r>
    <x v="79"/>
    <n v="3075552.35258517"/>
  </r>
  <r>
    <x v="80"/>
    <n v="2197950.65942187"/>
  </r>
  <r>
    <x v="81"/>
    <n v="1762851.7809428801"/>
  </r>
  <r>
    <x v="82"/>
    <n v="632314.43294209999"/>
  </r>
  <r>
    <x v="83"/>
    <n v="567800.265018331"/>
  </r>
  <r>
    <x v="84"/>
    <n v="538858.88680928096"/>
  </r>
  <r>
    <x v="85"/>
    <n v="493722.56857171102"/>
  </r>
  <r>
    <x v="86"/>
    <n v="419899.32577821502"/>
  </r>
  <r>
    <x v="87"/>
    <n v="33164.620111180302"/>
  </r>
  <r>
    <x v="88"/>
    <n v="22991.737451667901"/>
  </r>
  <r>
    <x v="89"/>
    <m/>
  </r>
  <r>
    <x v="90"/>
    <m/>
  </r>
  <r>
    <x v="91"/>
    <m/>
  </r>
  <r>
    <x v="92"/>
    <m/>
  </r>
  <r>
    <x v="93"/>
    <m/>
  </r>
  <r>
    <x v="94"/>
    <m/>
  </r>
  <r>
    <x v="95"/>
    <m/>
  </r>
  <r>
    <x v="96"/>
    <m/>
  </r>
  <r>
    <x v="97"/>
    <m/>
  </r>
  <r>
    <x v="98"/>
    <m/>
  </r>
  <r>
    <x v="99"/>
    <m/>
  </r>
  <r>
    <x v="100"/>
    <m/>
  </r>
  <r>
    <x v="101"/>
    <m/>
  </r>
  <r>
    <x v="102"/>
    <m/>
  </r>
  <r>
    <x v="103"/>
    <m/>
  </r>
  <r>
    <x v="104"/>
    <m/>
  </r>
  <r>
    <x v="105"/>
    <m/>
  </r>
  <r>
    <x v="106"/>
    <m/>
  </r>
  <r>
    <x v="107"/>
    <m/>
  </r>
  <r>
    <x v="108"/>
    <m/>
  </r>
  <r>
    <x v="109"/>
    <m/>
  </r>
  <r>
    <x v="110"/>
    <m/>
  </r>
  <r>
    <x v="111"/>
    <m/>
  </r>
  <r>
    <x v="112"/>
    <m/>
  </r>
  <r>
    <x v="113"/>
    <m/>
  </r>
  <r>
    <x v="114"/>
    <m/>
  </r>
  <r>
    <x v="115"/>
    <m/>
  </r>
  <r>
    <x v="116"/>
    <m/>
  </r>
  <r>
    <x v="117"/>
    <m/>
  </r>
  <r>
    <x v="118"/>
    <m/>
  </r>
  <r>
    <x v="119"/>
    <m/>
  </r>
  <r>
    <x v="120"/>
    <m/>
  </r>
  <r>
    <x v="121"/>
    <m/>
  </r>
  <r>
    <x v="122"/>
    <m/>
  </r>
  <r>
    <x v="123"/>
    <m/>
  </r>
  <r>
    <x v="124"/>
    <m/>
  </r>
  <r>
    <x v="125"/>
    <m/>
  </r>
  <r>
    <x v="126"/>
    <m/>
  </r>
  <r>
    <x v="127"/>
    <m/>
  </r>
  <r>
    <x v="128"/>
    <m/>
  </r>
  <r>
    <x v="129"/>
    <m/>
  </r>
  <r>
    <x v="130"/>
    <m/>
  </r>
  <r>
    <x v="131"/>
    <m/>
  </r>
  <r>
    <x v="132"/>
    <m/>
  </r>
  <r>
    <x v="133"/>
    <m/>
  </r>
  <r>
    <x v="134"/>
    <m/>
  </r>
  <r>
    <x v="135"/>
    <m/>
  </r>
  <r>
    <x v="136"/>
    <m/>
  </r>
  <r>
    <x v="137"/>
    <m/>
  </r>
  <r>
    <x v="138"/>
    <m/>
  </r>
  <r>
    <x v="139"/>
    <m/>
  </r>
  <r>
    <x v="140"/>
    <m/>
  </r>
  <r>
    <x v="141"/>
    <m/>
  </r>
  <r>
    <x v="142"/>
    <m/>
  </r>
  <r>
    <x v="143"/>
    <m/>
  </r>
  <r>
    <x v="144"/>
    <m/>
  </r>
  <r>
    <x v="14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62647-FCAD-49A9-8293-39DAABF466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0" firstHeaderRow="1" firstDataRow="1" firstDataCol="1"/>
  <pivotFields count="5">
    <pivotField showAll="0"/>
    <pivotField axis="axisRow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showAll="0"/>
    <pivotField dataField="1" showAll="0">
      <items count="29">
        <item h="1" x="8"/>
        <item h="1" x="12"/>
        <item h="1" x="22"/>
        <item h="1" x="6"/>
        <item h="1" x="14"/>
        <item h="1" x="1"/>
        <item h="1" x="10"/>
        <item h="1" x="20"/>
        <item h="1" x="16"/>
        <item h="1" x="4"/>
        <item h="1" x="18"/>
        <item h="1" x="24"/>
        <item h="1" x="26"/>
        <item h="1" x="25"/>
        <item h="1" x="23"/>
        <item h="1" x="17"/>
        <item h="1" x="3"/>
        <item h="1" x="15"/>
        <item h="1" x="19"/>
        <item h="1" x="9"/>
        <item h="1" x="2"/>
        <item h="1" x="13"/>
        <item h="1" x="5"/>
        <item h="1" x="21"/>
        <item h="1" x="11"/>
        <item h="1" x="7"/>
        <item x="0"/>
        <item h="1" x="27"/>
        <item t="default"/>
      </items>
    </pivotField>
    <pivotField showAll="0"/>
  </pivotFields>
  <rowFields count="1">
    <field x="1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Items count="1">
    <i/>
  </colItems>
  <dataFields count="1">
    <dataField name="Sum of ContributionFacto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BF2A6-40A0-489C-9733-BE16A3B4125D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:U148" firstHeaderRow="1" firstDataRow="1" firstDataCol="1"/>
  <pivotFields count="2">
    <pivotField axis="axisRow" showAll="0">
      <items count="147">
        <item x="103"/>
        <item x="55"/>
        <item x="125"/>
        <item x="116"/>
        <item x="141"/>
        <item x="124"/>
        <item x="39"/>
        <item x="63"/>
        <item x="24"/>
        <item x="0"/>
        <item x="1"/>
        <item x="35"/>
        <item x="102"/>
        <item x="33"/>
        <item x="126"/>
        <item x="117"/>
        <item x="84"/>
        <item x="123"/>
        <item x="82"/>
        <item x="83"/>
        <item x="81"/>
        <item x="11"/>
        <item x="95"/>
        <item x="121"/>
        <item x="57"/>
        <item x="127"/>
        <item x="98"/>
        <item x="138"/>
        <item x="130"/>
        <item x="28"/>
        <item x="3"/>
        <item x="69"/>
        <item x="2"/>
        <item x="30"/>
        <item x="32"/>
        <item x="128"/>
        <item x="99"/>
        <item x="139"/>
        <item x="129"/>
        <item x="107"/>
        <item x="13"/>
        <item x="137"/>
        <item x="46"/>
        <item x="34"/>
        <item x="42"/>
        <item x="134"/>
        <item x="94"/>
        <item x="92"/>
        <item x="12"/>
        <item x="64"/>
        <item x="51"/>
        <item x="6"/>
        <item x="75"/>
        <item x="4"/>
        <item x="20"/>
        <item x="135"/>
        <item x="93"/>
        <item x="91"/>
        <item x="50"/>
        <item x="90"/>
        <item x="136"/>
        <item x="14"/>
        <item x="106"/>
        <item x="43"/>
        <item x="47"/>
        <item x="143"/>
        <item x="76"/>
        <item x="18"/>
        <item x="77"/>
        <item x="60"/>
        <item x="56"/>
        <item x="5"/>
        <item x="71"/>
        <item x="10"/>
        <item x="17"/>
        <item x="142"/>
        <item x="89"/>
        <item x="67"/>
        <item x="122"/>
        <item x="120"/>
        <item x="131"/>
        <item x="25"/>
        <item x="97"/>
        <item x="44"/>
        <item x="101"/>
        <item x="119"/>
        <item x="58"/>
        <item x="113"/>
        <item x="111"/>
        <item x="29"/>
        <item x="54"/>
        <item x="8"/>
        <item x="78"/>
        <item x="16"/>
        <item x="41"/>
        <item x="100"/>
        <item x="118"/>
        <item x="27"/>
        <item x="112"/>
        <item x="110"/>
        <item x="68"/>
        <item x="86"/>
        <item x="23"/>
        <item x="140"/>
        <item x="45"/>
        <item x="36"/>
        <item x="59"/>
        <item x="109"/>
        <item x="144"/>
        <item x="31"/>
        <item x="19"/>
        <item x="74"/>
        <item x="62"/>
        <item x="7"/>
        <item x="15"/>
        <item x="79"/>
        <item x="40"/>
        <item x="53"/>
        <item x="108"/>
        <item x="145"/>
        <item x="72"/>
        <item x="65"/>
        <item x="85"/>
        <item x="80"/>
        <item x="22"/>
        <item x="48"/>
        <item x="96"/>
        <item x="38"/>
        <item x="133"/>
        <item x="114"/>
        <item x="70"/>
        <item x="105"/>
        <item x="37"/>
        <item x="52"/>
        <item x="61"/>
        <item x="9"/>
        <item x="21"/>
        <item x="132"/>
        <item x="115"/>
        <item x="66"/>
        <item x="104"/>
        <item x="73"/>
        <item x="88"/>
        <item x="87"/>
        <item x="26"/>
        <item x="49"/>
        <item t="default"/>
      </items>
    </pivotField>
    <pivotField dataField="1" showAll="0"/>
  </pivotFields>
  <rowFields count="1">
    <field x="0"/>
  </rowFields>
  <rowItems count="1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 t="grand">
      <x/>
    </i>
  </rowItems>
  <colItems count="1">
    <i/>
  </colItems>
  <dataFields count="1">
    <dataField name="Sum of modeled_a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78662-4B30-4942-A1F9-6828B310774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149" firstHeaderRow="1" firstDataRow="1" firstDataCol="1"/>
  <pivotFields count="2">
    <pivotField axis="axisRow" showAll="0">
      <items count="148">
        <item x="103"/>
        <item x="55"/>
        <item x="125"/>
        <item x="116"/>
        <item x="141"/>
        <item x="124"/>
        <item x="39"/>
        <item x="63"/>
        <item x="24"/>
        <item x="0"/>
        <item x="1"/>
        <item x="35"/>
        <item x="102"/>
        <item x="33"/>
        <item x="126"/>
        <item x="117"/>
        <item x="84"/>
        <item x="123"/>
        <item x="82"/>
        <item x="83"/>
        <item x="81"/>
        <item x="11"/>
        <item x="95"/>
        <item x="121"/>
        <item x="57"/>
        <item x="127"/>
        <item x="98"/>
        <item x="138"/>
        <item x="130"/>
        <item x="28"/>
        <item x="3"/>
        <item x="69"/>
        <item x="2"/>
        <item x="30"/>
        <item x="32"/>
        <item x="128"/>
        <item x="99"/>
        <item x="139"/>
        <item x="129"/>
        <item x="107"/>
        <item x="13"/>
        <item x="137"/>
        <item x="46"/>
        <item x="34"/>
        <item x="42"/>
        <item x="134"/>
        <item x="94"/>
        <item x="92"/>
        <item x="12"/>
        <item x="64"/>
        <item x="51"/>
        <item x="6"/>
        <item x="75"/>
        <item x="4"/>
        <item x="20"/>
        <item x="135"/>
        <item x="93"/>
        <item x="91"/>
        <item x="50"/>
        <item x="90"/>
        <item x="136"/>
        <item x="14"/>
        <item x="106"/>
        <item x="43"/>
        <item x="47"/>
        <item x="143"/>
        <item x="76"/>
        <item x="18"/>
        <item x="77"/>
        <item x="60"/>
        <item x="56"/>
        <item x="5"/>
        <item x="71"/>
        <item x="10"/>
        <item x="17"/>
        <item x="142"/>
        <item x="89"/>
        <item x="67"/>
        <item x="122"/>
        <item x="120"/>
        <item x="131"/>
        <item x="25"/>
        <item x="97"/>
        <item x="44"/>
        <item x="101"/>
        <item x="119"/>
        <item x="58"/>
        <item x="113"/>
        <item x="111"/>
        <item x="29"/>
        <item x="54"/>
        <item x="8"/>
        <item x="78"/>
        <item x="16"/>
        <item x="41"/>
        <item x="100"/>
        <item x="118"/>
        <item x="27"/>
        <item x="112"/>
        <item x="110"/>
        <item x="68"/>
        <item x="86"/>
        <item x="23"/>
        <item x="140"/>
        <item x="45"/>
        <item x="36"/>
        <item x="59"/>
        <item x="109"/>
        <item x="144"/>
        <item x="31"/>
        <item x="19"/>
        <item x="74"/>
        <item x="62"/>
        <item x="7"/>
        <item x="15"/>
        <item x="79"/>
        <item x="40"/>
        <item x="53"/>
        <item x="108"/>
        <item x="145"/>
        <item x="72"/>
        <item x="65"/>
        <item x="85"/>
        <item x="80"/>
        <item x="22"/>
        <item x="48"/>
        <item x="96"/>
        <item x="38"/>
        <item x="133"/>
        <item x="114"/>
        <item x="70"/>
        <item x="105"/>
        <item x="37"/>
        <item x="52"/>
        <item x="61"/>
        <item x="9"/>
        <item x="21"/>
        <item x="132"/>
        <item x="115"/>
        <item x="66"/>
        <item x="104"/>
        <item x="73"/>
        <item x="88"/>
        <item x="87"/>
        <item x="26"/>
        <item x="49"/>
        <item x="146"/>
        <item t="default"/>
      </items>
    </pivotField>
    <pivotField dataField="1" showAll="0"/>
  </pivotFields>
  <rowFields count="1">
    <field x="0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dataFields count="1">
    <dataField name="Sum of grlos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5013-C5BB-48E1-8D33-433A6D4BA3F2}">
  <dimension ref="A1:E7"/>
  <sheetViews>
    <sheetView workbookViewId="0">
      <selection activeCell="F7" sqref="F7"/>
    </sheetView>
  </sheetViews>
  <sheetFormatPr defaultRowHeight="15" x14ac:dyDescent="0.25"/>
  <cols>
    <col min="4" max="4" width="13.4257812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10</v>
      </c>
      <c r="B4" t="s">
        <v>11</v>
      </c>
      <c r="E4" t="s">
        <v>12</v>
      </c>
    </row>
    <row r="5" spans="1:5" x14ac:dyDescent="0.25">
      <c r="A5" t="s">
        <v>13</v>
      </c>
      <c r="B5" t="s">
        <v>6</v>
      </c>
      <c r="D5" t="s">
        <v>14</v>
      </c>
      <c r="E5" t="s">
        <v>12</v>
      </c>
    </row>
    <row r="6" spans="1:5" x14ac:dyDescent="0.25">
      <c r="A6" t="s">
        <v>15</v>
      </c>
      <c r="B6" t="s">
        <v>6</v>
      </c>
      <c r="D6" t="s">
        <v>14</v>
      </c>
      <c r="E6" t="s">
        <v>12</v>
      </c>
    </row>
    <row r="7" spans="1:5" x14ac:dyDescent="0.25">
      <c r="A7" t="s">
        <v>13</v>
      </c>
      <c r="B7" t="s">
        <v>2</v>
      </c>
      <c r="C7" t="s">
        <v>16</v>
      </c>
      <c r="D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workbookViewId="0">
      <selection activeCell="F14" sqref="F14"/>
    </sheetView>
  </sheetViews>
  <sheetFormatPr defaultRowHeight="15" x14ac:dyDescent="0.25"/>
  <sheetData>
    <row r="1" spans="1:14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3" t="s">
        <v>23</v>
      </c>
      <c r="M1" s="6"/>
      <c r="N1" s="5"/>
    </row>
    <row r="2" spans="1:14" x14ac:dyDescent="0.25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M2" s="7"/>
      <c r="N2" s="8"/>
    </row>
    <row r="3" spans="1:14" x14ac:dyDescent="0.25">
      <c r="A3" t="s">
        <v>28</v>
      </c>
      <c r="B3" t="s">
        <v>25</v>
      </c>
      <c r="C3" t="s">
        <v>29</v>
      </c>
      <c r="D3" t="s">
        <v>29</v>
      </c>
      <c r="E3" t="s">
        <v>28</v>
      </c>
      <c r="F3" t="s">
        <v>30</v>
      </c>
      <c r="M3" s="7"/>
      <c r="N3" s="8"/>
    </row>
    <row r="4" spans="1:14" x14ac:dyDescent="0.25">
      <c r="A4" t="s">
        <v>31</v>
      </c>
      <c r="B4" t="s">
        <v>25</v>
      </c>
      <c r="C4" t="s">
        <v>32</v>
      </c>
      <c r="D4" t="s">
        <v>32</v>
      </c>
      <c r="E4" t="s">
        <v>31</v>
      </c>
      <c r="F4" t="s">
        <v>33</v>
      </c>
      <c r="M4" s="7"/>
      <c r="N4" s="8"/>
    </row>
    <row r="5" spans="1:14" x14ac:dyDescent="0.25">
      <c r="A5" t="s">
        <v>34</v>
      </c>
      <c r="B5" t="s">
        <v>25</v>
      </c>
      <c r="C5" t="s">
        <v>35</v>
      </c>
      <c r="D5" t="s">
        <v>35</v>
      </c>
      <c r="E5" t="s">
        <v>34</v>
      </c>
      <c r="F5" t="s">
        <v>36</v>
      </c>
      <c r="M5" s="7"/>
      <c r="N5" s="8"/>
    </row>
    <row r="6" spans="1:14" x14ac:dyDescent="0.25">
      <c r="A6" t="s">
        <v>37</v>
      </c>
      <c r="B6" t="s">
        <v>25</v>
      </c>
      <c r="C6" t="s">
        <v>38</v>
      </c>
      <c r="D6" t="s">
        <v>38</v>
      </c>
      <c r="E6" t="s">
        <v>37</v>
      </c>
      <c r="F6" t="s">
        <v>39</v>
      </c>
      <c r="M6" s="7"/>
      <c r="N6" s="8"/>
    </row>
    <row r="7" spans="1:14" x14ac:dyDescent="0.25">
      <c r="A7" t="s">
        <v>40</v>
      </c>
      <c r="B7" t="s">
        <v>25</v>
      </c>
      <c r="C7" t="s">
        <v>41</v>
      </c>
      <c r="D7" t="s">
        <v>41</v>
      </c>
      <c r="E7" t="s">
        <v>40</v>
      </c>
      <c r="F7" t="s">
        <v>42</v>
      </c>
      <c r="M7" s="7"/>
      <c r="N7" s="8"/>
    </row>
    <row r="8" spans="1:14" x14ac:dyDescent="0.25">
      <c r="A8" t="s">
        <v>43</v>
      </c>
      <c r="B8" t="s">
        <v>25</v>
      </c>
      <c r="C8" t="s">
        <v>44</v>
      </c>
      <c r="D8" t="s">
        <v>44</v>
      </c>
      <c r="E8" t="s">
        <v>43</v>
      </c>
      <c r="F8" t="s">
        <v>45</v>
      </c>
      <c r="M8" s="7"/>
      <c r="N8" s="8"/>
    </row>
    <row r="9" spans="1:14" x14ac:dyDescent="0.25">
      <c r="A9" t="s">
        <v>46</v>
      </c>
      <c r="B9" t="s">
        <v>25</v>
      </c>
      <c r="C9" t="s">
        <v>47</v>
      </c>
      <c r="D9" t="s">
        <v>47</v>
      </c>
      <c r="E9" t="s">
        <v>46</v>
      </c>
      <c r="F9" t="s">
        <v>48</v>
      </c>
      <c r="M9" s="7"/>
      <c r="N9" s="8"/>
    </row>
    <row r="10" spans="1:14" x14ac:dyDescent="0.25">
      <c r="A10" t="s">
        <v>49</v>
      </c>
      <c r="B10" t="s">
        <v>25</v>
      </c>
      <c r="C10" t="s">
        <v>50</v>
      </c>
      <c r="D10" t="s">
        <v>50</v>
      </c>
      <c r="E10" t="s">
        <v>49</v>
      </c>
      <c r="F10" t="s">
        <v>51</v>
      </c>
      <c r="M10" s="7"/>
      <c r="N10" s="8"/>
    </row>
    <row r="11" spans="1:14" x14ac:dyDescent="0.25">
      <c r="A11" t="s">
        <v>52</v>
      </c>
      <c r="B11" t="s">
        <v>25</v>
      </c>
      <c r="C11" t="s">
        <v>53</v>
      </c>
      <c r="D11" t="s">
        <v>53</v>
      </c>
      <c r="E11" t="s">
        <v>52</v>
      </c>
      <c r="F11" t="s">
        <v>54</v>
      </c>
      <c r="M11" s="7"/>
      <c r="N11" s="8"/>
    </row>
    <row r="12" spans="1:14" x14ac:dyDescent="0.25">
      <c r="A12" t="s">
        <v>55</v>
      </c>
      <c r="B12" t="s">
        <v>25</v>
      </c>
      <c r="C12" t="s">
        <v>56</v>
      </c>
      <c r="D12" t="s">
        <v>56</v>
      </c>
      <c r="E12" t="s">
        <v>55</v>
      </c>
      <c r="F12" t="s">
        <v>57</v>
      </c>
      <c r="M12" s="7"/>
      <c r="N12" s="8"/>
    </row>
    <row r="13" spans="1:14" x14ac:dyDescent="0.25">
      <c r="A13" t="s">
        <v>58</v>
      </c>
      <c r="B13" t="s">
        <v>25</v>
      </c>
      <c r="C13" t="s">
        <v>59</v>
      </c>
      <c r="D13" t="s">
        <v>59</v>
      </c>
      <c r="E13" t="s">
        <v>58</v>
      </c>
      <c r="F13" t="s">
        <v>60</v>
      </c>
      <c r="M13" s="7"/>
      <c r="N13" s="8"/>
    </row>
    <row r="14" spans="1:14" x14ac:dyDescent="0.25">
      <c r="A14" t="s">
        <v>61</v>
      </c>
      <c r="B14" t="s">
        <v>25</v>
      </c>
      <c r="C14" t="s">
        <v>62</v>
      </c>
      <c r="D14" t="s">
        <v>62</v>
      </c>
      <c r="E14" t="s">
        <v>61</v>
      </c>
      <c r="F14" t="s">
        <v>63</v>
      </c>
      <c r="M14" s="7"/>
      <c r="N14" s="8"/>
    </row>
    <row r="15" spans="1:14" x14ac:dyDescent="0.25">
      <c r="A15" t="s">
        <v>64</v>
      </c>
      <c r="B15" t="s">
        <v>25</v>
      </c>
      <c r="C15" t="s">
        <v>65</v>
      </c>
      <c r="D15" t="s">
        <v>65</v>
      </c>
      <c r="E15" t="s">
        <v>64</v>
      </c>
      <c r="F15" t="s">
        <v>66</v>
      </c>
      <c r="M15" s="7"/>
      <c r="N15" s="8"/>
    </row>
    <row r="16" spans="1:14" x14ac:dyDescent="0.25">
      <c r="A16" t="s">
        <v>67</v>
      </c>
      <c r="B16" t="s">
        <v>25</v>
      </c>
      <c r="C16" t="s">
        <v>68</v>
      </c>
      <c r="D16" t="s">
        <v>68</v>
      </c>
      <c r="E16" t="s">
        <v>67</v>
      </c>
      <c r="F16" t="s">
        <v>69</v>
      </c>
      <c r="M16" s="7"/>
      <c r="N16" s="8"/>
    </row>
    <row r="17" spans="1:14" x14ac:dyDescent="0.25">
      <c r="A17" t="s">
        <v>70</v>
      </c>
      <c r="B17" t="s">
        <v>25</v>
      </c>
      <c r="C17" t="s">
        <v>71</v>
      </c>
      <c r="D17" t="s">
        <v>71</v>
      </c>
      <c r="E17" t="s">
        <v>70</v>
      </c>
      <c r="F17" t="s">
        <v>72</v>
      </c>
      <c r="M17" s="7"/>
      <c r="N17" s="8"/>
    </row>
    <row r="18" spans="1:14" x14ac:dyDescent="0.25">
      <c r="A18" t="s">
        <v>73</v>
      </c>
      <c r="B18" t="s">
        <v>25</v>
      </c>
      <c r="C18" t="s">
        <v>74</v>
      </c>
      <c r="D18" t="s">
        <v>74</v>
      </c>
      <c r="E18" t="s">
        <v>73</v>
      </c>
      <c r="F18" t="s">
        <v>75</v>
      </c>
      <c r="M18" s="7"/>
      <c r="N18" s="8"/>
    </row>
    <row r="19" spans="1:14" x14ac:dyDescent="0.25">
      <c r="A19" t="s">
        <v>76</v>
      </c>
      <c r="B19" t="s">
        <v>25</v>
      </c>
      <c r="C19" t="s">
        <v>77</v>
      </c>
      <c r="D19" t="s">
        <v>77</v>
      </c>
      <c r="E19" t="s">
        <v>76</v>
      </c>
      <c r="F19" t="s">
        <v>78</v>
      </c>
      <c r="M19" s="7"/>
      <c r="N19" s="8"/>
    </row>
    <row r="20" spans="1:14" x14ac:dyDescent="0.25">
      <c r="A20" t="s">
        <v>79</v>
      </c>
      <c r="B20" t="s">
        <v>25</v>
      </c>
      <c r="C20" t="s">
        <v>80</v>
      </c>
      <c r="D20" t="s">
        <v>80</v>
      </c>
      <c r="E20" t="s">
        <v>79</v>
      </c>
      <c r="F20" t="s">
        <v>81</v>
      </c>
      <c r="M20" s="7"/>
      <c r="N20" s="8"/>
    </row>
    <row r="21" spans="1:14" x14ac:dyDescent="0.25">
      <c r="A21" t="s">
        <v>82</v>
      </c>
      <c r="B21" t="s">
        <v>25</v>
      </c>
      <c r="C21" t="s">
        <v>83</v>
      </c>
      <c r="D21" t="s">
        <v>83</v>
      </c>
      <c r="E21" t="s">
        <v>82</v>
      </c>
      <c r="F21" t="s">
        <v>84</v>
      </c>
      <c r="M21" s="7"/>
      <c r="N21" s="8"/>
    </row>
    <row r="22" spans="1:14" x14ac:dyDescent="0.25">
      <c r="A22" t="s">
        <v>85</v>
      </c>
      <c r="B22" t="s">
        <v>25</v>
      </c>
      <c r="C22" t="s">
        <v>86</v>
      </c>
      <c r="D22" t="s">
        <v>87</v>
      </c>
      <c r="E22" t="s">
        <v>85</v>
      </c>
      <c r="F22" t="s">
        <v>88</v>
      </c>
      <c r="M22" s="7"/>
      <c r="N22" s="8"/>
    </row>
    <row r="23" spans="1:14" x14ac:dyDescent="0.25">
      <c r="A23" t="s">
        <v>89</v>
      </c>
      <c r="B23" t="s">
        <v>25</v>
      </c>
      <c r="C23" t="s">
        <v>90</v>
      </c>
      <c r="D23" t="s">
        <v>90</v>
      </c>
      <c r="E23" t="s">
        <v>89</v>
      </c>
      <c r="F23" t="s">
        <v>91</v>
      </c>
      <c r="M23" s="7"/>
      <c r="N23" s="8"/>
    </row>
    <row r="24" spans="1:14" x14ac:dyDescent="0.25">
      <c r="A24" t="s">
        <v>92</v>
      </c>
      <c r="B24" t="s">
        <v>25</v>
      </c>
      <c r="C24" t="s">
        <v>93</v>
      </c>
      <c r="D24" t="s">
        <v>93</v>
      </c>
      <c r="E24" t="s">
        <v>92</v>
      </c>
      <c r="F24" t="s">
        <v>94</v>
      </c>
      <c r="M24" s="7"/>
      <c r="N24" s="8"/>
    </row>
    <row r="25" spans="1:14" x14ac:dyDescent="0.25">
      <c r="A25" t="s">
        <v>95</v>
      </c>
      <c r="B25" t="s">
        <v>25</v>
      </c>
      <c r="C25" t="s">
        <v>96</v>
      </c>
      <c r="D25" t="s">
        <v>97</v>
      </c>
      <c r="E25" t="s">
        <v>95</v>
      </c>
      <c r="F25" t="s">
        <v>98</v>
      </c>
      <c r="M25" s="7"/>
      <c r="N25" s="8"/>
    </row>
    <row r="26" spans="1:14" x14ac:dyDescent="0.25">
      <c r="A26" t="s">
        <v>99</v>
      </c>
      <c r="B26" t="s">
        <v>25</v>
      </c>
      <c r="C26" t="s">
        <v>100</v>
      </c>
      <c r="D26" t="s">
        <v>100</v>
      </c>
      <c r="E26" t="s">
        <v>99</v>
      </c>
      <c r="F26" t="s">
        <v>101</v>
      </c>
      <c r="M26" s="7"/>
      <c r="N26" s="8"/>
    </row>
    <row r="27" spans="1:14" x14ac:dyDescent="0.25">
      <c r="A27" t="s">
        <v>102</v>
      </c>
      <c r="B27" t="s">
        <v>25</v>
      </c>
      <c r="C27" t="s">
        <v>103</v>
      </c>
      <c r="D27" t="s">
        <v>103</v>
      </c>
      <c r="E27" t="s">
        <v>102</v>
      </c>
      <c r="F27" t="s">
        <v>104</v>
      </c>
      <c r="M27" s="7"/>
      <c r="N27" s="8"/>
    </row>
    <row r="28" spans="1:14" x14ac:dyDescent="0.25">
      <c r="A28" t="s">
        <v>105</v>
      </c>
      <c r="B28" t="s">
        <v>25</v>
      </c>
      <c r="C28" t="s">
        <v>106</v>
      </c>
      <c r="D28" t="s">
        <v>106</v>
      </c>
      <c r="E28" t="s">
        <v>105</v>
      </c>
      <c r="F28" t="s">
        <v>107</v>
      </c>
      <c r="M28" s="7"/>
      <c r="N28" s="8"/>
    </row>
    <row r="29" spans="1:14" x14ac:dyDescent="0.25">
      <c r="A29" t="s">
        <v>108</v>
      </c>
      <c r="B29" t="s">
        <v>25</v>
      </c>
      <c r="C29" t="s">
        <v>109</v>
      </c>
      <c r="D29" t="s">
        <v>109</v>
      </c>
      <c r="E29" t="s">
        <v>108</v>
      </c>
      <c r="F29" t="s">
        <v>110</v>
      </c>
      <c r="M29" s="9"/>
      <c r="N29" s="9"/>
    </row>
    <row r="30" spans="1:14" x14ac:dyDescent="0.25">
      <c r="A30" t="s">
        <v>111</v>
      </c>
      <c r="B30" t="s">
        <v>25</v>
      </c>
      <c r="C30" t="s">
        <v>112</v>
      </c>
      <c r="D30" t="s">
        <v>112</v>
      </c>
      <c r="E30" t="s">
        <v>111</v>
      </c>
      <c r="F30" t="s">
        <v>113</v>
      </c>
      <c r="M30" s="7"/>
      <c r="N30" s="8"/>
    </row>
    <row r="31" spans="1:14" x14ac:dyDescent="0.25">
      <c r="A31" t="s">
        <v>114</v>
      </c>
      <c r="B31" t="s">
        <v>25</v>
      </c>
      <c r="C31" t="s">
        <v>115</v>
      </c>
      <c r="D31" t="s">
        <v>115</v>
      </c>
      <c r="E31" t="s">
        <v>114</v>
      </c>
      <c r="F31" t="s">
        <v>116</v>
      </c>
      <c r="M31" s="7"/>
      <c r="N31" s="8"/>
    </row>
    <row r="32" spans="1:14" x14ac:dyDescent="0.25">
      <c r="A32" t="s">
        <v>117</v>
      </c>
      <c r="B32" t="s">
        <v>25</v>
      </c>
      <c r="C32" t="s">
        <v>118</v>
      </c>
      <c r="D32" t="s">
        <v>118</v>
      </c>
      <c r="E32" t="s">
        <v>117</v>
      </c>
      <c r="F32" t="s">
        <v>119</v>
      </c>
      <c r="M32" s="7"/>
      <c r="N32" s="8"/>
    </row>
    <row r="33" spans="1:14" x14ac:dyDescent="0.25">
      <c r="A33" t="s">
        <v>120</v>
      </c>
      <c r="B33" t="s">
        <v>25</v>
      </c>
      <c r="C33" t="s">
        <v>121</v>
      </c>
      <c r="D33" t="s">
        <v>121</v>
      </c>
      <c r="E33" t="s">
        <v>120</v>
      </c>
      <c r="F33" t="s">
        <v>122</v>
      </c>
      <c r="M33" s="7"/>
      <c r="N33" s="8"/>
    </row>
    <row r="34" spans="1:14" x14ac:dyDescent="0.25">
      <c r="A34" t="s">
        <v>123</v>
      </c>
      <c r="B34" t="s">
        <v>25</v>
      </c>
      <c r="C34" t="s">
        <v>124</v>
      </c>
      <c r="D34" t="s">
        <v>124</v>
      </c>
      <c r="E34" t="s">
        <v>123</v>
      </c>
      <c r="F34" t="s">
        <v>125</v>
      </c>
      <c r="M34" s="7"/>
      <c r="N34" s="8"/>
    </row>
    <row r="35" spans="1:14" x14ac:dyDescent="0.25">
      <c r="A35" t="s">
        <v>126</v>
      </c>
      <c r="B35" t="s">
        <v>25</v>
      </c>
      <c r="C35" t="s">
        <v>127</v>
      </c>
      <c r="D35" t="s">
        <v>127</v>
      </c>
      <c r="E35" t="s">
        <v>126</v>
      </c>
      <c r="F35" t="s">
        <v>128</v>
      </c>
      <c r="M35" s="7"/>
      <c r="N35" s="8"/>
    </row>
    <row r="36" spans="1:14" x14ac:dyDescent="0.25">
      <c r="A36" t="s">
        <v>129</v>
      </c>
      <c r="B36" t="s">
        <v>25</v>
      </c>
      <c r="C36" t="s">
        <v>130</v>
      </c>
      <c r="D36" t="s">
        <v>130</v>
      </c>
      <c r="E36" t="s">
        <v>129</v>
      </c>
      <c r="F36" t="s">
        <v>131</v>
      </c>
      <c r="M36" s="7"/>
      <c r="N36" s="8"/>
    </row>
    <row r="37" spans="1:14" x14ac:dyDescent="0.25">
      <c r="A37" t="s">
        <v>132</v>
      </c>
      <c r="B37" t="s">
        <v>25</v>
      </c>
      <c r="C37" t="s">
        <v>133</v>
      </c>
      <c r="D37" t="s">
        <v>133</v>
      </c>
      <c r="E37" t="s">
        <v>132</v>
      </c>
      <c r="F37" t="s">
        <v>134</v>
      </c>
      <c r="M37" s="7"/>
      <c r="N37" s="8"/>
    </row>
    <row r="38" spans="1:14" x14ac:dyDescent="0.25">
      <c r="A38" t="s">
        <v>135</v>
      </c>
      <c r="B38" t="s">
        <v>25</v>
      </c>
      <c r="C38" t="s">
        <v>136</v>
      </c>
      <c r="D38" t="s">
        <v>137</v>
      </c>
      <c r="E38" t="s">
        <v>135</v>
      </c>
      <c r="F38" t="s">
        <v>138</v>
      </c>
      <c r="M38" s="7"/>
      <c r="N38" s="8"/>
    </row>
    <row r="39" spans="1:14" x14ac:dyDescent="0.25">
      <c r="A39" t="s">
        <v>139</v>
      </c>
      <c r="B39" t="s">
        <v>25</v>
      </c>
      <c r="C39" t="s">
        <v>140</v>
      </c>
      <c r="D39" t="s">
        <v>141</v>
      </c>
      <c r="E39" t="s">
        <v>139</v>
      </c>
      <c r="F39" t="s">
        <v>142</v>
      </c>
      <c r="M39" s="7"/>
      <c r="N39" s="8"/>
    </row>
    <row r="40" spans="1:14" x14ac:dyDescent="0.25">
      <c r="A40" t="s">
        <v>143</v>
      </c>
      <c r="B40" t="s">
        <v>25</v>
      </c>
      <c r="C40" t="s">
        <v>144</v>
      </c>
      <c r="D40" t="s">
        <v>145</v>
      </c>
      <c r="E40" t="s">
        <v>143</v>
      </c>
      <c r="F40" t="s">
        <v>146</v>
      </c>
      <c r="M40" s="7"/>
      <c r="N40" s="8"/>
    </row>
    <row r="41" spans="1:14" x14ac:dyDescent="0.25">
      <c r="A41" t="s">
        <v>147</v>
      </c>
      <c r="B41" t="s">
        <v>25</v>
      </c>
      <c r="C41" t="s">
        <v>148</v>
      </c>
      <c r="D41" t="s">
        <v>148</v>
      </c>
      <c r="E41" t="s">
        <v>147</v>
      </c>
      <c r="F41" t="s">
        <v>149</v>
      </c>
      <c r="M41" s="7"/>
      <c r="N41" s="8"/>
    </row>
    <row r="42" spans="1:14" x14ac:dyDescent="0.25">
      <c r="A42" t="s">
        <v>150</v>
      </c>
      <c r="B42" t="s">
        <v>25</v>
      </c>
      <c r="C42" t="s">
        <v>151</v>
      </c>
      <c r="D42" t="s">
        <v>151</v>
      </c>
      <c r="E42" t="s">
        <v>150</v>
      </c>
      <c r="F42" t="s">
        <v>152</v>
      </c>
      <c r="M42" s="7"/>
      <c r="N42" s="8"/>
    </row>
    <row r="43" spans="1:14" x14ac:dyDescent="0.25">
      <c r="A43" t="s">
        <v>153</v>
      </c>
      <c r="B43" t="s">
        <v>25</v>
      </c>
      <c r="C43" t="s">
        <v>154</v>
      </c>
      <c r="D43" t="s">
        <v>154</v>
      </c>
      <c r="E43" t="s">
        <v>153</v>
      </c>
      <c r="F43" t="s">
        <v>155</v>
      </c>
      <c r="M43" s="7"/>
      <c r="N43" s="8"/>
    </row>
    <row r="44" spans="1:14" x14ac:dyDescent="0.25">
      <c r="A44" t="s">
        <v>156</v>
      </c>
      <c r="B44" t="s">
        <v>25</v>
      </c>
      <c r="C44" t="s">
        <v>157</v>
      </c>
      <c r="D44" t="s">
        <v>157</v>
      </c>
      <c r="E44" t="s">
        <v>156</v>
      </c>
      <c r="F44" t="s">
        <v>158</v>
      </c>
      <c r="M44" s="7"/>
      <c r="N44" s="8"/>
    </row>
    <row r="45" spans="1:14" x14ac:dyDescent="0.25">
      <c r="A45" t="s">
        <v>159</v>
      </c>
      <c r="B45" t="s">
        <v>25</v>
      </c>
      <c r="C45" t="s">
        <v>160</v>
      </c>
      <c r="D45" t="s">
        <v>160</v>
      </c>
      <c r="E45" t="s">
        <v>159</v>
      </c>
      <c r="F45" t="s">
        <v>161</v>
      </c>
      <c r="M45" s="7"/>
      <c r="N45" s="8"/>
    </row>
    <row r="46" spans="1:14" x14ac:dyDescent="0.25">
      <c r="A46" t="s">
        <v>162</v>
      </c>
      <c r="B46" t="s">
        <v>25</v>
      </c>
      <c r="C46" t="s">
        <v>163</v>
      </c>
      <c r="D46" t="s">
        <v>163</v>
      </c>
      <c r="E46" t="s">
        <v>162</v>
      </c>
      <c r="F46" t="s">
        <v>164</v>
      </c>
      <c r="M46" s="7"/>
      <c r="N46" s="8"/>
    </row>
    <row r="47" spans="1:14" x14ac:dyDescent="0.25">
      <c r="A47" t="s">
        <v>165</v>
      </c>
      <c r="B47" t="s">
        <v>25</v>
      </c>
      <c r="C47" t="s">
        <v>166</v>
      </c>
      <c r="D47" t="s">
        <v>166</v>
      </c>
      <c r="E47" t="s">
        <v>165</v>
      </c>
      <c r="F47" t="s">
        <v>167</v>
      </c>
      <c r="M47" s="7"/>
      <c r="N47" s="8"/>
    </row>
    <row r="48" spans="1:14" x14ac:dyDescent="0.25">
      <c r="A48" t="s">
        <v>168</v>
      </c>
      <c r="B48" t="s">
        <v>25</v>
      </c>
      <c r="C48" t="s">
        <v>169</v>
      </c>
      <c r="D48" t="s">
        <v>169</v>
      </c>
      <c r="E48" t="s">
        <v>168</v>
      </c>
      <c r="F48" t="s">
        <v>170</v>
      </c>
      <c r="M48" s="7"/>
      <c r="N48" s="8"/>
    </row>
    <row r="49" spans="1:14" x14ac:dyDescent="0.25">
      <c r="A49" t="s">
        <v>171</v>
      </c>
      <c r="B49" t="s">
        <v>25</v>
      </c>
      <c r="C49" t="s">
        <v>172</v>
      </c>
      <c r="D49" t="s">
        <v>172</v>
      </c>
      <c r="E49" t="s">
        <v>171</v>
      </c>
      <c r="F49" t="s">
        <v>173</v>
      </c>
      <c r="M49" s="7"/>
      <c r="N49" s="8"/>
    </row>
    <row r="50" spans="1:14" x14ac:dyDescent="0.25">
      <c r="A50" t="s">
        <v>174</v>
      </c>
      <c r="B50" t="s">
        <v>25</v>
      </c>
      <c r="C50" t="s">
        <v>175</v>
      </c>
      <c r="D50" t="s">
        <v>175</v>
      </c>
      <c r="E50" t="s">
        <v>174</v>
      </c>
      <c r="F50" t="s">
        <v>176</v>
      </c>
      <c r="M50" s="7"/>
      <c r="N50" s="8"/>
    </row>
    <row r="51" spans="1:14" x14ac:dyDescent="0.25">
      <c r="A51" t="s">
        <v>177</v>
      </c>
      <c r="B51" t="s">
        <v>25</v>
      </c>
      <c r="C51" t="s">
        <v>178</v>
      </c>
      <c r="D51" t="s">
        <v>179</v>
      </c>
      <c r="E51" t="s">
        <v>177</v>
      </c>
      <c r="F51" t="s">
        <v>180</v>
      </c>
      <c r="M51" s="7"/>
      <c r="N51" s="8"/>
    </row>
    <row r="52" spans="1:14" x14ac:dyDescent="0.25">
      <c r="A52" t="s">
        <v>181</v>
      </c>
      <c r="B52" t="s">
        <v>25</v>
      </c>
      <c r="C52" t="s">
        <v>182</v>
      </c>
      <c r="D52" t="s">
        <v>182</v>
      </c>
      <c r="E52" t="s">
        <v>181</v>
      </c>
      <c r="F52" t="s">
        <v>183</v>
      </c>
      <c r="M52" s="7"/>
      <c r="N52" s="8"/>
    </row>
    <row r="53" spans="1:14" x14ac:dyDescent="0.25">
      <c r="A53" t="s">
        <v>184</v>
      </c>
      <c r="B53" t="s">
        <v>25</v>
      </c>
      <c r="C53" t="s">
        <v>185</v>
      </c>
      <c r="D53" t="s">
        <v>185</v>
      </c>
      <c r="E53" t="s">
        <v>184</v>
      </c>
      <c r="F53" t="s">
        <v>186</v>
      </c>
      <c r="M53" s="7"/>
      <c r="N53" s="8"/>
    </row>
    <row r="54" spans="1:14" x14ac:dyDescent="0.25">
      <c r="A54" t="s">
        <v>187</v>
      </c>
      <c r="B54" t="s">
        <v>25</v>
      </c>
      <c r="C54" t="s">
        <v>188</v>
      </c>
      <c r="D54" t="s">
        <v>188</v>
      </c>
      <c r="E54" t="s">
        <v>187</v>
      </c>
      <c r="F54" t="s">
        <v>189</v>
      </c>
      <c r="M54" s="7"/>
      <c r="N54" s="8"/>
    </row>
    <row r="55" spans="1:14" x14ac:dyDescent="0.25">
      <c r="A55" t="s">
        <v>190</v>
      </c>
      <c r="B55" t="s">
        <v>25</v>
      </c>
      <c r="C55" t="s">
        <v>191</v>
      </c>
      <c r="D55" t="s">
        <v>192</v>
      </c>
      <c r="E55" t="s">
        <v>190</v>
      </c>
      <c r="F55" t="s">
        <v>193</v>
      </c>
      <c r="M55" s="7"/>
      <c r="N55" s="8"/>
    </row>
    <row r="56" spans="1:14" x14ac:dyDescent="0.25">
      <c r="A56" t="s">
        <v>194</v>
      </c>
      <c r="B56" t="s">
        <v>25</v>
      </c>
      <c r="C56" t="s">
        <v>195</v>
      </c>
      <c r="D56" t="s">
        <v>195</v>
      </c>
      <c r="E56" t="s">
        <v>194</v>
      </c>
      <c r="F56" t="s">
        <v>196</v>
      </c>
      <c r="M56" s="7"/>
      <c r="N56" s="8"/>
    </row>
    <row r="57" spans="1:14" x14ac:dyDescent="0.25">
      <c r="A57" t="s">
        <v>197</v>
      </c>
      <c r="B57" t="s">
        <v>25</v>
      </c>
      <c r="C57" t="s">
        <v>198</v>
      </c>
      <c r="D57" t="s">
        <v>199</v>
      </c>
      <c r="E57" t="s">
        <v>197</v>
      </c>
      <c r="F57" t="s">
        <v>200</v>
      </c>
      <c r="M57" s="7"/>
      <c r="N57" s="8"/>
    </row>
    <row r="58" spans="1:14" x14ac:dyDescent="0.25">
      <c r="A58" t="s">
        <v>201</v>
      </c>
      <c r="B58" t="s">
        <v>25</v>
      </c>
      <c r="C58" t="s">
        <v>202</v>
      </c>
      <c r="D58" t="s">
        <v>202</v>
      </c>
      <c r="E58" t="s">
        <v>201</v>
      </c>
      <c r="F58" t="s">
        <v>203</v>
      </c>
      <c r="M58" s="7"/>
      <c r="N58" s="8"/>
    </row>
    <row r="59" spans="1:14" x14ac:dyDescent="0.25">
      <c r="A59" t="s">
        <v>204</v>
      </c>
      <c r="B59" t="s">
        <v>25</v>
      </c>
      <c r="C59" t="s">
        <v>205</v>
      </c>
      <c r="D59" t="s">
        <v>205</v>
      </c>
      <c r="E59" t="s">
        <v>204</v>
      </c>
      <c r="F59" t="s">
        <v>206</v>
      </c>
      <c r="M59" s="9"/>
      <c r="N59" s="9"/>
    </row>
    <row r="60" spans="1:14" x14ac:dyDescent="0.25">
      <c r="A60" t="s">
        <v>207</v>
      </c>
      <c r="B60" t="s">
        <v>25</v>
      </c>
      <c r="C60" t="s">
        <v>208</v>
      </c>
      <c r="D60" t="s">
        <v>208</v>
      </c>
      <c r="E60" t="s">
        <v>207</v>
      </c>
      <c r="F60" t="s">
        <v>209</v>
      </c>
      <c r="M60" s="7"/>
      <c r="N60" s="8"/>
    </row>
    <row r="61" spans="1:14" x14ac:dyDescent="0.25">
      <c r="A61" t="s">
        <v>210</v>
      </c>
      <c r="B61" t="s">
        <v>25</v>
      </c>
      <c r="C61" t="s">
        <v>211</v>
      </c>
      <c r="D61" t="s">
        <v>211</v>
      </c>
      <c r="E61" t="s">
        <v>210</v>
      </c>
      <c r="F61" t="s">
        <v>212</v>
      </c>
      <c r="M61" s="7"/>
      <c r="N61" s="9"/>
    </row>
    <row r="62" spans="1:14" x14ac:dyDescent="0.25">
      <c r="A62" t="s">
        <v>213</v>
      </c>
      <c r="B62" t="s">
        <v>25</v>
      </c>
      <c r="C62" t="s">
        <v>214</v>
      </c>
      <c r="D62" t="s">
        <v>214</v>
      </c>
      <c r="E62" t="s">
        <v>213</v>
      </c>
      <c r="F62" t="s">
        <v>215</v>
      </c>
      <c r="M62" s="7"/>
      <c r="N62" s="8"/>
    </row>
    <row r="63" spans="1:14" x14ac:dyDescent="0.25">
      <c r="A63" t="s">
        <v>216</v>
      </c>
      <c r="B63" t="s">
        <v>25</v>
      </c>
      <c r="C63" t="s">
        <v>217</v>
      </c>
      <c r="D63" t="s">
        <v>217</v>
      </c>
      <c r="E63" t="s">
        <v>216</v>
      </c>
      <c r="F63" t="s">
        <v>218</v>
      </c>
      <c r="M63" s="7"/>
      <c r="N63" s="8"/>
    </row>
    <row r="64" spans="1:14" x14ac:dyDescent="0.25">
      <c r="A64" t="s">
        <v>219</v>
      </c>
      <c r="B64" t="s">
        <v>25</v>
      </c>
      <c r="C64" t="s">
        <v>220</v>
      </c>
      <c r="D64" t="s">
        <v>220</v>
      </c>
      <c r="E64" t="s">
        <v>219</v>
      </c>
      <c r="F64" t="s">
        <v>221</v>
      </c>
      <c r="M64" s="7"/>
      <c r="N64" s="8"/>
    </row>
    <row r="65" spans="1:14" x14ac:dyDescent="0.25">
      <c r="A65" t="s">
        <v>222</v>
      </c>
      <c r="B65" t="s">
        <v>25</v>
      </c>
      <c r="C65" t="s">
        <v>223</v>
      </c>
      <c r="D65" t="s">
        <v>223</v>
      </c>
      <c r="E65" t="s">
        <v>222</v>
      </c>
      <c r="F65" t="s">
        <v>224</v>
      </c>
      <c r="M65" s="7"/>
      <c r="N65" s="8"/>
    </row>
    <row r="66" spans="1:14" x14ac:dyDescent="0.25">
      <c r="A66" t="s">
        <v>225</v>
      </c>
      <c r="B66" t="s">
        <v>25</v>
      </c>
      <c r="C66" t="s">
        <v>226</v>
      </c>
      <c r="D66" t="s">
        <v>226</v>
      </c>
      <c r="E66" t="s">
        <v>225</v>
      </c>
      <c r="F66" t="s">
        <v>227</v>
      </c>
      <c r="M66" s="7"/>
      <c r="N66" s="8"/>
    </row>
    <row r="67" spans="1:14" x14ac:dyDescent="0.25">
      <c r="A67" t="s">
        <v>228</v>
      </c>
      <c r="B67" t="s">
        <v>25</v>
      </c>
      <c r="C67" t="s">
        <v>229</v>
      </c>
      <c r="D67" t="s">
        <v>230</v>
      </c>
      <c r="E67" t="s">
        <v>228</v>
      </c>
      <c r="F67" t="s">
        <v>231</v>
      </c>
      <c r="M67" s="7"/>
      <c r="N67" s="8"/>
    </row>
    <row r="68" spans="1:14" x14ac:dyDescent="0.25">
      <c r="A68" t="s">
        <v>232</v>
      </c>
      <c r="B68" t="s">
        <v>25</v>
      </c>
      <c r="C68" t="s">
        <v>233</v>
      </c>
      <c r="D68" t="s">
        <v>234</v>
      </c>
      <c r="E68" t="s">
        <v>232</v>
      </c>
      <c r="F68" t="s">
        <v>235</v>
      </c>
      <c r="M68" s="7"/>
      <c r="N68" s="8"/>
    </row>
    <row r="69" spans="1:14" x14ac:dyDescent="0.25">
      <c r="A69" t="s">
        <v>236</v>
      </c>
      <c r="B69" t="s">
        <v>25</v>
      </c>
      <c r="C69" t="s">
        <v>237</v>
      </c>
      <c r="D69" t="s">
        <v>237</v>
      </c>
      <c r="E69" t="s">
        <v>236</v>
      </c>
      <c r="F69" t="s">
        <v>238</v>
      </c>
      <c r="M69" s="7"/>
      <c r="N69" s="8"/>
    </row>
    <row r="70" spans="1:14" x14ac:dyDescent="0.25">
      <c r="A70" t="s">
        <v>239</v>
      </c>
      <c r="B70" t="s">
        <v>25</v>
      </c>
      <c r="C70" t="s">
        <v>240</v>
      </c>
      <c r="D70" t="s">
        <v>240</v>
      </c>
      <c r="E70" t="s">
        <v>239</v>
      </c>
      <c r="F70" t="s">
        <v>241</v>
      </c>
      <c r="M70" s="7"/>
      <c r="N70" s="8"/>
    </row>
    <row r="71" spans="1:14" x14ac:dyDescent="0.25">
      <c r="A71" t="s">
        <v>242</v>
      </c>
      <c r="B71" t="s">
        <v>25</v>
      </c>
      <c r="C71" t="s">
        <v>243</v>
      </c>
      <c r="D71" t="s">
        <v>243</v>
      </c>
      <c r="E71" t="s">
        <v>242</v>
      </c>
      <c r="F71" t="s">
        <v>244</v>
      </c>
      <c r="M71" s="7"/>
      <c r="N71" s="8"/>
    </row>
    <row r="72" spans="1:14" x14ac:dyDescent="0.25">
      <c r="A72" t="s">
        <v>245</v>
      </c>
      <c r="B72" t="s">
        <v>25</v>
      </c>
      <c r="C72" t="s">
        <v>246</v>
      </c>
      <c r="D72" t="s">
        <v>246</v>
      </c>
      <c r="E72" t="s">
        <v>245</v>
      </c>
      <c r="F72" t="s">
        <v>247</v>
      </c>
      <c r="M72" s="7"/>
      <c r="N72" s="8"/>
    </row>
    <row r="73" spans="1:14" x14ac:dyDescent="0.25">
      <c r="A73" t="s">
        <v>248</v>
      </c>
      <c r="B73" t="s">
        <v>25</v>
      </c>
      <c r="C73" t="s">
        <v>249</v>
      </c>
      <c r="D73" t="s">
        <v>250</v>
      </c>
      <c r="E73" t="s">
        <v>248</v>
      </c>
      <c r="F73" t="s">
        <v>251</v>
      </c>
      <c r="M73" s="7"/>
      <c r="N73" s="8"/>
    </row>
    <row r="74" spans="1:14" x14ac:dyDescent="0.25">
      <c r="A74" t="s">
        <v>252</v>
      </c>
      <c r="B74" t="s">
        <v>25</v>
      </c>
      <c r="C74" t="s">
        <v>253</v>
      </c>
      <c r="D74" t="s">
        <v>253</v>
      </c>
      <c r="E74" t="s">
        <v>252</v>
      </c>
      <c r="F74" t="s">
        <v>254</v>
      </c>
      <c r="M74" s="7"/>
      <c r="N74" s="8"/>
    </row>
    <row r="75" spans="1:14" x14ac:dyDescent="0.25">
      <c r="A75" t="s">
        <v>255</v>
      </c>
      <c r="B75" t="s">
        <v>25</v>
      </c>
      <c r="C75" t="s">
        <v>256</v>
      </c>
      <c r="D75" t="s">
        <v>256</v>
      </c>
      <c r="E75" t="s">
        <v>255</v>
      </c>
      <c r="F75" t="s">
        <v>257</v>
      </c>
      <c r="M75" s="7"/>
      <c r="N75" s="8"/>
    </row>
    <row r="76" spans="1:14" x14ac:dyDescent="0.25">
      <c r="A76" t="s">
        <v>258</v>
      </c>
      <c r="B76" t="s">
        <v>25</v>
      </c>
      <c r="C76" t="s">
        <v>259</v>
      </c>
      <c r="D76" t="s">
        <v>260</v>
      </c>
      <c r="E76" t="s">
        <v>258</v>
      </c>
      <c r="F76" t="s">
        <v>261</v>
      </c>
      <c r="M76" s="7"/>
      <c r="N76" s="8"/>
    </row>
    <row r="77" spans="1:14" x14ac:dyDescent="0.25">
      <c r="A77" t="s">
        <v>262</v>
      </c>
      <c r="B77" t="s">
        <v>25</v>
      </c>
      <c r="C77" t="s">
        <v>263</v>
      </c>
      <c r="D77" t="s">
        <v>263</v>
      </c>
      <c r="E77" t="s">
        <v>262</v>
      </c>
      <c r="F77" t="s">
        <v>264</v>
      </c>
      <c r="M77" s="7"/>
      <c r="N77" s="8"/>
    </row>
    <row r="78" spans="1:14" x14ac:dyDescent="0.25">
      <c r="A78" t="s">
        <v>265</v>
      </c>
      <c r="B78" t="s">
        <v>25</v>
      </c>
      <c r="C78" t="s">
        <v>266</v>
      </c>
      <c r="D78" t="s">
        <v>266</v>
      </c>
      <c r="E78" t="s">
        <v>265</v>
      </c>
      <c r="F78" t="s">
        <v>267</v>
      </c>
      <c r="M78" s="7"/>
      <c r="N78" s="8"/>
    </row>
    <row r="79" spans="1:14" x14ac:dyDescent="0.25">
      <c r="A79" t="s">
        <v>268</v>
      </c>
      <c r="B79" t="s">
        <v>25</v>
      </c>
      <c r="C79" t="s">
        <v>269</v>
      </c>
      <c r="D79" t="s">
        <v>269</v>
      </c>
      <c r="E79" t="s">
        <v>268</v>
      </c>
      <c r="F79" t="s">
        <v>270</v>
      </c>
      <c r="M79" s="7"/>
      <c r="N79" s="8"/>
    </row>
    <row r="80" spans="1:14" x14ac:dyDescent="0.25">
      <c r="A80" t="s">
        <v>271</v>
      </c>
      <c r="B80" t="s">
        <v>25</v>
      </c>
      <c r="C80" t="s">
        <v>272</v>
      </c>
      <c r="D80" t="s">
        <v>272</v>
      </c>
      <c r="E80" t="s">
        <v>271</v>
      </c>
      <c r="F80" t="s">
        <v>273</v>
      </c>
      <c r="M80" s="7"/>
      <c r="N80" s="8"/>
    </row>
    <row r="81" spans="1:14" x14ac:dyDescent="0.25">
      <c r="A81" t="s">
        <v>274</v>
      </c>
      <c r="B81" t="s">
        <v>25</v>
      </c>
      <c r="C81" t="s">
        <v>275</v>
      </c>
      <c r="D81" t="s">
        <v>275</v>
      </c>
      <c r="E81" t="s">
        <v>274</v>
      </c>
      <c r="F81" t="s">
        <v>276</v>
      </c>
      <c r="M81" s="7"/>
      <c r="N81" s="8"/>
    </row>
    <row r="82" spans="1:14" x14ac:dyDescent="0.25">
      <c r="A82" t="s">
        <v>277</v>
      </c>
      <c r="B82" t="s">
        <v>25</v>
      </c>
      <c r="C82" t="s">
        <v>278</v>
      </c>
      <c r="D82" t="s">
        <v>278</v>
      </c>
      <c r="E82" t="s">
        <v>277</v>
      </c>
      <c r="F82" t="s">
        <v>279</v>
      </c>
      <c r="M82" s="7"/>
      <c r="N82" s="8"/>
    </row>
    <row r="83" spans="1:14" x14ac:dyDescent="0.25">
      <c r="A83" t="s">
        <v>280</v>
      </c>
      <c r="B83" t="s">
        <v>25</v>
      </c>
      <c r="C83" t="s">
        <v>281</v>
      </c>
      <c r="D83" t="s">
        <v>282</v>
      </c>
      <c r="E83" t="s">
        <v>280</v>
      </c>
      <c r="F83" t="s">
        <v>283</v>
      </c>
      <c r="M83" s="7"/>
      <c r="N83" s="8"/>
    </row>
    <row r="84" spans="1:14" x14ac:dyDescent="0.25">
      <c r="A84" t="s">
        <v>284</v>
      </c>
      <c r="B84" t="s">
        <v>25</v>
      </c>
      <c r="C84" t="s">
        <v>285</v>
      </c>
      <c r="D84" t="s">
        <v>285</v>
      </c>
      <c r="E84" t="s">
        <v>284</v>
      </c>
      <c r="F84" t="s">
        <v>286</v>
      </c>
      <c r="M84" s="7"/>
      <c r="N84" s="8"/>
    </row>
    <row r="85" spans="1:14" x14ac:dyDescent="0.25">
      <c r="A85" t="s">
        <v>287</v>
      </c>
      <c r="B85" t="s">
        <v>25</v>
      </c>
      <c r="C85" t="s">
        <v>288</v>
      </c>
      <c r="D85" t="s">
        <v>288</v>
      </c>
      <c r="E85" t="s">
        <v>287</v>
      </c>
      <c r="F85" t="s">
        <v>289</v>
      </c>
      <c r="M85" s="7"/>
      <c r="N85" s="8"/>
    </row>
    <row r="86" spans="1:14" x14ac:dyDescent="0.25">
      <c r="A86" t="s">
        <v>290</v>
      </c>
      <c r="B86" t="s">
        <v>25</v>
      </c>
      <c r="C86" t="s">
        <v>291</v>
      </c>
      <c r="D86" t="s">
        <v>291</v>
      </c>
      <c r="E86" t="s">
        <v>290</v>
      </c>
      <c r="F86" t="s">
        <v>292</v>
      </c>
      <c r="M86" s="7"/>
      <c r="N86" s="8"/>
    </row>
    <row r="87" spans="1:14" x14ac:dyDescent="0.25">
      <c r="A87" t="s">
        <v>293</v>
      </c>
      <c r="B87" t="s">
        <v>25</v>
      </c>
      <c r="C87" t="s">
        <v>294</v>
      </c>
      <c r="D87" t="s">
        <v>294</v>
      </c>
      <c r="E87" t="s">
        <v>293</v>
      </c>
      <c r="F87" t="s">
        <v>295</v>
      </c>
      <c r="M87" s="7"/>
      <c r="N87" s="8"/>
    </row>
    <row r="88" spans="1:14" x14ac:dyDescent="0.25">
      <c r="A88" t="s">
        <v>296</v>
      </c>
      <c r="B88" t="s">
        <v>25</v>
      </c>
      <c r="C88" t="s">
        <v>297</v>
      </c>
      <c r="D88" t="s">
        <v>297</v>
      </c>
      <c r="E88" t="s">
        <v>296</v>
      </c>
      <c r="F88" t="s">
        <v>298</v>
      </c>
      <c r="M88" s="7"/>
      <c r="N88" s="8"/>
    </row>
    <row r="89" spans="1:14" x14ac:dyDescent="0.25">
      <c r="A89" t="s">
        <v>299</v>
      </c>
      <c r="B89" t="s">
        <v>25</v>
      </c>
      <c r="C89" t="s">
        <v>300</v>
      </c>
      <c r="D89" t="s">
        <v>300</v>
      </c>
      <c r="E89" t="s">
        <v>299</v>
      </c>
      <c r="F89" t="s">
        <v>301</v>
      </c>
      <c r="M89" s="7"/>
      <c r="N89" s="8"/>
    </row>
    <row r="90" spans="1:14" x14ac:dyDescent="0.25">
      <c r="A90" t="s">
        <v>302</v>
      </c>
      <c r="B90" t="s">
        <v>25</v>
      </c>
      <c r="C90" t="s">
        <v>303</v>
      </c>
      <c r="D90" t="s">
        <v>303</v>
      </c>
      <c r="E90" t="s">
        <v>302</v>
      </c>
      <c r="F90" t="s">
        <v>302</v>
      </c>
      <c r="M90" s="7"/>
      <c r="N90" s="8"/>
    </row>
    <row r="91" spans="1:14" x14ac:dyDescent="0.25">
      <c r="A91" t="s">
        <v>304</v>
      </c>
      <c r="B91" t="s">
        <v>25</v>
      </c>
      <c r="C91" t="s">
        <v>305</v>
      </c>
      <c r="D91" t="s">
        <v>305</v>
      </c>
      <c r="E91" t="s">
        <v>304</v>
      </c>
      <c r="F91" t="s">
        <v>306</v>
      </c>
      <c r="M91" s="7"/>
      <c r="N91" s="8"/>
    </row>
    <row r="92" spans="1:14" x14ac:dyDescent="0.25">
      <c r="A92" t="s">
        <v>307</v>
      </c>
      <c r="B92" t="s">
        <v>25</v>
      </c>
      <c r="C92" t="s">
        <v>308</v>
      </c>
      <c r="D92" t="s">
        <v>308</v>
      </c>
      <c r="E92" t="s">
        <v>307</v>
      </c>
      <c r="F92" t="s">
        <v>309</v>
      </c>
      <c r="M92" s="7"/>
      <c r="N92" s="8"/>
    </row>
    <row r="93" spans="1:14" x14ac:dyDescent="0.25">
      <c r="A93" t="s">
        <v>310</v>
      </c>
      <c r="B93" t="s">
        <v>25</v>
      </c>
      <c r="C93" t="s">
        <v>311</v>
      </c>
      <c r="D93" t="s">
        <v>311</v>
      </c>
      <c r="E93" t="s">
        <v>310</v>
      </c>
      <c r="F93" t="s">
        <v>312</v>
      </c>
      <c r="M93" s="9"/>
      <c r="N93" s="9"/>
    </row>
    <row r="94" spans="1:14" x14ac:dyDescent="0.25">
      <c r="A94" t="s">
        <v>313</v>
      </c>
      <c r="B94" t="s">
        <v>25</v>
      </c>
      <c r="C94" t="s">
        <v>314</v>
      </c>
      <c r="D94" t="s">
        <v>314</v>
      </c>
      <c r="E94" t="s">
        <v>313</v>
      </c>
      <c r="F94" t="s">
        <v>315</v>
      </c>
      <c r="M94" s="7"/>
      <c r="N94" s="8"/>
    </row>
    <row r="95" spans="1:14" x14ac:dyDescent="0.25">
      <c r="A95" t="s">
        <v>316</v>
      </c>
      <c r="B95" t="s">
        <v>25</v>
      </c>
      <c r="C95" t="s">
        <v>317</v>
      </c>
      <c r="D95" t="s">
        <v>317</v>
      </c>
      <c r="E95" t="s">
        <v>316</v>
      </c>
      <c r="F95" t="s">
        <v>318</v>
      </c>
      <c r="M95" s="7"/>
      <c r="N95" s="8"/>
    </row>
    <row r="96" spans="1:14" x14ac:dyDescent="0.25">
      <c r="A96" t="s">
        <v>319</v>
      </c>
      <c r="B96" t="s">
        <v>25</v>
      </c>
      <c r="C96" t="s">
        <v>320</v>
      </c>
      <c r="D96" t="s">
        <v>320</v>
      </c>
      <c r="E96" t="s">
        <v>319</v>
      </c>
      <c r="F96" t="s">
        <v>321</v>
      </c>
      <c r="M96" s="7"/>
      <c r="N96" s="8"/>
    </row>
    <row r="97" spans="1:14" x14ac:dyDescent="0.25">
      <c r="A97" t="s">
        <v>322</v>
      </c>
      <c r="B97" t="s">
        <v>25</v>
      </c>
      <c r="C97" t="s">
        <v>323</v>
      </c>
      <c r="D97" t="s">
        <v>323</v>
      </c>
      <c r="E97" t="s">
        <v>322</v>
      </c>
      <c r="F97" t="s">
        <v>324</v>
      </c>
      <c r="M97" s="7"/>
      <c r="N97" s="8"/>
    </row>
    <row r="98" spans="1:14" x14ac:dyDescent="0.25">
      <c r="A98" t="s">
        <v>325</v>
      </c>
      <c r="B98" t="s">
        <v>25</v>
      </c>
      <c r="C98" t="s">
        <v>326</v>
      </c>
      <c r="D98" t="s">
        <v>326</v>
      </c>
      <c r="E98" t="s">
        <v>325</v>
      </c>
      <c r="F98" t="s">
        <v>327</v>
      </c>
      <c r="M98" s="7"/>
      <c r="N98" s="8"/>
    </row>
    <row r="99" spans="1:14" x14ac:dyDescent="0.25">
      <c r="A99" t="s">
        <v>328</v>
      </c>
      <c r="B99" t="s">
        <v>25</v>
      </c>
      <c r="C99" t="s">
        <v>329</v>
      </c>
      <c r="D99" t="s">
        <v>329</v>
      </c>
      <c r="E99" t="s">
        <v>328</v>
      </c>
      <c r="F99" t="s">
        <v>330</v>
      </c>
      <c r="M99" s="7"/>
      <c r="N99" s="8"/>
    </row>
    <row r="100" spans="1:14" x14ac:dyDescent="0.25">
      <c r="A100" t="s">
        <v>331</v>
      </c>
      <c r="B100" t="s">
        <v>25</v>
      </c>
      <c r="C100" t="s">
        <v>332</v>
      </c>
      <c r="D100" t="s">
        <v>332</v>
      </c>
      <c r="E100" t="s">
        <v>331</v>
      </c>
      <c r="F100" t="s">
        <v>333</v>
      </c>
      <c r="M100" s="7"/>
      <c r="N100" s="8"/>
    </row>
    <row r="101" spans="1:14" x14ac:dyDescent="0.25">
      <c r="A101" t="s">
        <v>334</v>
      </c>
      <c r="B101" t="s">
        <v>25</v>
      </c>
      <c r="C101" t="s">
        <v>335</v>
      </c>
      <c r="D101" t="s">
        <v>335</v>
      </c>
      <c r="E101" t="s">
        <v>334</v>
      </c>
      <c r="F101" t="s">
        <v>336</v>
      </c>
      <c r="M101" s="7"/>
      <c r="N101" s="8"/>
    </row>
    <row r="102" spans="1:14" x14ac:dyDescent="0.25">
      <c r="A102" t="s">
        <v>337</v>
      </c>
      <c r="B102" t="s">
        <v>25</v>
      </c>
      <c r="C102" t="s">
        <v>338</v>
      </c>
      <c r="D102" t="s">
        <v>338</v>
      </c>
      <c r="E102" t="s">
        <v>337</v>
      </c>
      <c r="F102" t="s">
        <v>339</v>
      </c>
      <c r="M102" s="7"/>
      <c r="N102" s="8"/>
    </row>
    <row r="103" spans="1:14" x14ac:dyDescent="0.25">
      <c r="A103" t="s">
        <v>340</v>
      </c>
      <c r="B103" t="s">
        <v>25</v>
      </c>
      <c r="C103" t="s">
        <v>341</v>
      </c>
      <c r="D103" t="s">
        <v>341</v>
      </c>
      <c r="E103" t="s">
        <v>340</v>
      </c>
      <c r="F103" t="s">
        <v>342</v>
      </c>
      <c r="M103" s="7"/>
      <c r="N103" s="8"/>
    </row>
    <row r="104" spans="1:14" x14ac:dyDescent="0.25">
      <c r="A104" t="s">
        <v>343</v>
      </c>
      <c r="B104" t="s">
        <v>25</v>
      </c>
      <c r="C104" t="s">
        <v>344</v>
      </c>
      <c r="D104" t="s">
        <v>344</v>
      </c>
      <c r="E104" t="s">
        <v>343</v>
      </c>
      <c r="F104" t="s">
        <v>345</v>
      </c>
      <c r="M104" s="7"/>
      <c r="N104" s="8"/>
    </row>
    <row r="105" spans="1:14" x14ac:dyDescent="0.25">
      <c r="A105" t="s">
        <v>346</v>
      </c>
      <c r="B105" t="s">
        <v>25</v>
      </c>
      <c r="C105" t="s">
        <v>347</v>
      </c>
      <c r="D105" t="s">
        <v>347</v>
      </c>
      <c r="E105" t="s">
        <v>346</v>
      </c>
      <c r="F105" t="s">
        <v>348</v>
      </c>
      <c r="M105" s="7"/>
      <c r="N105" s="8"/>
    </row>
    <row r="106" spans="1:14" x14ac:dyDescent="0.25">
      <c r="A106" t="s">
        <v>349</v>
      </c>
      <c r="B106" t="s">
        <v>25</v>
      </c>
      <c r="C106" t="s">
        <v>350</v>
      </c>
      <c r="D106" t="s">
        <v>350</v>
      </c>
      <c r="E106" t="s">
        <v>349</v>
      </c>
      <c r="F106" t="s">
        <v>351</v>
      </c>
      <c r="M106" s="7"/>
      <c r="N106" s="8"/>
    </row>
    <row r="107" spans="1:14" x14ac:dyDescent="0.25">
      <c r="A107" t="s">
        <v>352</v>
      </c>
      <c r="B107" t="s">
        <v>25</v>
      </c>
      <c r="C107" t="s">
        <v>353</v>
      </c>
      <c r="D107" t="s">
        <v>354</v>
      </c>
      <c r="E107" t="s">
        <v>352</v>
      </c>
      <c r="F107" t="s">
        <v>355</v>
      </c>
      <c r="M107" s="7"/>
      <c r="N107" s="8"/>
    </row>
    <row r="108" spans="1:14" x14ac:dyDescent="0.25">
      <c r="A108" t="s">
        <v>356</v>
      </c>
      <c r="B108" t="s">
        <v>25</v>
      </c>
      <c r="C108" t="s">
        <v>357</v>
      </c>
      <c r="D108" t="s">
        <v>357</v>
      </c>
      <c r="E108" t="s">
        <v>356</v>
      </c>
      <c r="F108" t="s">
        <v>358</v>
      </c>
      <c r="M108" s="7"/>
      <c r="N108" s="8"/>
    </row>
    <row r="109" spans="1:14" x14ac:dyDescent="0.25">
      <c r="A109" t="s">
        <v>359</v>
      </c>
      <c r="B109" t="s">
        <v>25</v>
      </c>
      <c r="C109" t="s">
        <v>360</v>
      </c>
      <c r="D109" t="s">
        <v>360</v>
      </c>
      <c r="E109" t="s">
        <v>359</v>
      </c>
      <c r="F109" t="s">
        <v>361</v>
      </c>
      <c r="M109" s="9"/>
      <c r="N109" s="9"/>
    </row>
    <row r="110" spans="1:14" x14ac:dyDescent="0.25">
      <c r="A110" t="s">
        <v>362</v>
      </c>
      <c r="B110" t="s">
        <v>25</v>
      </c>
      <c r="C110" t="s">
        <v>363</v>
      </c>
      <c r="D110" t="s">
        <v>363</v>
      </c>
      <c r="E110" t="s">
        <v>362</v>
      </c>
      <c r="F110" t="s">
        <v>364</v>
      </c>
      <c r="M110" s="7"/>
      <c r="N110" s="8"/>
    </row>
    <row r="111" spans="1:14" x14ac:dyDescent="0.25">
      <c r="A111" t="s">
        <v>365</v>
      </c>
      <c r="B111" t="s">
        <v>25</v>
      </c>
      <c r="C111" t="s">
        <v>366</v>
      </c>
      <c r="D111" t="s">
        <v>366</v>
      </c>
      <c r="E111" t="s">
        <v>365</v>
      </c>
      <c r="F111" t="s">
        <v>367</v>
      </c>
      <c r="M111" s="7"/>
      <c r="N111" s="8"/>
    </row>
    <row r="112" spans="1:14" x14ac:dyDescent="0.25">
      <c r="A112" t="s">
        <v>368</v>
      </c>
      <c r="B112" t="s">
        <v>25</v>
      </c>
      <c r="C112" t="s">
        <v>369</v>
      </c>
      <c r="D112" t="s">
        <v>369</v>
      </c>
      <c r="E112" t="s">
        <v>368</v>
      </c>
      <c r="F112" t="s">
        <v>370</v>
      </c>
      <c r="M112" s="7"/>
      <c r="N112" s="8"/>
    </row>
    <row r="113" spans="1:14" x14ac:dyDescent="0.25">
      <c r="A113" t="s">
        <v>371</v>
      </c>
      <c r="B113" t="s">
        <v>25</v>
      </c>
      <c r="C113" t="s">
        <v>372</v>
      </c>
      <c r="D113" t="s">
        <v>372</v>
      </c>
      <c r="E113" t="s">
        <v>371</v>
      </c>
      <c r="F113" t="s">
        <v>373</v>
      </c>
      <c r="M113" s="7"/>
      <c r="N113" s="8"/>
    </row>
    <row r="114" spans="1:14" x14ac:dyDescent="0.25">
      <c r="A114" t="s">
        <v>374</v>
      </c>
      <c r="B114" t="s">
        <v>25</v>
      </c>
      <c r="C114" t="s">
        <v>375</v>
      </c>
      <c r="D114" t="s">
        <v>375</v>
      </c>
      <c r="E114" t="s">
        <v>374</v>
      </c>
      <c r="F114" t="s">
        <v>376</v>
      </c>
      <c r="M114" s="9"/>
      <c r="N114" s="9"/>
    </row>
    <row r="115" spans="1:14" x14ac:dyDescent="0.25">
      <c r="A115" t="s">
        <v>377</v>
      </c>
      <c r="B115" t="s">
        <v>25</v>
      </c>
      <c r="C115" t="s">
        <v>378</v>
      </c>
      <c r="D115" t="s">
        <v>378</v>
      </c>
      <c r="E115" t="s">
        <v>377</v>
      </c>
      <c r="F115" t="s">
        <v>379</v>
      </c>
      <c r="M115" s="7"/>
      <c r="N115" s="8"/>
    </row>
    <row r="116" spans="1:14" x14ac:dyDescent="0.25">
      <c r="A116" t="s">
        <v>380</v>
      </c>
      <c r="B116" t="s">
        <v>25</v>
      </c>
      <c r="C116" t="s">
        <v>381</v>
      </c>
      <c r="D116" t="s">
        <v>381</v>
      </c>
      <c r="E116" t="s">
        <v>380</v>
      </c>
      <c r="F116" t="s">
        <v>382</v>
      </c>
      <c r="M116" s="7"/>
      <c r="N116" s="8"/>
    </row>
    <row r="117" spans="1:14" x14ac:dyDescent="0.25">
      <c r="A117" t="s">
        <v>383</v>
      </c>
      <c r="B117" t="s">
        <v>25</v>
      </c>
      <c r="C117" t="s">
        <v>384</v>
      </c>
      <c r="D117" t="s">
        <v>384</v>
      </c>
      <c r="E117" t="s">
        <v>383</v>
      </c>
      <c r="F117" t="s">
        <v>385</v>
      </c>
      <c r="M117" s="7"/>
      <c r="N117" s="8"/>
    </row>
    <row r="118" spans="1:14" x14ac:dyDescent="0.25">
      <c r="A118" t="s">
        <v>386</v>
      </c>
      <c r="B118" t="s">
        <v>25</v>
      </c>
      <c r="C118" t="s">
        <v>387</v>
      </c>
      <c r="D118" t="s">
        <v>387</v>
      </c>
      <c r="E118" t="s">
        <v>386</v>
      </c>
      <c r="F118" t="s">
        <v>388</v>
      </c>
      <c r="M118" s="7"/>
      <c r="N118" s="8"/>
    </row>
    <row r="119" spans="1:14" x14ac:dyDescent="0.25">
      <c r="A119" t="s">
        <v>389</v>
      </c>
      <c r="B119" t="s">
        <v>25</v>
      </c>
      <c r="C119" t="s">
        <v>390</v>
      </c>
      <c r="D119" t="s">
        <v>390</v>
      </c>
      <c r="E119" t="s">
        <v>389</v>
      </c>
      <c r="F119" t="s">
        <v>391</v>
      </c>
      <c r="M119" s="7"/>
      <c r="N119" s="8"/>
    </row>
    <row r="120" spans="1:14" x14ac:dyDescent="0.25">
      <c r="A120" t="s">
        <v>392</v>
      </c>
      <c r="B120" t="s">
        <v>25</v>
      </c>
      <c r="C120" t="s">
        <v>393</v>
      </c>
      <c r="D120" t="s">
        <v>393</v>
      </c>
      <c r="E120" t="s">
        <v>392</v>
      </c>
      <c r="F120" t="s">
        <v>394</v>
      </c>
      <c r="M120" s="7"/>
      <c r="N120" s="8"/>
    </row>
    <row r="121" spans="1:14" x14ac:dyDescent="0.25">
      <c r="A121" t="s">
        <v>395</v>
      </c>
      <c r="B121" t="s">
        <v>25</v>
      </c>
      <c r="C121" t="s">
        <v>396</v>
      </c>
      <c r="D121" t="s">
        <v>396</v>
      </c>
      <c r="E121" t="s">
        <v>395</v>
      </c>
      <c r="F121" t="s">
        <v>397</v>
      </c>
      <c r="M121" s="9"/>
      <c r="N121" s="9"/>
    </row>
    <row r="122" spans="1:14" x14ac:dyDescent="0.25">
      <c r="A122" t="s">
        <v>398</v>
      </c>
      <c r="B122" t="s">
        <v>25</v>
      </c>
      <c r="C122" t="s">
        <v>399</v>
      </c>
      <c r="D122" t="s">
        <v>399</v>
      </c>
      <c r="E122" t="s">
        <v>398</v>
      </c>
      <c r="F122" t="s">
        <v>400</v>
      </c>
      <c r="M122" s="7"/>
      <c r="N122" s="8"/>
    </row>
    <row r="123" spans="1:14" x14ac:dyDescent="0.25">
      <c r="A123" t="s">
        <v>401</v>
      </c>
      <c r="B123" t="s">
        <v>25</v>
      </c>
      <c r="C123" t="s">
        <v>402</v>
      </c>
      <c r="D123" t="s">
        <v>402</v>
      </c>
      <c r="E123" t="s">
        <v>401</v>
      </c>
      <c r="F123" t="s">
        <v>403</v>
      </c>
      <c r="M123" s="7"/>
      <c r="N123" s="8"/>
    </row>
    <row r="124" spans="1:14" x14ac:dyDescent="0.25">
      <c r="A124" t="s">
        <v>404</v>
      </c>
      <c r="B124" t="s">
        <v>25</v>
      </c>
      <c r="C124" t="s">
        <v>405</v>
      </c>
      <c r="D124" t="s">
        <v>405</v>
      </c>
      <c r="E124" t="s">
        <v>404</v>
      </c>
      <c r="F124" t="s">
        <v>406</v>
      </c>
      <c r="M124" s="7"/>
      <c r="N124" s="8"/>
    </row>
    <row r="125" spans="1:14" x14ac:dyDescent="0.25">
      <c r="A125" t="s">
        <v>407</v>
      </c>
      <c r="B125" t="s">
        <v>25</v>
      </c>
      <c r="C125" t="s">
        <v>408</v>
      </c>
      <c r="D125" t="s">
        <v>408</v>
      </c>
      <c r="E125" t="s">
        <v>407</v>
      </c>
      <c r="F125" t="s">
        <v>409</v>
      </c>
      <c r="M125" s="7"/>
      <c r="N125" s="8"/>
    </row>
    <row r="126" spans="1:14" x14ac:dyDescent="0.25">
      <c r="A126" t="s">
        <v>410</v>
      </c>
      <c r="B126" t="s">
        <v>25</v>
      </c>
      <c r="C126" t="s">
        <v>411</v>
      </c>
      <c r="D126" t="s">
        <v>411</v>
      </c>
      <c r="E126" t="s">
        <v>410</v>
      </c>
      <c r="F126" t="s">
        <v>412</v>
      </c>
      <c r="M126" s="7"/>
      <c r="N126" s="8"/>
    </row>
    <row r="127" spans="1:14" x14ac:dyDescent="0.25">
      <c r="A127" t="s">
        <v>413</v>
      </c>
      <c r="B127" t="s">
        <v>25</v>
      </c>
      <c r="C127" t="s">
        <v>414</v>
      </c>
      <c r="D127" t="s">
        <v>414</v>
      </c>
      <c r="E127" t="s">
        <v>413</v>
      </c>
      <c r="F127" t="s">
        <v>415</v>
      </c>
      <c r="M127" s="7"/>
      <c r="N127" s="8"/>
    </row>
    <row r="128" spans="1:14" x14ac:dyDescent="0.25">
      <c r="A128" t="s">
        <v>416</v>
      </c>
      <c r="B128" t="s">
        <v>25</v>
      </c>
      <c r="C128" t="s">
        <v>417</v>
      </c>
      <c r="D128" t="s">
        <v>418</v>
      </c>
      <c r="E128" t="s">
        <v>416</v>
      </c>
      <c r="F128" t="s">
        <v>419</v>
      </c>
      <c r="M128" s="7"/>
      <c r="N128" s="8"/>
    </row>
    <row r="129" spans="1:14" x14ac:dyDescent="0.25">
      <c r="A129" t="s">
        <v>420</v>
      </c>
      <c r="B129" t="s">
        <v>25</v>
      </c>
      <c r="C129" t="s">
        <v>421</v>
      </c>
      <c r="D129" t="s">
        <v>421</v>
      </c>
      <c r="E129" t="s">
        <v>420</v>
      </c>
      <c r="F129" t="s">
        <v>422</v>
      </c>
      <c r="M129" s="7"/>
      <c r="N129" s="8"/>
    </row>
    <row r="130" spans="1:14" x14ac:dyDescent="0.25">
      <c r="A130" t="s">
        <v>423</v>
      </c>
      <c r="B130" t="s">
        <v>25</v>
      </c>
      <c r="C130" t="s">
        <v>424</v>
      </c>
      <c r="D130" t="s">
        <v>424</v>
      </c>
      <c r="E130" t="s">
        <v>423</v>
      </c>
      <c r="F130" t="s">
        <v>425</v>
      </c>
      <c r="M130" s="7"/>
      <c r="N130" s="8"/>
    </row>
    <row r="131" spans="1:14" x14ac:dyDescent="0.25">
      <c r="A131" t="s">
        <v>426</v>
      </c>
      <c r="B131" t="s">
        <v>25</v>
      </c>
      <c r="C131" t="s">
        <v>427</v>
      </c>
      <c r="D131" t="s">
        <v>427</v>
      </c>
      <c r="E131" t="s">
        <v>426</v>
      </c>
      <c r="F131" t="s">
        <v>428</v>
      </c>
      <c r="M131" s="7"/>
      <c r="N131" s="8"/>
    </row>
    <row r="132" spans="1:14" x14ac:dyDescent="0.25">
      <c r="A132" t="s">
        <v>429</v>
      </c>
      <c r="B132" t="s">
        <v>25</v>
      </c>
      <c r="C132" t="s">
        <v>430</v>
      </c>
      <c r="D132" t="s">
        <v>430</v>
      </c>
      <c r="E132" t="s">
        <v>429</v>
      </c>
      <c r="F132" t="s">
        <v>431</v>
      </c>
      <c r="M132" s="7"/>
      <c r="N132" s="8"/>
    </row>
    <row r="133" spans="1:14" x14ac:dyDescent="0.25">
      <c r="A133" t="s">
        <v>432</v>
      </c>
      <c r="B133" t="s">
        <v>25</v>
      </c>
      <c r="C133" t="s">
        <v>433</v>
      </c>
      <c r="D133" t="s">
        <v>434</v>
      </c>
      <c r="E133" t="s">
        <v>432</v>
      </c>
      <c r="F133" t="s">
        <v>435</v>
      </c>
      <c r="M133" s="7"/>
      <c r="N133" s="8"/>
    </row>
    <row r="134" spans="1:14" x14ac:dyDescent="0.25">
      <c r="A134" t="s">
        <v>436</v>
      </c>
      <c r="B134" t="s">
        <v>25</v>
      </c>
      <c r="C134" t="s">
        <v>437</v>
      </c>
      <c r="D134" t="s">
        <v>437</v>
      </c>
      <c r="E134" t="s">
        <v>436</v>
      </c>
      <c r="F134" t="s">
        <v>438</v>
      </c>
      <c r="M134" s="7"/>
      <c r="N134" s="8"/>
    </row>
    <row r="135" spans="1:14" x14ac:dyDescent="0.25">
      <c r="A135" t="s">
        <v>439</v>
      </c>
      <c r="B135" t="s">
        <v>25</v>
      </c>
      <c r="C135" t="s">
        <v>440</v>
      </c>
      <c r="D135" t="s">
        <v>440</v>
      </c>
      <c r="E135" t="s">
        <v>439</v>
      </c>
      <c r="F135" t="s">
        <v>441</v>
      </c>
      <c r="M135" s="7"/>
      <c r="N135" s="8"/>
    </row>
    <row r="136" spans="1:14" x14ac:dyDescent="0.25">
      <c r="A136" t="s">
        <v>442</v>
      </c>
      <c r="B136" t="s">
        <v>25</v>
      </c>
      <c r="C136" t="s">
        <v>443</v>
      </c>
      <c r="D136" t="s">
        <v>443</v>
      </c>
      <c r="E136" t="s">
        <v>442</v>
      </c>
      <c r="F136" t="s">
        <v>444</v>
      </c>
      <c r="M136" s="7"/>
      <c r="N136" s="8"/>
    </row>
    <row r="137" spans="1:14" x14ac:dyDescent="0.25">
      <c r="A137" t="s">
        <v>445</v>
      </c>
      <c r="B137" t="s">
        <v>25</v>
      </c>
      <c r="C137" t="s">
        <v>446</v>
      </c>
      <c r="D137" t="s">
        <v>446</v>
      </c>
      <c r="E137" t="s">
        <v>445</v>
      </c>
      <c r="F137" t="s">
        <v>447</v>
      </c>
      <c r="M137" s="7"/>
      <c r="N137" s="8"/>
    </row>
    <row r="138" spans="1:14" x14ac:dyDescent="0.25">
      <c r="A138" t="s">
        <v>448</v>
      </c>
      <c r="B138" t="s">
        <v>25</v>
      </c>
      <c r="C138" t="s">
        <v>449</v>
      </c>
      <c r="D138" t="s">
        <v>450</v>
      </c>
      <c r="E138" t="s">
        <v>448</v>
      </c>
      <c r="F138" t="s">
        <v>451</v>
      </c>
      <c r="M138" s="7"/>
      <c r="N138" s="8"/>
    </row>
    <row r="139" spans="1:14" x14ac:dyDescent="0.25">
      <c r="A139" t="s">
        <v>452</v>
      </c>
      <c r="B139" t="s">
        <v>25</v>
      </c>
      <c r="C139" t="s">
        <v>453</v>
      </c>
      <c r="D139" t="s">
        <v>453</v>
      </c>
      <c r="E139" t="s">
        <v>452</v>
      </c>
      <c r="F139" t="s">
        <v>454</v>
      </c>
      <c r="M139" s="7"/>
      <c r="N139" s="8"/>
    </row>
    <row r="140" spans="1:14" x14ac:dyDescent="0.25">
      <c r="A140" t="s">
        <v>6</v>
      </c>
      <c r="B140" t="s">
        <v>25</v>
      </c>
      <c r="C140" t="s">
        <v>455</v>
      </c>
      <c r="D140" t="s">
        <v>455</v>
      </c>
      <c r="E140" t="s">
        <v>6</v>
      </c>
      <c r="F140" t="s">
        <v>456</v>
      </c>
      <c r="M140" s="7"/>
      <c r="N140" s="8"/>
    </row>
    <row r="141" spans="1:14" x14ac:dyDescent="0.25">
      <c r="A141" t="s">
        <v>457</v>
      </c>
      <c r="B141" t="s">
        <v>25</v>
      </c>
      <c r="C141" t="s">
        <v>458</v>
      </c>
      <c r="D141" t="s">
        <v>458</v>
      </c>
      <c r="E141" t="s">
        <v>457</v>
      </c>
      <c r="F141" t="s">
        <v>459</v>
      </c>
      <c r="M141" s="7"/>
      <c r="N141" s="8"/>
    </row>
    <row r="142" spans="1:14" x14ac:dyDescent="0.25">
      <c r="A142" t="s">
        <v>460</v>
      </c>
      <c r="B142" t="s">
        <v>25</v>
      </c>
      <c r="C142" t="s">
        <v>461</v>
      </c>
      <c r="D142" t="s">
        <v>462</v>
      </c>
      <c r="E142" t="s">
        <v>460</v>
      </c>
      <c r="F142" t="s">
        <v>463</v>
      </c>
      <c r="M142" s="7"/>
      <c r="N142" s="8"/>
    </row>
    <row r="143" spans="1:14" x14ac:dyDescent="0.25">
      <c r="A143" t="s">
        <v>464</v>
      </c>
      <c r="B143" t="s">
        <v>25</v>
      </c>
      <c r="C143" t="s">
        <v>465</v>
      </c>
      <c r="D143" t="s">
        <v>465</v>
      </c>
      <c r="E143" t="s">
        <v>464</v>
      </c>
      <c r="F143" t="s">
        <v>466</v>
      </c>
      <c r="M143" s="7"/>
      <c r="N143" s="8"/>
    </row>
    <row r="144" spans="1:14" x14ac:dyDescent="0.25">
      <c r="A144" t="s">
        <v>467</v>
      </c>
      <c r="B144" t="s">
        <v>25</v>
      </c>
      <c r="C144" t="s">
        <v>468</v>
      </c>
      <c r="D144" t="s">
        <v>468</v>
      </c>
      <c r="E144" t="s">
        <v>467</v>
      </c>
      <c r="F144" t="s">
        <v>469</v>
      </c>
      <c r="M144" s="7"/>
      <c r="N144" s="8"/>
    </row>
    <row r="145" spans="1:14" x14ac:dyDescent="0.25">
      <c r="A145" t="s">
        <v>470</v>
      </c>
      <c r="B145" t="s">
        <v>25</v>
      </c>
      <c r="C145" t="s">
        <v>471</v>
      </c>
      <c r="D145" t="s">
        <v>471</v>
      </c>
      <c r="E145" t="s">
        <v>470</v>
      </c>
      <c r="F145" t="s">
        <v>472</v>
      </c>
      <c r="M145" s="7"/>
      <c r="N145" s="8"/>
    </row>
    <row r="146" spans="1:14" x14ac:dyDescent="0.25">
      <c r="A146" t="s">
        <v>473</v>
      </c>
      <c r="B146" t="s">
        <v>25</v>
      </c>
      <c r="C146" t="s">
        <v>474</v>
      </c>
      <c r="D146" t="s">
        <v>474</v>
      </c>
      <c r="E146" t="s">
        <v>473</v>
      </c>
      <c r="F146" t="s">
        <v>475</v>
      </c>
      <c r="M146" s="7"/>
      <c r="N146" s="8"/>
    </row>
    <row r="147" spans="1:14" x14ac:dyDescent="0.25">
      <c r="A147" t="s">
        <v>476</v>
      </c>
      <c r="B147" t="s">
        <v>25</v>
      </c>
      <c r="C147" t="s">
        <v>477</v>
      </c>
      <c r="D147" t="s">
        <v>478</v>
      </c>
      <c r="E147" t="s">
        <v>476</v>
      </c>
      <c r="F147" t="s">
        <v>479</v>
      </c>
      <c r="M147" s="7"/>
      <c r="N147" s="8"/>
    </row>
    <row r="148" spans="1:14" x14ac:dyDescent="0.25">
      <c r="A148" t="s">
        <v>480</v>
      </c>
      <c r="B148" t="s">
        <v>481</v>
      </c>
      <c r="C148" t="s">
        <v>482</v>
      </c>
      <c r="D148" t="s">
        <v>482</v>
      </c>
      <c r="E148" t="s">
        <v>480</v>
      </c>
      <c r="F148" t="s">
        <v>483</v>
      </c>
      <c r="M148" s="7"/>
      <c r="N148" s="8"/>
    </row>
    <row r="149" spans="1:14" x14ac:dyDescent="0.25">
      <c r="A149" t="s">
        <v>484</v>
      </c>
      <c r="B149" t="s">
        <v>481</v>
      </c>
      <c r="C149" t="s">
        <v>485</v>
      </c>
      <c r="D149" t="s">
        <v>485</v>
      </c>
      <c r="E149" t="s">
        <v>484</v>
      </c>
      <c r="F149" t="s">
        <v>486</v>
      </c>
      <c r="M149" s="7"/>
      <c r="N149" s="8"/>
    </row>
    <row r="150" spans="1:14" x14ac:dyDescent="0.25">
      <c r="A150" t="s">
        <v>487</v>
      </c>
      <c r="B150" t="s">
        <v>13</v>
      </c>
      <c r="C150" t="s">
        <v>488</v>
      </c>
      <c r="D150" t="s">
        <v>488</v>
      </c>
      <c r="E150" t="s">
        <v>487</v>
      </c>
      <c r="F150" t="s">
        <v>489</v>
      </c>
      <c r="M150" s="7"/>
      <c r="N150" s="8"/>
    </row>
    <row r="151" spans="1:14" x14ac:dyDescent="0.25">
      <c r="A151" t="s">
        <v>490</v>
      </c>
      <c r="B151" t="s">
        <v>13</v>
      </c>
      <c r="C151" t="s">
        <v>491</v>
      </c>
      <c r="D151" t="s">
        <v>491</v>
      </c>
      <c r="E151" t="s">
        <v>490</v>
      </c>
      <c r="F151" t="s">
        <v>492</v>
      </c>
      <c r="M151" s="9"/>
      <c r="N151" s="9"/>
    </row>
    <row r="152" spans="1:14" x14ac:dyDescent="0.25">
      <c r="A152" t="s">
        <v>493</v>
      </c>
      <c r="B152" t="s">
        <v>493</v>
      </c>
      <c r="C152" t="s">
        <v>494</v>
      </c>
      <c r="D152" t="s">
        <v>494</v>
      </c>
      <c r="E152" t="s">
        <v>493</v>
      </c>
      <c r="F152" t="s">
        <v>495</v>
      </c>
      <c r="M152" s="7"/>
      <c r="N152" s="8"/>
    </row>
    <row r="153" spans="1:14" x14ac:dyDescent="0.25">
      <c r="A153" t="s">
        <v>496</v>
      </c>
      <c r="B153" t="s">
        <v>481</v>
      </c>
      <c r="C153" t="s">
        <v>497</v>
      </c>
      <c r="D153" t="s">
        <v>497</v>
      </c>
      <c r="E153" t="s">
        <v>496</v>
      </c>
      <c r="F153" t="s">
        <v>498</v>
      </c>
      <c r="M153" s="7"/>
      <c r="N153" s="8"/>
    </row>
    <row r="154" spans="1:14" x14ac:dyDescent="0.25">
      <c r="A154" t="s">
        <v>499</v>
      </c>
      <c r="B154" t="s">
        <v>481</v>
      </c>
      <c r="C154" t="s">
        <v>500</v>
      </c>
      <c r="D154" t="s">
        <v>500</v>
      </c>
      <c r="E154" t="s">
        <v>499</v>
      </c>
      <c r="F154" t="s">
        <v>501</v>
      </c>
      <c r="M154" s="7"/>
      <c r="N154" s="8"/>
    </row>
    <row r="155" spans="1:14" x14ac:dyDescent="0.25">
      <c r="A155" t="s">
        <v>502</v>
      </c>
      <c r="B155" t="s">
        <v>13</v>
      </c>
      <c r="C155" t="s">
        <v>503</v>
      </c>
      <c r="D155" t="s">
        <v>503</v>
      </c>
      <c r="E155" t="s">
        <v>502</v>
      </c>
      <c r="F155" t="s">
        <v>504</v>
      </c>
      <c r="M155" s="7"/>
      <c r="N155" s="8"/>
    </row>
    <row r="156" spans="1:14" x14ac:dyDescent="0.25">
      <c r="A156" t="s">
        <v>505</v>
      </c>
      <c r="B156" t="s">
        <v>13</v>
      </c>
      <c r="C156" t="s">
        <v>506</v>
      </c>
      <c r="D156" t="s">
        <v>506</v>
      </c>
      <c r="E156" t="s">
        <v>505</v>
      </c>
      <c r="F156" t="s">
        <v>507</v>
      </c>
      <c r="M156" s="7"/>
      <c r="N156" s="8"/>
    </row>
    <row r="157" spans="1:14" x14ac:dyDescent="0.25">
      <c r="A157" t="s">
        <v>508</v>
      </c>
      <c r="B157" t="s">
        <v>481</v>
      </c>
      <c r="C157" t="s">
        <v>509</v>
      </c>
      <c r="D157" t="s">
        <v>509</v>
      </c>
      <c r="E157" t="s">
        <v>508</v>
      </c>
      <c r="F157" t="s">
        <v>510</v>
      </c>
      <c r="M157" s="7"/>
      <c r="N157" s="8"/>
    </row>
    <row r="158" spans="1:14" x14ac:dyDescent="0.25">
      <c r="A158" t="s">
        <v>511</v>
      </c>
      <c r="B158" t="s">
        <v>481</v>
      </c>
      <c r="C158" t="s">
        <v>512</v>
      </c>
      <c r="D158" t="s">
        <v>512</v>
      </c>
      <c r="E158" t="s">
        <v>511</v>
      </c>
      <c r="F158" t="s">
        <v>513</v>
      </c>
      <c r="M158" s="7"/>
      <c r="N158" s="8"/>
    </row>
    <row r="159" spans="1:14" x14ac:dyDescent="0.25">
      <c r="A159" t="s">
        <v>514</v>
      </c>
      <c r="B159" t="s">
        <v>515</v>
      </c>
      <c r="C159" t="s">
        <v>516</v>
      </c>
      <c r="D159" t="s">
        <v>517</v>
      </c>
      <c r="E159" t="s">
        <v>514</v>
      </c>
      <c r="F159" t="s">
        <v>518</v>
      </c>
      <c r="M159" s="7"/>
      <c r="N159" s="8"/>
    </row>
    <row r="160" spans="1:14" x14ac:dyDescent="0.25">
      <c r="A160" t="s">
        <v>519</v>
      </c>
      <c r="B160" t="s">
        <v>520</v>
      </c>
      <c r="C160" t="s">
        <v>521</v>
      </c>
      <c r="D160" t="s">
        <v>521</v>
      </c>
      <c r="E160" t="s">
        <v>519</v>
      </c>
      <c r="F160" t="s">
        <v>522</v>
      </c>
      <c r="M160" s="7"/>
      <c r="N160" s="8"/>
    </row>
    <row r="161" spans="1:14" x14ac:dyDescent="0.25">
      <c r="A161" t="s">
        <v>523</v>
      </c>
      <c r="B161" t="s">
        <v>481</v>
      </c>
      <c r="C161" t="s">
        <v>524</v>
      </c>
      <c r="D161" t="s">
        <v>524</v>
      </c>
      <c r="E161" t="s">
        <v>523</v>
      </c>
      <c r="F161" t="s">
        <v>525</v>
      </c>
      <c r="M161" s="7"/>
      <c r="N161" s="8"/>
    </row>
    <row r="162" spans="1:14" x14ac:dyDescent="0.25">
      <c r="A162" t="s">
        <v>526</v>
      </c>
      <c r="B162" t="s">
        <v>527</v>
      </c>
      <c r="C162" t="s">
        <v>528</v>
      </c>
      <c r="D162" t="s">
        <v>528</v>
      </c>
      <c r="E162" t="s">
        <v>526</v>
      </c>
      <c r="F162" t="s">
        <v>529</v>
      </c>
      <c r="M162" s="7"/>
      <c r="N162" s="8"/>
    </row>
    <row r="163" spans="1:14" x14ac:dyDescent="0.25">
      <c r="A163" t="s">
        <v>15</v>
      </c>
      <c r="B163" t="s">
        <v>15</v>
      </c>
      <c r="C163" t="s">
        <v>530</v>
      </c>
      <c r="D163" t="s">
        <v>530</v>
      </c>
      <c r="E163" t="s">
        <v>15</v>
      </c>
      <c r="F163" t="s">
        <v>531</v>
      </c>
      <c r="M163" s="7"/>
      <c r="N163" s="8"/>
    </row>
    <row r="164" spans="1:14" x14ac:dyDescent="0.25">
      <c r="A164" t="s">
        <v>532</v>
      </c>
      <c r="B164" t="s">
        <v>481</v>
      </c>
      <c r="C164" t="s">
        <v>533</v>
      </c>
      <c r="D164" t="s">
        <v>533</v>
      </c>
      <c r="E164" t="s">
        <v>532</v>
      </c>
      <c r="F164" t="s">
        <v>534</v>
      </c>
      <c r="M164" s="7"/>
      <c r="N164" s="8"/>
    </row>
    <row r="165" spans="1:14" x14ac:dyDescent="0.25">
      <c r="A165" t="s">
        <v>535</v>
      </c>
      <c r="B165" t="s">
        <v>13</v>
      </c>
      <c r="C165" t="s">
        <v>536</v>
      </c>
      <c r="D165" t="s">
        <v>536</v>
      </c>
      <c r="E165" t="s">
        <v>535</v>
      </c>
      <c r="F165" t="s">
        <v>537</v>
      </c>
      <c r="M165" s="7"/>
      <c r="N165" s="8"/>
    </row>
    <row r="166" spans="1:14" x14ac:dyDescent="0.25">
      <c r="A166" t="s">
        <v>538</v>
      </c>
      <c r="B166" t="s">
        <v>520</v>
      </c>
      <c r="C166" t="s">
        <v>539</v>
      </c>
      <c r="D166" t="s">
        <v>539</v>
      </c>
      <c r="E166" t="s">
        <v>538</v>
      </c>
      <c r="F166" t="s">
        <v>540</v>
      </c>
      <c r="M166" s="7"/>
      <c r="N166" s="8"/>
    </row>
    <row r="167" spans="1:14" x14ac:dyDescent="0.25">
      <c r="A167" t="s">
        <v>541</v>
      </c>
      <c r="B167" t="s">
        <v>541</v>
      </c>
      <c r="C167" t="s">
        <v>542</v>
      </c>
      <c r="D167" t="s">
        <v>542</v>
      </c>
      <c r="E167" t="s">
        <v>541</v>
      </c>
      <c r="F167" t="s">
        <v>543</v>
      </c>
      <c r="M167" s="7"/>
      <c r="N167" s="8"/>
    </row>
    <row r="168" spans="1:14" x14ac:dyDescent="0.25">
      <c r="A168" t="s">
        <v>544</v>
      </c>
      <c r="B168" t="s">
        <v>541</v>
      </c>
      <c r="C168" t="s">
        <v>545</v>
      </c>
      <c r="D168" t="s">
        <v>545</v>
      </c>
      <c r="E168" t="s">
        <v>544</v>
      </c>
      <c r="F168" t="s">
        <v>546</v>
      </c>
      <c r="M168" s="7"/>
      <c r="N168" s="8"/>
    </row>
    <row r="169" spans="1:14" x14ac:dyDescent="0.25">
      <c r="A169" t="s">
        <v>547</v>
      </c>
      <c r="B169" t="s">
        <v>520</v>
      </c>
      <c r="C169" t="s">
        <v>548</v>
      </c>
      <c r="D169" t="s">
        <v>548</v>
      </c>
      <c r="E169" t="s">
        <v>547</v>
      </c>
      <c r="F169" t="s">
        <v>549</v>
      </c>
      <c r="M169" s="7"/>
      <c r="N169" s="8"/>
    </row>
    <row r="170" spans="1:14" x14ac:dyDescent="0.25">
      <c r="A170" t="s">
        <v>550</v>
      </c>
      <c r="B170" t="s">
        <v>13</v>
      </c>
      <c r="C170" t="s">
        <v>551</v>
      </c>
      <c r="D170" t="s">
        <v>551</v>
      </c>
      <c r="E170" t="s">
        <v>550</v>
      </c>
      <c r="F170" t="s">
        <v>552</v>
      </c>
      <c r="M170" s="7"/>
      <c r="N170" s="8"/>
    </row>
    <row r="171" spans="1:14" x14ac:dyDescent="0.25">
      <c r="A171" t="s">
        <v>553</v>
      </c>
      <c r="B171" t="s">
        <v>553</v>
      </c>
      <c r="C171" t="s">
        <v>554</v>
      </c>
      <c r="D171" t="s">
        <v>555</v>
      </c>
      <c r="E171" t="s">
        <v>553</v>
      </c>
      <c r="F171" t="s">
        <v>556</v>
      </c>
      <c r="M171" s="7"/>
      <c r="N171" s="8"/>
    </row>
    <row r="172" spans="1:14" x14ac:dyDescent="0.25">
      <c r="A172" t="s">
        <v>557</v>
      </c>
      <c r="B172" t="s">
        <v>515</v>
      </c>
      <c r="C172" t="s">
        <v>558</v>
      </c>
      <c r="D172" t="s">
        <v>558</v>
      </c>
      <c r="E172" t="s">
        <v>557</v>
      </c>
      <c r="F172" t="s">
        <v>559</v>
      </c>
      <c r="M172" s="9"/>
      <c r="N172" s="9"/>
    </row>
    <row r="173" spans="1:14" x14ac:dyDescent="0.25">
      <c r="A173" t="s">
        <v>560</v>
      </c>
      <c r="B173" t="s">
        <v>541</v>
      </c>
      <c r="C173" t="s">
        <v>561</v>
      </c>
      <c r="D173" t="s">
        <v>562</v>
      </c>
      <c r="E173" t="s">
        <v>560</v>
      </c>
      <c r="F173" t="s">
        <v>563</v>
      </c>
      <c r="M173" s="7"/>
      <c r="N173" s="8"/>
    </row>
    <row r="174" spans="1:14" x14ac:dyDescent="0.25">
      <c r="A174" t="s">
        <v>564</v>
      </c>
      <c r="B174" t="s">
        <v>564</v>
      </c>
      <c r="C174" t="s">
        <v>565</v>
      </c>
      <c r="D174" t="s">
        <v>565</v>
      </c>
      <c r="E174" t="s">
        <v>564</v>
      </c>
      <c r="F174" t="s">
        <v>566</v>
      </c>
      <c r="M174" s="7"/>
      <c r="N174" s="8"/>
    </row>
    <row r="175" spans="1:14" x14ac:dyDescent="0.25">
      <c r="A175" t="s">
        <v>567</v>
      </c>
      <c r="B175" t="s">
        <v>527</v>
      </c>
      <c r="C175" t="s">
        <v>568</v>
      </c>
      <c r="D175" t="s">
        <v>568</v>
      </c>
      <c r="E175" t="s">
        <v>567</v>
      </c>
      <c r="F175" t="s">
        <v>569</v>
      </c>
      <c r="M175" s="7"/>
      <c r="N175" s="8"/>
    </row>
    <row r="176" spans="1:14" x14ac:dyDescent="0.25">
      <c r="A176" t="s">
        <v>570</v>
      </c>
      <c r="B176" t="s">
        <v>481</v>
      </c>
      <c r="C176" t="s">
        <v>571</v>
      </c>
      <c r="D176" t="s">
        <v>571</v>
      </c>
      <c r="E176" t="s">
        <v>570</v>
      </c>
      <c r="F176" t="s">
        <v>572</v>
      </c>
      <c r="M176" s="7"/>
      <c r="N176" s="8"/>
    </row>
    <row r="177" spans="1:14" x14ac:dyDescent="0.25">
      <c r="A177" t="s">
        <v>573</v>
      </c>
      <c r="B177" t="s">
        <v>13</v>
      </c>
      <c r="C177" t="s">
        <v>574</v>
      </c>
      <c r="D177" t="s">
        <v>574</v>
      </c>
      <c r="E177" t="s">
        <v>573</v>
      </c>
      <c r="F177" t="s">
        <v>575</v>
      </c>
      <c r="M177" s="7"/>
      <c r="N177" s="8"/>
    </row>
    <row r="178" spans="1:14" x14ac:dyDescent="0.25">
      <c r="A178" t="s">
        <v>576</v>
      </c>
      <c r="B178" t="s">
        <v>13</v>
      </c>
      <c r="C178" t="s">
        <v>577</v>
      </c>
      <c r="D178" t="s">
        <v>578</v>
      </c>
      <c r="E178" t="s">
        <v>576</v>
      </c>
      <c r="F178" t="s">
        <v>579</v>
      </c>
      <c r="M178" s="7"/>
      <c r="N178" s="8"/>
    </row>
    <row r="179" spans="1:14" x14ac:dyDescent="0.25">
      <c r="A179" t="s">
        <v>580</v>
      </c>
      <c r="B179" t="s">
        <v>13</v>
      </c>
      <c r="C179" t="s">
        <v>581</v>
      </c>
      <c r="D179" t="s">
        <v>581</v>
      </c>
      <c r="E179" t="s">
        <v>580</v>
      </c>
      <c r="F179" t="s">
        <v>582</v>
      </c>
      <c r="M179" s="7"/>
      <c r="N179" s="8"/>
    </row>
    <row r="180" spans="1:14" x14ac:dyDescent="0.25">
      <c r="A180" t="s">
        <v>583</v>
      </c>
      <c r="B180" t="s">
        <v>481</v>
      </c>
      <c r="C180" t="s">
        <v>584</v>
      </c>
      <c r="D180" t="s">
        <v>584</v>
      </c>
      <c r="E180" t="s">
        <v>583</v>
      </c>
      <c r="F180" t="s">
        <v>585</v>
      </c>
      <c r="M180" s="7"/>
      <c r="N180" s="8"/>
    </row>
    <row r="181" spans="1:14" x14ac:dyDescent="0.25">
      <c r="A181" t="s">
        <v>586</v>
      </c>
      <c r="B181" t="s">
        <v>481</v>
      </c>
      <c r="C181" t="s">
        <v>587</v>
      </c>
      <c r="D181" t="s">
        <v>587</v>
      </c>
      <c r="E181" t="s">
        <v>586</v>
      </c>
      <c r="F181" t="s">
        <v>588</v>
      </c>
      <c r="M181" s="7"/>
      <c r="N181" s="8"/>
    </row>
    <row r="182" spans="1:14" x14ac:dyDescent="0.25">
      <c r="A182" t="s">
        <v>589</v>
      </c>
      <c r="B182" t="s">
        <v>520</v>
      </c>
      <c r="C182" t="s">
        <v>590</v>
      </c>
      <c r="D182" t="s">
        <v>590</v>
      </c>
      <c r="E182" t="s">
        <v>589</v>
      </c>
      <c r="F182" t="s">
        <v>591</v>
      </c>
      <c r="M182" s="7"/>
      <c r="N182" s="8"/>
    </row>
    <row r="183" spans="1:14" x14ac:dyDescent="0.25">
      <c r="A183" t="s">
        <v>592</v>
      </c>
      <c r="B183" t="s">
        <v>13</v>
      </c>
      <c r="C183" t="s">
        <v>593</v>
      </c>
      <c r="D183" t="s">
        <v>593</v>
      </c>
      <c r="E183" t="s">
        <v>592</v>
      </c>
      <c r="F183" t="s">
        <v>594</v>
      </c>
      <c r="M183" s="9"/>
      <c r="N183" s="9"/>
    </row>
    <row r="184" spans="1:14" x14ac:dyDescent="0.25">
      <c r="A184" t="s">
        <v>595</v>
      </c>
      <c r="B184" t="s">
        <v>13</v>
      </c>
      <c r="C184" t="s">
        <v>596</v>
      </c>
      <c r="D184" t="s">
        <v>596</v>
      </c>
      <c r="E184" t="s">
        <v>595</v>
      </c>
      <c r="F184" t="s">
        <v>597</v>
      </c>
      <c r="M184" s="7"/>
      <c r="N184" s="8"/>
    </row>
    <row r="185" spans="1:14" x14ac:dyDescent="0.25">
      <c r="A185" t="s">
        <v>598</v>
      </c>
      <c r="B185" t="s">
        <v>13</v>
      </c>
      <c r="C185" t="s">
        <v>599</v>
      </c>
      <c r="D185" t="s">
        <v>599</v>
      </c>
      <c r="E185" t="s">
        <v>598</v>
      </c>
      <c r="F185" t="s">
        <v>600</v>
      </c>
      <c r="M185" s="7"/>
      <c r="N185" s="8"/>
    </row>
    <row r="186" spans="1:14" x14ac:dyDescent="0.25">
      <c r="A186" t="s">
        <v>601</v>
      </c>
      <c r="B186" t="s">
        <v>481</v>
      </c>
      <c r="C186" t="s">
        <v>602</v>
      </c>
      <c r="D186" t="s">
        <v>602</v>
      </c>
      <c r="E186" t="s">
        <v>601</v>
      </c>
      <c r="F186" t="s">
        <v>603</v>
      </c>
      <c r="M186" s="7"/>
      <c r="N186" s="8"/>
    </row>
    <row r="187" spans="1:14" x14ac:dyDescent="0.25">
      <c r="A187" t="s">
        <v>604</v>
      </c>
      <c r="B187" t="s">
        <v>481</v>
      </c>
      <c r="C187" t="s">
        <v>605</v>
      </c>
      <c r="D187" t="s">
        <v>605</v>
      </c>
      <c r="E187" t="s">
        <v>604</v>
      </c>
      <c r="F187" t="s">
        <v>606</v>
      </c>
      <c r="M187" s="7"/>
      <c r="N187" s="8"/>
    </row>
    <row r="188" spans="1:14" x14ac:dyDescent="0.25">
      <c r="A188" t="s">
        <v>607</v>
      </c>
      <c r="B188" t="s">
        <v>13</v>
      </c>
      <c r="C188" t="s">
        <v>608</v>
      </c>
      <c r="D188" t="s">
        <v>608</v>
      </c>
      <c r="E188" t="s">
        <v>607</v>
      </c>
      <c r="F188" t="s">
        <v>609</v>
      </c>
      <c r="M188" s="9"/>
      <c r="N188" s="9"/>
    </row>
    <row r="189" spans="1:14" x14ac:dyDescent="0.25">
      <c r="A189" t="s">
        <v>610</v>
      </c>
      <c r="B189" t="s">
        <v>527</v>
      </c>
      <c r="C189" t="s">
        <v>611</v>
      </c>
      <c r="D189" t="s">
        <v>611</v>
      </c>
      <c r="E189" t="s">
        <v>610</v>
      </c>
      <c r="F189" t="s">
        <v>612</v>
      </c>
      <c r="M189" s="7"/>
      <c r="N189" s="8"/>
    </row>
    <row r="190" spans="1:14" x14ac:dyDescent="0.25">
      <c r="A190" t="s">
        <v>613</v>
      </c>
      <c r="B190" t="s">
        <v>613</v>
      </c>
      <c r="C190" t="s">
        <v>614</v>
      </c>
      <c r="D190" t="s">
        <v>614</v>
      </c>
      <c r="E190" t="s">
        <v>613</v>
      </c>
      <c r="F190" t="s">
        <v>615</v>
      </c>
      <c r="M190" s="7"/>
      <c r="N190" s="8"/>
    </row>
    <row r="191" spans="1:14" x14ac:dyDescent="0.25">
      <c r="A191" t="s">
        <v>616</v>
      </c>
      <c r="B191" t="s">
        <v>527</v>
      </c>
      <c r="C191" t="s">
        <v>617</v>
      </c>
      <c r="D191" t="s">
        <v>617</v>
      </c>
      <c r="E191" t="s">
        <v>616</v>
      </c>
      <c r="F191" t="s">
        <v>618</v>
      </c>
      <c r="M191" s="7"/>
      <c r="N191" s="8"/>
    </row>
    <row r="192" spans="1:14" x14ac:dyDescent="0.25">
      <c r="A192" t="s">
        <v>619</v>
      </c>
      <c r="B192" t="s">
        <v>481</v>
      </c>
      <c r="C192" t="s">
        <v>620</v>
      </c>
      <c r="D192" t="s">
        <v>620</v>
      </c>
      <c r="E192" t="s">
        <v>619</v>
      </c>
      <c r="F192" t="s">
        <v>621</v>
      </c>
      <c r="M192" s="9"/>
      <c r="N192" s="9"/>
    </row>
    <row r="193" spans="1:14" x14ac:dyDescent="0.25">
      <c r="A193" t="s">
        <v>622</v>
      </c>
      <c r="B193" t="s">
        <v>13</v>
      </c>
      <c r="C193" t="s">
        <v>623</v>
      </c>
      <c r="D193" t="s">
        <v>623</v>
      </c>
      <c r="E193" t="s">
        <v>622</v>
      </c>
      <c r="F193" t="s">
        <v>624</v>
      </c>
      <c r="M193" s="7"/>
      <c r="N193" s="8"/>
    </row>
    <row r="194" spans="1:14" x14ac:dyDescent="0.25">
      <c r="A194" t="s">
        <v>625</v>
      </c>
      <c r="B194" t="s">
        <v>515</v>
      </c>
      <c r="C194" t="s">
        <v>626</v>
      </c>
      <c r="D194" t="s">
        <v>626</v>
      </c>
      <c r="E194" t="s">
        <v>625</v>
      </c>
      <c r="F194" t="s">
        <v>627</v>
      </c>
      <c r="M194" s="7"/>
      <c r="N194" s="8"/>
    </row>
    <row r="195" spans="1:14" x14ac:dyDescent="0.25">
      <c r="A195" t="s">
        <v>628</v>
      </c>
      <c r="B195" t="s">
        <v>13</v>
      </c>
      <c r="C195" t="s">
        <v>629</v>
      </c>
      <c r="D195" t="s">
        <v>629</v>
      </c>
      <c r="E195" t="s">
        <v>628</v>
      </c>
      <c r="F195" t="s">
        <v>630</v>
      </c>
      <c r="M195" s="7"/>
      <c r="N195" s="8"/>
    </row>
    <row r="196" spans="1:14" x14ac:dyDescent="0.25">
      <c r="A196" t="s">
        <v>631</v>
      </c>
      <c r="B196" t="s">
        <v>631</v>
      </c>
      <c r="C196" t="s">
        <v>632</v>
      </c>
      <c r="D196" t="s">
        <v>632</v>
      </c>
      <c r="E196" t="s">
        <v>631</v>
      </c>
      <c r="F196" t="s">
        <v>633</v>
      </c>
      <c r="M196" s="7"/>
      <c r="N196" s="8"/>
    </row>
    <row r="197" spans="1:14" x14ac:dyDescent="0.25">
      <c r="A197" t="s">
        <v>634</v>
      </c>
      <c r="B197" t="s">
        <v>515</v>
      </c>
      <c r="C197" t="s">
        <v>635</v>
      </c>
      <c r="D197" t="s">
        <v>635</v>
      </c>
      <c r="E197" t="s">
        <v>634</v>
      </c>
      <c r="F197" t="s">
        <v>636</v>
      </c>
      <c r="M197" s="7"/>
      <c r="N197" s="8"/>
    </row>
    <row r="198" spans="1:14" x14ac:dyDescent="0.25">
      <c r="A198" t="s">
        <v>637</v>
      </c>
      <c r="B198" t="s">
        <v>13</v>
      </c>
      <c r="C198" t="s">
        <v>638</v>
      </c>
      <c r="D198" t="s">
        <v>638</v>
      </c>
      <c r="E198" t="s">
        <v>637</v>
      </c>
      <c r="F198" t="s">
        <v>639</v>
      </c>
      <c r="M198" s="7"/>
      <c r="N198" s="8"/>
    </row>
    <row r="199" spans="1:14" x14ac:dyDescent="0.25">
      <c r="A199" t="s">
        <v>640</v>
      </c>
      <c r="B199" t="s">
        <v>481</v>
      </c>
      <c r="C199" t="s">
        <v>641</v>
      </c>
      <c r="D199" t="s">
        <v>641</v>
      </c>
      <c r="E199" t="s">
        <v>640</v>
      </c>
      <c r="F199" t="s">
        <v>642</v>
      </c>
      <c r="M199" s="7"/>
      <c r="N199" s="8"/>
    </row>
    <row r="200" spans="1:14" x14ac:dyDescent="0.25">
      <c r="A200" t="s">
        <v>643</v>
      </c>
      <c r="B200" t="s">
        <v>643</v>
      </c>
      <c r="C200" t="s">
        <v>644</v>
      </c>
      <c r="D200" t="s">
        <v>644</v>
      </c>
      <c r="E200" t="s">
        <v>643</v>
      </c>
      <c r="F200" t="s">
        <v>645</v>
      </c>
      <c r="M200" s="7"/>
      <c r="N200" s="8"/>
    </row>
    <row r="201" spans="1:14" x14ac:dyDescent="0.25">
      <c r="A201" t="s">
        <v>646</v>
      </c>
      <c r="B201" t="s">
        <v>481</v>
      </c>
      <c r="C201" t="s">
        <v>647</v>
      </c>
      <c r="D201" t="s">
        <v>648</v>
      </c>
      <c r="E201" t="s">
        <v>646</v>
      </c>
      <c r="F201" t="s">
        <v>649</v>
      </c>
      <c r="M201" s="7"/>
      <c r="N201" s="8"/>
    </row>
    <row r="202" spans="1:14" x14ac:dyDescent="0.25">
      <c r="A202" t="s">
        <v>650</v>
      </c>
      <c r="B202" t="s">
        <v>481</v>
      </c>
      <c r="C202" t="s">
        <v>651</v>
      </c>
      <c r="D202" t="s">
        <v>651</v>
      </c>
      <c r="E202" t="s">
        <v>650</v>
      </c>
      <c r="F202" t="s">
        <v>652</v>
      </c>
      <c r="M202" s="7"/>
      <c r="N202" s="8"/>
    </row>
    <row r="203" spans="1:14" x14ac:dyDescent="0.25">
      <c r="A203" t="s">
        <v>653</v>
      </c>
      <c r="B203" t="s">
        <v>481</v>
      </c>
      <c r="C203" t="s">
        <v>654</v>
      </c>
      <c r="D203" t="s">
        <v>654</v>
      </c>
      <c r="E203" t="s">
        <v>653</v>
      </c>
      <c r="F203" t="s">
        <v>655</v>
      </c>
      <c r="M203" s="9"/>
      <c r="N203" s="9"/>
    </row>
    <row r="204" spans="1:14" x14ac:dyDescent="0.25">
      <c r="A204" t="s">
        <v>656</v>
      </c>
      <c r="B204" t="s">
        <v>13</v>
      </c>
      <c r="C204" t="s">
        <v>657</v>
      </c>
      <c r="D204" t="s">
        <v>657</v>
      </c>
      <c r="E204" t="s">
        <v>656</v>
      </c>
      <c r="F204" t="s">
        <v>658</v>
      </c>
      <c r="M204" s="7"/>
      <c r="N204" s="8"/>
    </row>
    <row r="205" spans="1:14" x14ac:dyDescent="0.25">
      <c r="A205" t="s">
        <v>659</v>
      </c>
      <c r="B205" t="s">
        <v>13</v>
      </c>
      <c r="C205" t="s">
        <v>660</v>
      </c>
      <c r="D205" t="s">
        <v>660</v>
      </c>
      <c r="E205" t="s">
        <v>659</v>
      </c>
      <c r="F205" t="s">
        <v>661</v>
      </c>
      <c r="M205" s="7"/>
      <c r="N205" s="8"/>
    </row>
    <row r="206" spans="1:14" x14ac:dyDescent="0.25">
      <c r="A206" t="s">
        <v>662</v>
      </c>
      <c r="B206" t="s">
        <v>13</v>
      </c>
      <c r="C206" t="s">
        <v>663</v>
      </c>
      <c r="D206" t="s">
        <v>663</v>
      </c>
      <c r="E206" t="s">
        <v>662</v>
      </c>
      <c r="F206" t="s">
        <v>664</v>
      </c>
      <c r="M206" s="7"/>
      <c r="N206" s="8"/>
    </row>
    <row r="207" spans="1:14" x14ac:dyDescent="0.25">
      <c r="A207" t="s">
        <v>665</v>
      </c>
      <c r="B207" t="s">
        <v>13</v>
      </c>
      <c r="C207" t="s">
        <v>666</v>
      </c>
      <c r="D207" t="s">
        <v>666</v>
      </c>
      <c r="E207" t="s">
        <v>665</v>
      </c>
      <c r="F207" t="s">
        <v>667</v>
      </c>
      <c r="M207" s="7"/>
      <c r="N207" s="8"/>
    </row>
    <row r="208" spans="1:14" x14ac:dyDescent="0.25">
      <c r="A208" t="s">
        <v>668</v>
      </c>
      <c r="B208" t="s">
        <v>481</v>
      </c>
      <c r="C208" t="s">
        <v>669</v>
      </c>
      <c r="D208" t="s">
        <v>670</v>
      </c>
      <c r="E208" t="s">
        <v>668</v>
      </c>
      <c r="F208" t="s">
        <v>671</v>
      </c>
      <c r="M208" s="7"/>
      <c r="N208" s="8"/>
    </row>
    <row r="209" spans="1:14" x14ac:dyDescent="0.25">
      <c r="A209" t="s">
        <v>672</v>
      </c>
      <c r="B209" t="s">
        <v>13</v>
      </c>
      <c r="C209" t="s">
        <v>673</v>
      </c>
      <c r="D209" t="s">
        <v>674</v>
      </c>
      <c r="E209" t="s">
        <v>672</v>
      </c>
      <c r="F209" t="s">
        <v>675</v>
      </c>
      <c r="M209" s="7"/>
      <c r="N209" s="8"/>
    </row>
    <row r="210" spans="1:14" x14ac:dyDescent="0.25">
      <c r="A210" t="s">
        <v>676</v>
      </c>
      <c r="B210" t="s">
        <v>541</v>
      </c>
      <c r="C210" t="s">
        <v>677</v>
      </c>
      <c r="D210" t="s">
        <v>678</v>
      </c>
      <c r="E210" t="s">
        <v>676</v>
      </c>
      <c r="F210" t="s">
        <v>679</v>
      </c>
      <c r="M210" s="9"/>
      <c r="N210" s="9"/>
    </row>
    <row r="211" spans="1:14" x14ac:dyDescent="0.25">
      <c r="A211" t="s">
        <v>680</v>
      </c>
      <c r="B211" t="s">
        <v>481</v>
      </c>
      <c r="C211" t="s">
        <v>681</v>
      </c>
      <c r="D211" t="s">
        <v>681</v>
      </c>
      <c r="E211" t="s">
        <v>680</v>
      </c>
      <c r="F211" t="s">
        <v>682</v>
      </c>
      <c r="M211" s="7"/>
      <c r="N211" s="8"/>
    </row>
    <row r="212" spans="1:14" x14ac:dyDescent="0.25">
      <c r="A212" t="s">
        <v>683</v>
      </c>
      <c r="B212" t="s">
        <v>481</v>
      </c>
      <c r="C212" t="s">
        <v>684</v>
      </c>
      <c r="D212" t="s">
        <v>684</v>
      </c>
      <c r="E212" t="s">
        <v>683</v>
      </c>
      <c r="F212" t="s">
        <v>685</v>
      </c>
      <c r="M212" s="7"/>
      <c r="N212" s="8"/>
    </row>
    <row r="213" spans="1:14" x14ac:dyDescent="0.25">
      <c r="A213" t="s">
        <v>686</v>
      </c>
      <c r="B213" t="s">
        <v>686</v>
      </c>
      <c r="C213" t="s">
        <v>687</v>
      </c>
      <c r="D213" t="s">
        <v>687</v>
      </c>
      <c r="E213" t="s">
        <v>686</v>
      </c>
      <c r="F213" t="s">
        <v>688</v>
      </c>
      <c r="M213" s="7"/>
      <c r="N213" s="8"/>
    </row>
    <row r="214" spans="1:14" x14ac:dyDescent="0.25">
      <c r="A214" t="s">
        <v>689</v>
      </c>
      <c r="B214" t="s">
        <v>515</v>
      </c>
      <c r="C214" t="s">
        <v>690</v>
      </c>
      <c r="D214" t="s">
        <v>690</v>
      </c>
      <c r="E214" t="s">
        <v>689</v>
      </c>
      <c r="F214" t="s">
        <v>691</v>
      </c>
      <c r="M214" s="7"/>
      <c r="N214" s="8"/>
    </row>
    <row r="215" spans="1:14" x14ac:dyDescent="0.25">
      <c r="A215" t="s">
        <v>692</v>
      </c>
      <c r="B215" t="s">
        <v>527</v>
      </c>
      <c r="C215" t="s">
        <v>693</v>
      </c>
      <c r="D215" t="s">
        <v>693</v>
      </c>
      <c r="E215" t="s">
        <v>692</v>
      </c>
      <c r="F215" t="s">
        <v>694</v>
      </c>
      <c r="M215" s="7"/>
      <c r="N215" s="8"/>
    </row>
    <row r="216" spans="1:14" x14ac:dyDescent="0.25">
      <c r="A216" t="s">
        <v>695</v>
      </c>
      <c r="B216" t="s">
        <v>13</v>
      </c>
      <c r="C216" t="s">
        <v>696</v>
      </c>
      <c r="D216" t="s">
        <v>696</v>
      </c>
      <c r="E216" t="s">
        <v>695</v>
      </c>
      <c r="F216" t="s">
        <v>697</v>
      </c>
      <c r="M216" s="7"/>
      <c r="N216" s="8"/>
    </row>
    <row r="217" spans="1:14" x14ac:dyDescent="0.25">
      <c r="A217" t="s">
        <v>698</v>
      </c>
      <c r="B217" t="s">
        <v>13</v>
      </c>
      <c r="C217" t="s">
        <v>699</v>
      </c>
      <c r="D217" t="s">
        <v>699</v>
      </c>
      <c r="E217" t="s">
        <v>698</v>
      </c>
      <c r="F217" t="s">
        <v>700</v>
      </c>
      <c r="M217" s="7"/>
      <c r="N217" s="8"/>
    </row>
    <row r="218" spans="1:14" x14ac:dyDescent="0.25">
      <c r="A218" t="s">
        <v>701</v>
      </c>
      <c r="B218" t="s">
        <v>701</v>
      </c>
      <c r="C218" t="s">
        <v>702</v>
      </c>
      <c r="D218" t="s">
        <v>702</v>
      </c>
      <c r="E218" t="s">
        <v>701</v>
      </c>
      <c r="F218" t="s">
        <v>703</v>
      </c>
      <c r="M218" s="7"/>
      <c r="N218" s="8"/>
    </row>
    <row r="219" spans="1:14" x14ac:dyDescent="0.25">
      <c r="A219" t="s">
        <v>704</v>
      </c>
      <c r="B219" t="s">
        <v>527</v>
      </c>
      <c r="C219" t="s">
        <v>705</v>
      </c>
      <c r="D219" t="s">
        <v>705</v>
      </c>
      <c r="E219" t="s">
        <v>704</v>
      </c>
      <c r="F219" t="s">
        <v>706</v>
      </c>
      <c r="M219" s="7"/>
      <c r="N219" s="8"/>
    </row>
    <row r="220" spans="1:14" x14ac:dyDescent="0.25">
      <c r="A220" t="s">
        <v>707</v>
      </c>
      <c r="B220" t="s">
        <v>520</v>
      </c>
      <c r="C220" t="s">
        <v>708</v>
      </c>
      <c r="D220" t="s">
        <v>708</v>
      </c>
      <c r="E220" t="s">
        <v>707</v>
      </c>
      <c r="F220" t="s">
        <v>709</v>
      </c>
      <c r="M220" s="7"/>
      <c r="N220" s="8"/>
    </row>
    <row r="221" spans="1:14" x14ac:dyDescent="0.25">
      <c r="A221" t="s">
        <v>710</v>
      </c>
      <c r="B221" t="s">
        <v>710</v>
      </c>
      <c r="C221" t="s">
        <v>711</v>
      </c>
      <c r="D221" t="s">
        <v>711</v>
      </c>
      <c r="E221" t="s">
        <v>710</v>
      </c>
      <c r="F221" t="s">
        <v>712</v>
      </c>
      <c r="M221" s="7"/>
      <c r="N221" s="8"/>
    </row>
    <row r="222" spans="1:14" x14ac:dyDescent="0.25">
      <c r="A222" t="s">
        <v>713</v>
      </c>
      <c r="B222" t="s">
        <v>13</v>
      </c>
      <c r="C222" t="s">
        <v>714</v>
      </c>
      <c r="D222" t="s">
        <v>714</v>
      </c>
      <c r="E222" t="s">
        <v>713</v>
      </c>
      <c r="F222" t="s">
        <v>715</v>
      </c>
      <c r="M222" s="7"/>
      <c r="N222" s="8"/>
    </row>
    <row r="223" spans="1:14" x14ac:dyDescent="0.25">
      <c r="A223" t="s">
        <v>716</v>
      </c>
      <c r="B223" t="s">
        <v>13</v>
      </c>
      <c r="C223" t="s">
        <v>717</v>
      </c>
      <c r="D223" t="s">
        <v>717</v>
      </c>
      <c r="E223" t="s">
        <v>716</v>
      </c>
      <c r="F223" t="s">
        <v>718</v>
      </c>
      <c r="M223" s="7"/>
      <c r="N223" s="8"/>
    </row>
    <row r="224" spans="1:14" x14ac:dyDescent="0.25">
      <c r="A224" t="s">
        <v>719</v>
      </c>
      <c r="B224" t="s">
        <v>13</v>
      </c>
      <c r="C224" t="s">
        <v>720</v>
      </c>
      <c r="D224" t="s">
        <v>720</v>
      </c>
      <c r="E224" t="s">
        <v>719</v>
      </c>
      <c r="F224" t="s">
        <v>721</v>
      </c>
      <c r="M224" s="9"/>
      <c r="N224" s="9"/>
    </row>
    <row r="225" spans="1:14" x14ac:dyDescent="0.25">
      <c r="A225" t="s">
        <v>722</v>
      </c>
      <c r="B225" t="s">
        <v>13</v>
      </c>
      <c r="C225" t="s">
        <v>723</v>
      </c>
      <c r="D225" t="s">
        <v>724</v>
      </c>
      <c r="E225" t="s">
        <v>722</v>
      </c>
      <c r="F225" t="s">
        <v>725</v>
      </c>
      <c r="M225" s="7"/>
      <c r="N225" s="8"/>
    </row>
    <row r="226" spans="1:14" x14ac:dyDescent="0.25">
      <c r="A226" t="s">
        <v>726</v>
      </c>
      <c r="B226" t="s">
        <v>13</v>
      </c>
      <c r="C226" t="s">
        <v>727</v>
      </c>
      <c r="D226" t="s">
        <v>727</v>
      </c>
      <c r="E226" t="s">
        <v>726</v>
      </c>
      <c r="F226" t="s">
        <v>728</v>
      </c>
      <c r="M226" s="7"/>
      <c r="N226" s="8"/>
    </row>
    <row r="227" spans="1:14" x14ac:dyDescent="0.25">
      <c r="A227" t="s">
        <v>729</v>
      </c>
      <c r="B227" t="s">
        <v>515</v>
      </c>
      <c r="C227" t="s">
        <v>730</v>
      </c>
      <c r="D227" t="s">
        <v>730</v>
      </c>
      <c r="E227" t="s">
        <v>729</v>
      </c>
      <c r="F227" t="s">
        <v>731</v>
      </c>
      <c r="M227" s="7"/>
      <c r="N227" s="8"/>
    </row>
    <row r="228" spans="1:14" x14ac:dyDescent="0.25">
      <c r="A228" t="s">
        <v>732</v>
      </c>
      <c r="B228" t="s">
        <v>13</v>
      </c>
      <c r="C228" t="s">
        <v>733</v>
      </c>
      <c r="D228" t="s">
        <v>733</v>
      </c>
      <c r="E228" t="s">
        <v>732</v>
      </c>
      <c r="F228" t="s">
        <v>734</v>
      </c>
      <c r="M228" s="7"/>
      <c r="N228" s="8"/>
    </row>
    <row r="229" spans="1:14" x14ac:dyDescent="0.25">
      <c r="A229" t="s">
        <v>735</v>
      </c>
      <c r="B229" t="s">
        <v>13</v>
      </c>
      <c r="C229" t="s">
        <v>736</v>
      </c>
      <c r="D229" t="s">
        <v>736</v>
      </c>
      <c r="E229" t="s">
        <v>735</v>
      </c>
      <c r="F229" t="s">
        <v>737</v>
      </c>
      <c r="M229" s="7"/>
      <c r="N229" s="8"/>
    </row>
    <row r="230" spans="1:14" x14ac:dyDescent="0.25">
      <c r="A230" t="s">
        <v>738</v>
      </c>
      <c r="B230" t="s">
        <v>527</v>
      </c>
      <c r="C230" t="s">
        <v>739</v>
      </c>
      <c r="D230" t="s">
        <v>739</v>
      </c>
      <c r="E230" t="s">
        <v>738</v>
      </c>
      <c r="F230" t="s">
        <v>740</v>
      </c>
      <c r="M230" s="7"/>
      <c r="N230" s="8"/>
    </row>
    <row r="231" spans="1:14" x14ac:dyDescent="0.25">
      <c r="A231" t="s">
        <v>741</v>
      </c>
      <c r="B231" t="s">
        <v>481</v>
      </c>
      <c r="C231" t="s">
        <v>742</v>
      </c>
      <c r="D231" t="s">
        <v>743</v>
      </c>
      <c r="E231" t="s">
        <v>741</v>
      </c>
      <c r="F231" t="s">
        <v>744</v>
      </c>
      <c r="M231" s="9"/>
      <c r="N231" s="9"/>
    </row>
    <row r="232" spans="1:14" x14ac:dyDescent="0.25">
      <c r="A232" t="s">
        <v>745</v>
      </c>
      <c r="B232" t="s">
        <v>481</v>
      </c>
      <c r="C232" t="s">
        <v>746</v>
      </c>
      <c r="D232" t="s">
        <v>746</v>
      </c>
      <c r="E232" t="s">
        <v>745</v>
      </c>
      <c r="F232" t="s">
        <v>747</v>
      </c>
      <c r="M232" s="7"/>
      <c r="N232" s="8"/>
    </row>
    <row r="233" spans="1:14" x14ac:dyDescent="0.25">
      <c r="A233" t="s">
        <v>748</v>
      </c>
      <c r="B233" t="s">
        <v>515</v>
      </c>
      <c r="C233" t="s">
        <v>749</v>
      </c>
      <c r="D233" t="s">
        <v>749</v>
      </c>
      <c r="E233" t="s">
        <v>748</v>
      </c>
      <c r="F233" t="s">
        <v>750</v>
      </c>
      <c r="M233" s="7"/>
      <c r="N233" s="8"/>
    </row>
    <row r="234" spans="1:14" x14ac:dyDescent="0.25">
      <c r="A234" t="s">
        <v>751</v>
      </c>
      <c r="B234" t="s">
        <v>13</v>
      </c>
      <c r="C234" t="s">
        <v>752</v>
      </c>
      <c r="D234" t="s">
        <v>752</v>
      </c>
      <c r="E234" t="s">
        <v>751</v>
      </c>
      <c r="F234" t="s">
        <v>753</v>
      </c>
      <c r="M234" s="7"/>
      <c r="N234" s="8"/>
    </row>
    <row r="235" spans="1:14" x14ac:dyDescent="0.25">
      <c r="A235" t="s">
        <v>754</v>
      </c>
      <c r="B235" t="s">
        <v>481</v>
      </c>
      <c r="C235" t="s">
        <v>755</v>
      </c>
      <c r="D235" t="s">
        <v>755</v>
      </c>
      <c r="E235" t="s">
        <v>754</v>
      </c>
      <c r="F235" t="s">
        <v>756</v>
      </c>
      <c r="M235" s="7"/>
      <c r="N235" s="8"/>
    </row>
    <row r="236" spans="1:14" x14ac:dyDescent="0.25">
      <c r="A236" t="s">
        <v>757</v>
      </c>
      <c r="B236" t="s">
        <v>481</v>
      </c>
      <c r="C236" t="s">
        <v>758</v>
      </c>
      <c r="D236" t="s">
        <v>758</v>
      </c>
      <c r="E236" t="s">
        <v>757</v>
      </c>
      <c r="F236" t="s">
        <v>759</v>
      </c>
      <c r="M236" s="7"/>
      <c r="N236" s="8"/>
    </row>
    <row r="237" spans="1:14" x14ac:dyDescent="0.25">
      <c r="A237" t="s">
        <v>760</v>
      </c>
      <c r="B237" t="s">
        <v>520</v>
      </c>
      <c r="C237" t="s">
        <v>761</v>
      </c>
      <c r="D237" t="s">
        <v>761</v>
      </c>
      <c r="E237" t="s">
        <v>760</v>
      </c>
      <c r="F237" t="s">
        <v>762</v>
      </c>
      <c r="M237" s="7"/>
      <c r="N237" s="8"/>
    </row>
    <row r="238" spans="1:14" x14ac:dyDescent="0.25">
      <c r="A238" t="s">
        <v>763</v>
      </c>
      <c r="B238" t="s">
        <v>481</v>
      </c>
      <c r="C238" t="s">
        <v>764</v>
      </c>
      <c r="D238" t="s">
        <v>765</v>
      </c>
      <c r="E238" t="s">
        <v>763</v>
      </c>
      <c r="F238" t="s">
        <v>766</v>
      </c>
      <c r="M238" s="7"/>
      <c r="N238" s="8"/>
    </row>
    <row r="239" spans="1:14" x14ac:dyDescent="0.25">
      <c r="A239" t="s">
        <v>767</v>
      </c>
      <c r="B239" t="s">
        <v>481</v>
      </c>
      <c r="C239" t="s">
        <v>768</v>
      </c>
      <c r="D239" t="s">
        <v>769</v>
      </c>
      <c r="E239" t="s">
        <v>767</v>
      </c>
      <c r="F239" t="s">
        <v>770</v>
      </c>
      <c r="M239" s="7"/>
      <c r="N239" s="8"/>
    </row>
    <row r="240" spans="1:14" x14ac:dyDescent="0.25">
      <c r="A240" t="s">
        <v>771</v>
      </c>
      <c r="B240" t="s">
        <v>515</v>
      </c>
      <c r="C240" t="s">
        <v>772</v>
      </c>
      <c r="D240" t="s">
        <v>772</v>
      </c>
      <c r="E240" t="s">
        <v>771</v>
      </c>
      <c r="F240" t="s">
        <v>773</v>
      </c>
      <c r="M240" s="7"/>
      <c r="N240" s="8"/>
    </row>
    <row r="241" spans="1:14" x14ac:dyDescent="0.25">
      <c r="A241" t="s">
        <v>774</v>
      </c>
      <c r="B241" t="s">
        <v>774</v>
      </c>
      <c r="C241" t="s">
        <v>775</v>
      </c>
      <c r="D241" t="s">
        <v>775</v>
      </c>
      <c r="E241" t="s">
        <v>774</v>
      </c>
      <c r="F241" t="s">
        <v>774</v>
      </c>
      <c r="M241" s="7"/>
      <c r="N241" s="8"/>
    </row>
    <row r="242" spans="1:14" x14ac:dyDescent="0.25">
      <c r="A242" t="s">
        <v>776</v>
      </c>
      <c r="B242" t="s">
        <v>776</v>
      </c>
      <c r="C242" t="s">
        <v>777</v>
      </c>
      <c r="D242" t="s">
        <v>777</v>
      </c>
      <c r="E242" t="s">
        <v>776</v>
      </c>
      <c r="F242" t="s">
        <v>776</v>
      </c>
      <c r="M242" s="7"/>
      <c r="N242" s="8"/>
    </row>
    <row r="243" spans="1:14" x14ac:dyDescent="0.25">
      <c r="A243" t="s">
        <v>778</v>
      </c>
      <c r="B243" t="s">
        <v>778</v>
      </c>
      <c r="C243" t="s">
        <v>779</v>
      </c>
      <c r="D243" t="s">
        <v>779</v>
      </c>
      <c r="E243" t="s">
        <v>778</v>
      </c>
      <c r="F243" t="s">
        <v>778</v>
      </c>
      <c r="M243" s="7"/>
      <c r="N243" s="8"/>
    </row>
    <row r="244" spans="1:14" x14ac:dyDescent="0.25">
      <c r="A244" t="s">
        <v>780</v>
      </c>
      <c r="B244" t="s">
        <v>780</v>
      </c>
      <c r="C244" t="s">
        <v>781</v>
      </c>
      <c r="D244" t="s">
        <v>781</v>
      </c>
      <c r="E244" t="s">
        <v>780</v>
      </c>
      <c r="F244" t="s">
        <v>780</v>
      </c>
      <c r="M244" s="7"/>
      <c r="N244" s="8"/>
    </row>
    <row r="245" spans="1:14" x14ac:dyDescent="0.25">
      <c r="A245" t="s">
        <v>782</v>
      </c>
      <c r="B245" t="s">
        <v>782</v>
      </c>
      <c r="C245" t="s">
        <v>783</v>
      </c>
      <c r="D245" t="s">
        <v>783</v>
      </c>
      <c r="E245" t="s">
        <v>782</v>
      </c>
      <c r="F245" t="s">
        <v>784</v>
      </c>
      <c r="M245" s="7"/>
      <c r="N245" s="8"/>
    </row>
    <row r="246" spans="1:14" x14ac:dyDescent="0.25">
      <c r="A246" t="s">
        <v>785</v>
      </c>
      <c r="B246" t="s">
        <v>785</v>
      </c>
      <c r="C246" t="s">
        <v>786</v>
      </c>
      <c r="D246" t="s">
        <v>786</v>
      </c>
      <c r="E246" t="s">
        <v>785</v>
      </c>
      <c r="F246" t="s">
        <v>785</v>
      </c>
      <c r="M246" s="7"/>
      <c r="N246" s="8"/>
    </row>
    <row r="247" spans="1:14" x14ac:dyDescent="0.25">
      <c r="A247" t="s">
        <v>787</v>
      </c>
      <c r="B247" t="s">
        <v>787</v>
      </c>
      <c r="C247" t="s">
        <v>788</v>
      </c>
      <c r="D247" t="s">
        <v>788</v>
      </c>
      <c r="E247" t="s">
        <v>787</v>
      </c>
      <c r="F247" t="s">
        <v>787</v>
      </c>
      <c r="M247" s="7"/>
      <c r="N247" s="8"/>
    </row>
    <row r="248" spans="1:14" x14ac:dyDescent="0.25">
      <c r="A248" t="s">
        <v>789</v>
      </c>
      <c r="B248" t="s">
        <v>789</v>
      </c>
      <c r="C248" t="s">
        <v>790</v>
      </c>
      <c r="D248" t="s">
        <v>790</v>
      </c>
      <c r="E248" t="s">
        <v>789</v>
      </c>
      <c r="F248" t="s">
        <v>789</v>
      </c>
      <c r="M248" s="7"/>
      <c r="N248" s="8"/>
    </row>
    <row r="249" spans="1:14" x14ac:dyDescent="0.25">
      <c r="A249" t="s">
        <v>791</v>
      </c>
      <c r="B249" t="s">
        <v>791</v>
      </c>
      <c r="C249" t="s">
        <v>792</v>
      </c>
      <c r="D249" t="s">
        <v>792</v>
      </c>
      <c r="E249" t="s">
        <v>791</v>
      </c>
      <c r="F249" t="s">
        <v>791</v>
      </c>
      <c r="M249" s="7"/>
      <c r="N249" s="8"/>
    </row>
    <row r="250" spans="1:14" x14ac:dyDescent="0.25">
      <c r="A250" t="s">
        <v>793</v>
      </c>
      <c r="B250" t="s">
        <v>793</v>
      </c>
      <c r="C250" t="s">
        <v>794</v>
      </c>
      <c r="D250" t="s">
        <v>794</v>
      </c>
      <c r="E250" t="s">
        <v>793</v>
      </c>
      <c r="F250" t="s">
        <v>793</v>
      </c>
      <c r="M250" s="7"/>
      <c r="N250" s="8"/>
    </row>
    <row r="251" spans="1:14" x14ac:dyDescent="0.25">
      <c r="A251" t="s">
        <v>795</v>
      </c>
      <c r="B251" t="s">
        <v>795</v>
      </c>
      <c r="C251" t="s">
        <v>796</v>
      </c>
      <c r="D251" t="s">
        <v>796</v>
      </c>
      <c r="E251" t="s">
        <v>795</v>
      </c>
      <c r="F251" t="s">
        <v>795</v>
      </c>
      <c r="M251" s="7"/>
      <c r="N251" s="8"/>
    </row>
    <row r="252" spans="1:14" x14ac:dyDescent="0.25">
      <c r="A252" t="s">
        <v>797</v>
      </c>
      <c r="B252" t="s">
        <v>797</v>
      </c>
      <c r="C252" t="s">
        <v>798</v>
      </c>
      <c r="D252" t="s">
        <v>798</v>
      </c>
      <c r="E252" t="s">
        <v>797</v>
      </c>
      <c r="F252" t="s">
        <v>797</v>
      </c>
      <c r="M252" s="7"/>
      <c r="N252" s="8"/>
    </row>
    <row r="253" spans="1:14" x14ac:dyDescent="0.25">
      <c r="A253" t="s">
        <v>799</v>
      </c>
      <c r="B253" t="s">
        <v>799</v>
      </c>
      <c r="C253" t="s">
        <v>800</v>
      </c>
      <c r="D253" t="s">
        <v>800</v>
      </c>
      <c r="E253" t="s">
        <v>799</v>
      </c>
      <c r="F253" t="s">
        <v>799</v>
      </c>
    </row>
    <row r="254" spans="1:14" x14ac:dyDescent="0.25">
      <c r="A254" t="s">
        <v>801</v>
      </c>
      <c r="B254" t="s">
        <v>801</v>
      </c>
      <c r="C254" t="s">
        <v>802</v>
      </c>
      <c r="D254" t="s">
        <v>802</v>
      </c>
      <c r="E254" t="s">
        <v>801</v>
      </c>
      <c r="F254" t="s">
        <v>801</v>
      </c>
    </row>
    <row r="255" spans="1:14" x14ac:dyDescent="0.25">
      <c r="A255" t="s">
        <v>803</v>
      </c>
      <c r="B255" t="s">
        <v>803</v>
      </c>
      <c r="C255" t="s">
        <v>804</v>
      </c>
      <c r="D255" t="s">
        <v>804</v>
      </c>
      <c r="E255" t="s">
        <v>803</v>
      </c>
      <c r="F255" t="s">
        <v>803</v>
      </c>
    </row>
    <row r="256" spans="1:14" x14ac:dyDescent="0.25">
      <c r="A256" t="s">
        <v>805</v>
      </c>
      <c r="B256" t="s">
        <v>805</v>
      </c>
      <c r="C256" t="s">
        <v>806</v>
      </c>
      <c r="D256" t="s">
        <v>806</v>
      </c>
      <c r="E256" t="s">
        <v>805</v>
      </c>
      <c r="F256" t="s">
        <v>805</v>
      </c>
    </row>
    <row r="257" spans="1:6" x14ac:dyDescent="0.25">
      <c r="A257" t="s">
        <v>807</v>
      </c>
      <c r="B257" t="s">
        <v>807</v>
      </c>
      <c r="C257" t="s">
        <v>808</v>
      </c>
      <c r="D257" t="s">
        <v>808</v>
      </c>
      <c r="E257" t="s">
        <v>807</v>
      </c>
      <c r="F257" t="s">
        <v>809</v>
      </c>
    </row>
    <row r="258" spans="1:6" x14ac:dyDescent="0.25">
      <c r="A258" t="s">
        <v>810</v>
      </c>
      <c r="B258" t="s">
        <v>810</v>
      </c>
      <c r="C258" t="s">
        <v>811</v>
      </c>
      <c r="D258" t="s">
        <v>811</v>
      </c>
      <c r="E258" t="s">
        <v>810</v>
      </c>
      <c r="F258" t="s">
        <v>810</v>
      </c>
    </row>
    <row r="259" spans="1:6" x14ac:dyDescent="0.25">
      <c r="A259" t="s">
        <v>812</v>
      </c>
      <c r="B259" t="s">
        <v>812</v>
      </c>
      <c r="C259" t="s">
        <v>813</v>
      </c>
      <c r="D259" t="s">
        <v>813</v>
      </c>
      <c r="E259" t="s">
        <v>812</v>
      </c>
      <c r="F259" t="s">
        <v>812</v>
      </c>
    </row>
    <row r="260" spans="1:6" x14ac:dyDescent="0.25">
      <c r="A260" t="s">
        <v>814</v>
      </c>
      <c r="B260" t="s">
        <v>814</v>
      </c>
      <c r="C260" t="s">
        <v>815</v>
      </c>
      <c r="D260" t="s">
        <v>815</v>
      </c>
      <c r="E260" t="s">
        <v>814</v>
      </c>
      <c r="F260" t="s">
        <v>814</v>
      </c>
    </row>
    <row r="261" spans="1:6" x14ac:dyDescent="0.25">
      <c r="A261" t="s">
        <v>816</v>
      </c>
      <c r="B261" t="s">
        <v>816</v>
      </c>
      <c r="C261" t="s">
        <v>817</v>
      </c>
      <c r="D261" t="s">
        <v>817</v>
      </c>
      <c r="E261" t="s">
        <v>816</v>
      </c>
      <c r="F261" t="s">
        <v>816</v>
      </c>
    </row>
    <row r="262" spans="1:6" x14ac:dyDescent="0.25">
      <c r="A262" t="s">
        <v>818</v>
      </c>
      <c r="B262" t="s">
        <v>818</v>
      </c>
      <c r="C262" t="s">
        <v>819</v>
      </c>
      <c r="D262" t="s">
        <v>819</v>
      </c>
      <c r="E262" t="s">
        <v>818</v>
      </c>
      <c r="F262" t="s">
        <v>820</v>
      </c>
    </row>
    <row r="263" spans="1:6" x14ac:dyDescent="0.25">
      <c r="A263" t="s">
        <v>821</v>
      </c>
      <c r="B263" t="s">
        <v>821</v>
      </c>
      <c r="C263" t="s">
        <v>822</v>
      </c>
      <c r="D263" t="s">
        <v>822</v>
      </c>
      <c r="E263" t="s">
        <v>821</v>
      </c>
      <c r="F263" t="s">
        <v>821</v>
      </c>
    </row>
    <row r="264" spans="1:6" x14ac:dyDescent="0.25">
      <c r="A264" t="s">
        <v>823</v>
      </c>
      <c r="B264" t="s">
        <v>823</v>
      </c>
      <c r="C264" t="s">
        <v>824</v>
      </c>
      <c r="D264" t="s">
        <v>824</v>
      </c>
      <c r="E264" t="s">
        <v>823</v>
      </c>
      <c r="F264" t="s">
        <v>823</v>
      </c>
    </row>
    <row r="265" spans="1:6" x14ac:dyDescent="0.25">
      <c r="A265" t="s">
        <v>825</v>
      </c>
      <c r="B265" t="s">
        <v>825</v>
      </c>
      <c r="C265" t="s">
        <v>826</v>
      </c>
      <c r="D265" t="s">
        <v>826</v>
      </c>
      <c r="E265" t="s">
        <v>825</v>
      </c>
      <c r="F265" t="s">
        <v>825</v>
      </c>
    </row>
    <row r="266" spans="1:6" x14ac:dyDescent="0.25">
      <c r="A266" t="s">
        <v>827</v>
      </c>
      <c r="B266" t="s">
        <v>827</v>
      </c>
      <c r="C266" t="s">
        <v>828</v>
      </c>
      <c r="D266" t="s">
        <v>828</v>
      </c>
      <c r="E266" t="s">
        <v>827</v>
      </c>
      <c r="F266" t="s">
        <v>827</v>
      </c>
    </row>
    <row r="267" spans="1:6" x14ac:dyDescent="0.25">
      <c r="A267" t="s">
        <v>829</v>
      </c>
      <c r="B267" t="s">
        <v>829</v>
      </c>
      <c r="C267" t="s">
        <v>830</v>
      </c>
      <c r="D267" t="s">
        <v>830</v>
      </c>
      <c r="E267" t="s">
        <v>829</v>
      </c>
      <c r="F267" t="s">
        <v>829</v>
      </c>
    </row>
    <row r="268" spans="1:6" x14ac:dyDescent="0.25">
      <c r="A268" t="s">
        <v>831</v>
      </c>
      <c r="B268" t="s">
        <v>831</v>
      </c>
      <c r="C268" t="s">
        <v>832</v>
      </c>
      <c r="D268" t="s">
        <v>832</v>
      </c>
      <c r="E268" t="s">
        <v>831</v>
      </c>
      <c r="F268" t="s">
        <v>831</v>
      </c>
    </row>
    <row r="269" spans="1:6" x14ac:dyDescent="0.25">
      <c r="A269" t="s">
        <v>833</v>
      </c>
      <c r="B269" t="s">
        <v>833</v>
      </c>
      <c r="C269" t="s">
        <v>834</v>
      </c>
      <c r="D269" t="s">
        <v>834</v>
      </c>
      <c r="E269" t="s">
        <v>833</v>
      </c>
      <c r="F269" t="s">
        <v>833</v>
      </c>
    </row>
    <row r="270" spans="1:6" x14ac:dyDescent="0.25">
      <c r="A270" t="s">
        <v>835</v>
      </c>
      <c r="B270" t="s">
        <v>835</v>
      </c>
      <c r="C270" t="s">
        <v>836</v>
      </c>
      <c r="D270" t="s">
        <v>836</v>
      </c>
      <c r="E270" t="s">
        <v>835</v>
      </c>
      <c r="F270" t="s">
        <v>835</v>
      </c>
    </row>
    <row r="271" spans="1:6" x14ac:dyDescent="0.25">
      <c r="A271" t="s">
        <v>837</v>
      </c>
      <c r="B271" t="s">
        <v>837</v>
      </c>
      <c r="C271" t="s">
        <v>838</v>
      </c>
      <c r="D271" t="s">
        <v>838</v>
      </c>
      <c r="E271" t="s">
        <v>837</v>
      </c>
      <c r="F271" t="s">
        <v>837</v>
      </c>
    </row>
    <row r="272" spans="1:6" x14ac:dyDescent="0.25">
      <c r="A272" t="s">
        <v>839</v>
      </c>
      <c r="B272" t="s">
        <v>839</v>
      </c>
      <c r="C272" t="s">
        <v>840</v>
      </c>
      <c r="D272" t="s">
        <v>840</v>
      </c>
      <c r="E272" t="s">
        <v>839</v>
      </c>
      <c r="F272" t="s">
        <v>839</v>
      </c>
    </row>
    <row r="273" spans="1:6" x14ac:dyDescent="0.25">
      <c r="A273" t="s">
        <v>841</v>
      </c>
      <c r="B273" t="s">
        <v>841</v>
      </c>
      <c r="C273" t="s">
        <v>842</v>
      </c>
      <c r="D273" t="s">
        <v>842</v>
      </c>
      <c r="E273" t="s">
        <v>841</v>
      </c>
      <c r="F273" t="s">
        <v>841</v>
      </c>
    </row>
    <row r="274" spans="1:6" x14ac:dyDescent="0.25">
      <c r="A274" t="s">
        <v>843</v>
      </c>
      <c r="B274" t="s">
        <v>843</v>
      </c>
      <c r="C274" t="s">
        <v>844</v>
      </c>
      <c r="D274" t="s">
        <v>844</v>
      </c>
      <c r="E274" t="s">
        <v>843</v>
      </c>
      <c r="F274" t="s">
        <v>843</v>
      </c>
    </row>
    <row r="275" spans="1:6" x14ac:dyDescent="0.25">
      <c r="A275" t="s">
        <v>845</v>
      </c>
      <c r="B275" t="s">
        <v>845</v>
      </c>
      <c r="C275" t="s">
        <v>846</v>
      </c>
      <c r="D275" t="s">
        <v>846</v>
      </c>
      <c r="E275" t="s">
        <v>845</v>
      </c>
      <c r="F275" t="s">
        <v>845</v>
      </c>
    </row>
    <row r="276" spans="1:6" x14ac:dyDescent="0.25">
      <c r="A276" t="s">
        <v>847</v>
      </c>
      <c r="B276" t="s">
        <v>847</v>
      </c>
      <c r="C276" t="s">
        <v>848</v>
      </c>
      <c r="D276" t="s">
        <v>848</v>
      </c>
      <c r="E276" t="s">
        <v>847</v>
      </c>
      <c r="F276" t="s">
        <v>849</v>
      </c>
    </row>
    <row r="277" spans="1:6" x14ac:dyDescent="0.25">
      <c r="A277" t="s">
        <v>850</v>
      </c>
      <c r="B277" t="s">
        <v>850</v>
      </c>
      <c r="C277" t="s">
        <v>851</v>
      </c>
      <c r="D277" t="s">
        <v>851</v>
      </c>
      <c r="E277" t="s">
        <v>850</v>
      </c>
      <c r="F277" t="s">
        <v>850</v>
      </c>
    </row>
    <row r="278" spans="1:6" x14ac:dyDescent="0.25">
      <c r="A278" t="s">
        <v>852</v>
      </c>
      <c r="B278" t="s">
        <v>852</v>
      </c>
      <c r="C278" t="s">
        <v>853</v>
      </c>
      <c r="D278" t="s">
        <v>853</v>
      </c>
      <c r="E278" t="s">
        <v>852</v>
      </c>
      <c r="F278" t="s">
        <v>852</v>
      </c>
    </row>
    <row r="279" spans="1:6" x14ac:dyDescent="0.25">
      <c r="A279" t="s">
        <v>854</v>
      </c>
      <c r="B279" t="s">
        <v>854</v>
      </c>
      <c r="C279" t="s">
        <v>855</v>
      </c>
      <c r="D279" t="s">
        <v>855</v>
      </c>
      <c r="E279" t="s">
        <v>854</v>
      </c>
      <c r="F279" t="s">
        <v>856</v>
      </c>
    </row>
    <row r="280" spans="1:6" x14ac:dyDescent="0.25">
      <c r="A280" t="s">
        <v>857</v>
      </c>
      <c r="B280" t="s">
        <v>857</v>
      </c>
      <c r="C280" t="s">
        <v>858</v>
      </c>
      <c r="D280" t="s">
        <v>858</v>
      </c>
      <c r="E280" t="s">
        <v>857</v>
      </c>
      <c r="F280" t="s">
        <v>857</v>
      </c>
    </row>
    <row r="281" spans="1:6" x14ac:dyDescent="0.25">
      <c r="A281" t="s">
        <v>859</v>
      </c>
      <c r="B281" t="s">
        <v>859</v>
      </c>
      <c r="C281" t="s">
        <v>860</v>
      </c>
      <c r="D281" t="s">
        <v>860</v>
      </c>
      <c r="E281" t="s">
        <v>859</v>
      </c>
      <c r="F281" t="s">
        <v>859</v>
      </c>
    </row>
    <row r="282" spans="1:6" x14ac:dyDescent="0.25">
      <c r="A282" t="s">
        <v>861</v>
      </c>
      <c r="B282" t="s">
        <v>861</v>
      </c>
      <c r="C282" t="s">
        <v>862</v>
      </c>
      <c r="D282" t="s">
        <v>862</v>
      </c>
      <c r="E282" t="s">
        <v>861</v>
      </c>
      <c r="F282" t="s">
        <v>861</v>
      </c>
    </row>
    <row r="283" spans="1:6" x14ac:dyDescent="0.25">
      <c r="A283" t="s">
        <v>863</v>
      </c>
      <c r="B283" t="s">
        <v>863</v>
      </c>
      <c r="C283" t="s">
        <v>864</v>
      </c>
      <c r="D283" t="s">
        <v>864</v>
      </c>
      <c r="E283" t="s">
        <v>863</v>
      </c>
      <c r="F283" t="s">
        <v>863</v>
      </c>
    </row>
    <row r="284" spans="1:6" x14ac:dyDescent="0.25">
      <c r="A284" t="s">
        <v>865</v>
      </c>
      <c r="B284" t="s">
        <v>865</v>
      </c>
      <c r="C284" t="s">
        <v>866</v>
      </c>
      <c r="D284" t="s">
        <v>866</v>
      </c>
      <c r="E284" t="s">
        <v>865</v>
      </c>
      <c r="F284" t="s">
        <v>865</v>
      </c>
    </row>
    <row r="285" spans="1:6" x14ac:dyDescent="0.25">
      <c r="A285" t="s">
        <v>867</v>
      </c>
      <c r="B285" t="s">
        <v>867</v>
      </c>
      <c r="C285" t="s">
        <v>868</v>
      </c>
      <c r="D285" t="s">
        <v>868</v>
      </c>
      <c r="E285" t="s">
        <v>867</v>
      </c>
      <c r="F285" t="s">
        <v>867</v>
      </c>
    </row>
    <row r="286" spans="1:6" x14ac:dyDescent="0.25">
      <c r="A286" t="s">
        <v>869</v>
      </c>
      <c r="B286" t="s">
        <v>869</v>
      </c>
      <c r="C286" t="s">
        <v>870</v>
      </c>
      <c r="D286" t="s">
        <v>870</v>
      </c>
      <c r="E286" t="s">
        <v>869</v>
      </c>
      <c r="F286" t="s">
        <v>869</v>
      </c>
    </row>
    <row r="287" spans="1:6" x14ac:dyDescent="0.25">
      <c r="A287" t="s">
        <v>871</v>
      </c>
      <c r="B287" t="s">
        <v>871</v>
      </c>
      <c r="C287" t="s">
        <v>872</v>
      </c>
      <c r="D287" t="s">
        <v>872</v>
      </c>
      <c r="E287" t="s">
        <v>871</v>
      </c>
      <c r="F287" t="s">
        <v>871</v>
      </c>
    </row>
  </sheetData>
  <autoFilter ref="A1:F287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"/>
  <sheetViews>
    <sheetView workbookViewId="0">
      <selection activeCell="B66" sqref="B66"/>
    </sheetView>
  </sheetViews>
  <sheetFormatPr defaultRowHeight="15" x14ac:dyDescent="0.25"/>
  <sheetData>
    <row r="1" spans="1:2" x14ac:dyDescent="0.25">
      <c r="A1" s="1" t="s">
        <v>873</v>
      </c>
      <c r="B1" s="1" t="s">
        <v>874</v>
      </c>
    </row>
    <row r="2" spans="1:2" x14ac:dyDescent="0.25">
      <c r="A2" t="s">
        <v>774</v>
      </c>
      <c r="B2" t="s">
        <v>775</v>
      </c>
    </row>
    <row r="3" spans="1:2" x14ac:dyDescent="0.25">
      <c r="A3" t="s">
        <v>776</v>
      </c>
      <c r="B3" t="s">
        <v>777</v>
      </c>
    </row>
    <row r="4" spans="1:2" x14ac:dyDescent="0.25">
      <c r="A4" t="s">
        <v>778</v>
      </c>
      <c r="B4" t="s">
        <v>779</v>
      </c>
    </row>
    <row r="5" spans="1:2" x14ac:dyDescent="0.25">
      <c r="A5" t="s">
        <v>780</v>
      </c>
      <c r="B5" t="s">
        <v>781</v>
      </c>
    </row>
    <row r="6" spans="1:2" x14ac:dyDescent="0.25">
      <c r="A6" t="s">
        <v>782</v>
      </c>
      <c r="B6" t="s">
        <v>783</v>
      </c>
    </row>
    <row r="7" spans="1:2" x14ac:dyDescent="0.25">
      <c r="A7" t="s">
        <v>785</v>
      </c>
      <c r="B7" t="s">
        <v>786</v>
      </c>
    </row>
    <row r="8" spans="1:2" x14ac:dyDescent="0.25">
      <c r="A8" t="s">
        <v>787</v>
      </c>
      <c r="B8" t="s">
        <v>788</v>
      </c>
    </row>
    <row r="9" spans="1:2" x14ac:dyDescent="0.25">
      <c r="A9" t="s">
        <v>789</v>
      </c>
      <c r="B9" t="s">
        <v>790</v>
      </c>
    </row>
    <row r="10" spans="1:2" x14ac:dyDescent="0.25">
      <c r="A10" t="s">
        <v>791</v>
      </c>
      <c r="B10" t="s">
        <v>792</v>
      </c>
    </row>
    <row r="11" spans="1:2" x14ac:dyDescent="0.25">
      <c r="A11" t="s">
        <v>793</v>
      </c>
      <c r="B11" t="s">
        <v>794</v>
      </c>
    </row>
    <row r="12" spans="1:2" x14ac:dyDescent="0.25">
      <c r="A12" t="s">
        <v>795</v>
      </c>
      <c r="B12" t="s">
        <v>796</v>
      </c>
    </row>
    <row r="13" spans="1:2" x14ac:dyDescent="0.25">
      <c r="A13" t="s">
        <v>797</v>
      </c>
      <c r="B13" t="s">
        <v>798</v>
      </c>
    </row>
    <row r="14" spans="1:2" x14ac:dyDescent="0.25">
      <c r="A14" t="s">
        <v>799</v>
      </c>
      <c r="B14" t="s">
        <v>800</v>
      </c>
    </row>
    <row r="15" spans="1:2" x14ac:dyDescent="0.25">
      <c r="A15" t="s">
        <v>801</v>
      </c>
      <c r="B15" t="s">
        <v>802</v>
      </c>
    </row>
    <row r="16" spans="1:2" x14ac:dyDescent="0.25">
      <c r="A16" t="s">
        <v>803</v>
      </c>
      <c r="B16" t="s">
        <v>804</v>
      </c>
    </row>
    <row r="17" spans="1:2" x14ac:dyDescent="0.25">
      <c r="A17" t="s">
        <v>805</v>
      </c>
      <c r="B17" t="s">
        <v>806</v>
      </c>
    </row>
    <row r="18" spans="1:2" x14ac:dyDescent="0.25">
      <c r="A18" t="s">
        <v>807</v>
      </c>
      <c r="B18" t="s">
        <v>808</v>
      </c>
    </row>
    <row r="19" spans="1:2" x14ac:dyDescent="0.25">
      <c r="A19" t="s">
        <v>810</v>
      </c>
      <c r="B19" t="s">
        <v>811</v>
      </c>
    </row>
    <row r="20" spans="1:2" x14ac:dyDescent="0.25">
      <c r="A20" t="s">
        <v>812</v>
      </c>
      <c r="B20" t="s">
        <v>813</v>
      </c>
    </row>
    <row r="21" spans="1:2" x14ac:dyDescent="0.25">
      <c r="A21" t="s">
        <v>814</v>
      </c>
      <c r="B21" t="s">
        <v>815</v>
      </c>
    </row>
    <row r="22" spans="1:2" x14ac:dyDescent="0.25">
      <c r="A22" t="s">
        <v>816</v>
      </c>
      <c r="B22" t="s">
        <v>817</v>
      </c>
    </row>
    <row r="23" spans="1:2" x14ac:dyDescent="0.25">
      <c r="A23" t="s">
        <v>818</v>
      </c>
      <c r="B23" t="s">
        <v>819</v>
      </c>
    </row>
    <row r="24" spans="1:2" x14ac:dyDescent="0.25">
      <c r="A24" t="s">
        <v>821</v>
      </c>
      <c r="B24" t="s">
        <v>822</v>
      </c>
    </row>
    <row r="25" spans="1:2" x14ac:dyDescent="0.25">
      <c r="A25" t="s">
        <v>823</v>
      </c>
      <c r="B25" t="s">
        <v>824</v>
      </c>
    </row>
    <row r="26" spans="1:2" x14ac:dyDescent="0.25">
      <c r="A26" t="s">
        <v>825</v>
      </c>
      <c r="B26" t="s">
        <v>826</v>
      </c>
    </row>
    <row r="27" spans="1:2" x14ac:dyDescent="0.25">
      <c r="A27" t="s">
        <v>827</v>
      </c>
      <c r="B27" t="s">
        <v>828</v>
      </c>
    </row>
    <row r="28" spans="1:2" x14ac:dyDescent="0.25">
      <c r="A28" t="s">
        <v>829</v>
      </c>
      <c r="B28" t="s">
        <v>830</v>
      </c>
    </row>
    <row r="29" spans="1:2" x14ac:dyDescent="0.25">
      <c r="A29" t="s">
        <v>831</v>
      </c>
      <c r="B29" t="s">
        <v>832</v>
      </c>
    </row>
    <row r="30" spans="1:2" x14ac:dyDescent="0.25">
      <c r="A30" t="s">
        <v>833</v>
      </c>
      <c r="B30" t="s">
        <v>834</v>
      </c>
    </row>
    <row r="31" spans="1:2" x14ac:dyDescent="0.25">
      <c r="A31" t="s">
        <v>835</v>
      </c>
      <c r="B31" t="s">
        <v>836</v>
      </c>
    </row>
    <row r="32" spans="1:2" x14ac:dyDescent="0.25">
      <c r="A32" t="s">
        <v>837</v>
      </c>
      <c r="B32" t="s">
        <v>838</v>
      </c>
    </row>
    <row r="33" spans="1:2" x14ac:dyDescent="0.25">
      <c r="A33" t="s">
        <v>839</v>
      </c>
      <c r="B33" t="s">
        <v>840</v>
      </c>
    </row>
    <row r="34" spans="1:2" x14ac:dyDescent="0.25">
      <c r="A34" t="s">
        <v>841</v>
      </c>
      <c r="B34" t="s">
        <v>842</v>
      </c>
    </row>
    <row r="35" spans="1:2" x14ac:dyDescent="0.25">
      <c r="A35" t="s">
        <v>843</v>
      </c>
      <c r="B35" t="s">
        <v>844</v>
      </c>
    </row>
    <row r="36" spans="1:2" x14ac:dyDescent="0.25">
      <c r="A36" t="s">
        <v>845</v>
      </c>
      <c r="B36" t="s">
        <v>846</v>
      </c>
    </row>
    <row r="37" spans="1:2" x14ac:dyDescent="0.25">
      <c r="A37" t="s">
        <v>847</v>
      </c>
      <c r="B37" t="s">
        <v>848</v>
      </c>
    </row>
    <row r="38" spans="1:2" x14ac:dyDescent="0.25">
      <c r="A38" t="s">
        <v>850</v>
      </c>
      <c r="B38" t="s">
        <v>851</v>
      </c>
    </row>
    <row r="39" spans="1:2" x14ac:dyDescent="0.25">
      <c r="A39" t="s">
        <v>852</v>
      </c>
      <c r="B39" t="s">
        <v>853</v>
      </c>
    </row>
    <row r="40" spans="1:2" x14ac:dyDescent="0.25">
      <c r="A40" t="s">
        <v>854</v>
      </c>
      <c r="B40" t="s">
        <v>855</v>
      </c>
    </row>
    <row r="41" spans="1:2" x14ac:dyDescent="0.25">
      <c r="A41" t="s">
        <v>857</v>
      </c>
      <c r="B41" t="s">
        <v>858</v>
      </c>
    </row>
    <row r="42" spans="1:2" x14ac:dyDescent="0.25">
      <c r="A42" t="s">
        <v>859</v>
      </c>
      <c r="B42" t="s">
        <v>860</v>
      </c>
    </row>
    <row r="43" spans="1:2" x14ac:dyDescent="0.25">
      <c r="A43" t="s">
        <v>861</v>
      </c>
      <c r="B43" t="s">
        <v>862</v>
      </c>
    </row>
    <row r="44" spans="1:2" x14ac:dyDescent="0.25">
      <c r="A44" t="s">
        <v>863</v>
      </c>
      <c r="B44" t="s">
        <v>864</v>
      </c>
    </row>
    <row r="45" spans="1:2" x14ac:dyDescent="0.25">
      <c r="A45" t="s">
        <v>865</v>
      </c>
      <c r="B45" t="s">
        <v>866</v>
      </c>
    </row>
    <row r="46" spans="1:2" x14ac:dyDescent="0.25">
      <c r="A46" t="s">
        <v>867</v>
      </c>
      <c r="B46" t="s">
        <v>868</v>
      </c>
    </row>
    <row r="47" spans="1:2" x14ac:dyDescent="0.25">
      <c r="A47" t="s">
        <v>869</v>
      </c>
      <c r="B47" t="s">
        <v>870</v>
      </c>
    </row>
    <row r="48" spans="1:2" x14ac:dyDescent="0.25">
      <c r="A48" t="s">
        <v>871</v>
      </c>
      <c r="B48" t="s">
        <v>872</v>
      </c>
    </row>
    <row r="49" spans="1:2" x14ac:dyDescent="0.25">
      <c r="A49" t="s">
        <v>25</v>
      </c>
      <c r="B49" t="s">
        <v>875</v>
      </c>
    </row>
    <row r="50" spans="1:2" x14ac:dyDescent="0.25">
      <c r="A50" t="s">
        <v>481</v>
      </c>
      <c r="B50" t="s">
        <v>876</v>
      </c>
    </row>
    <row r="51" spans="1:2" x14ac:dyDescent="0.25">
      <c r="A51" t="s">
        <v>13</v>
      </c>
      <c r="B51" t="s">
        <v>877</v>
      </c>
    </row>
    <row r="52" spans="1:2" x14ac:dyDescent="0.25">
      <c r="A52" t="s">
        <v>493</v>
      </c>
      <c r="B52" t="s">
        <v>494</v>
      </c>
    </row>
    <row r="53" spans="1:2" x14ac:dyDescent="0.25">
      <c r="A53" t="s">
        <v>515</v>
      </c>
      <c r="B53" t="s">
        <v>878</v>
      </c>
    </row>
    <row r="54" spans="1:2" x14ac:dyDescent="0.25">
      <c r="A54" t="s">
        <v>520</v>
      </c>
      <c r="B54" t="s">
        <v>879</v>
      </c>
    </row>
    <row r="55" spans="1:2" x14ac:dyDescent="0.25">
      <c r="A55" t="s">
        <v>527</v>
      </c>
      <c r="B55" t="s">
        <v>880</v>
      </c>
    </row>
    <row r="56" spans="1:2" x14ac:dyDescent="0.25">
      <c r="A56" t="s">
        <v>15</v>
      </c>
      <c r="B56" t="s">
        <v>530</v>
      </c>
    </row>
    <row r="57" spans="1:2" x14ac:dyDescent="0.25">
      <c r="A57" t="s">
        <v>541</v>
      </c>
      <c r="B57" t="s">
        <v>542</v>
      </c>
    </row>
    <row r="58" spans="1:2" x14ac:dyDescent="0.25">
      <c r="A58" t="s">
        <v>553</v>
      </c>
      <c r="B58" t="s">
        <v>824</v>
      </c>
    </row>
    <row r="59" spans="1:2" x14ac:dyDescent="0.25">
      <c r="A59" t="s">
        <v>564</v>
      </c>
      <c r="B59" t="s">
        <v>565</v>
      </c>
    </row>
    <row r="60" spans="1:2" x14ac:dyDescent="0.25">
      <c r="A60" t="s">
        <v>613</v>
      </c>
      <c r="B60" t="s">
        <v>614</v>
      </c>
    </row>
    <row r="61" spans="1:2" x14ac:dyDescent="0.25">
      <c r="A61" t="s">
        <v>631</v>
      </c>
      <c r="B61" t="s">
        <v>632</v>
      </c>
    </row>
    <row r="62" spans="1:2" x14ac:dyDescent="0.25">
      <c r="A62" t="s">
        <v>643</v>
      </c>
      <c r="B62" t="s">
        <v>644</v>
      </c>
    </row>
    <row r="63" spans="1:2" x14ac:dyDescent="0.25">
      <c r="A63" t="s">
        <v>686</v>
      </c>
      <c r="B63" t="s">
        <v>687</v>
      </c>
    </row>
    <row r="64" spans="1:2" x14ac:dyDescent="0.25">
      <c r="A64" t="s">
        <v>701</v>
      </c>
      <c r="B64" t="s">
        <v>702</v>
      </c>
    </row>
    <row r="65" spans="1:2" x14ac:dyDescent="0.25">
      <c r="A65" t="s">
        <v>710</v>
      </c>
      <c r="B65" t="s">
        <v>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17" sqref="C2:D17"/>
    </sheetView>
  </sheetViews>
  <sheetFormatPr defaultRowHeight="15" x14ac:dyDescent="0.25"/>
  <cols>
    <col min="2" max="2" width="34.140625" bestFit="1" customWidth="1"/>
    <col min="3" max="3" width="9" customWidth="1"/>
    <col min="4" max="4" width="11.85546875" bestFit="1" customWidth="1"/>
  </cols>
  <sheetData>
    <row r="1" spans="1:4" x14ac:dyDescent="0.25">
      <c r="A1" s="1" t="s">
        <v>881</v>
      </c>
      <c r="B1" s="1" t="s">
        <v>882</v>
      </c>
      <c r="C1" s="1" t="s">
        <v>883</v>
      </c>
      <c r="D1" s="1" t="s">
        <v>884</v>
      </c>
    </row>
    <row r="2" spans="1:4" x14ac:dyDescent="0.25">
      <c r="A2">
        <v>63</v>
      </c>
      <c r="B2" t="s">
        <v>885</v>
      </c>
      <c r="C2" t="s">
        <v>886</v>
      </c>
      <c r="D2" t="s">
        <v>887</v>
      </c>
    </row>
    <row r="3" spans="1:4" x14ac:dyDescent="0.25">
      <c r="A3">
        <v>192</v>
      </c>
      <c r="B3" t="s">
        <v>888</v>
      </c>
      <c r="C3" t="s">
        <v>889</v>
      </c>
      <c r="D3" t="s">
        <v>890</v>
      </c>
    </row>
    <row r="4" spans="1:4" x14ac:dyDescent="0.25">
      <c r="A4">
        <v>448</v>
      </c>
      <c r="B4" t="s">
        <v>891</v>
      </c>
      <c r="C4" t="s">
        <v>892</v>
      </c>
      <c r="D4" t="s">
        <v>457</v>
      </c>
    </row>
    <row r="5" spans="1:4" x14ac:dyDescent="0.25">
      <c r="A5">
        <v>1536</v>
      </c>
      <c r="B5" t="s">
        <v>893</v>
      </c>
      <c r="C5" t="s">
        <v>894</v>
      </c>
      <c r="D5" t="s">
        <v>895</v>
      </c>
    </row>
    <row r="6" spans="1:4" x14ac:dyDescent="0.25">
      <c r="A6">
        <v>1572864</v>
      </c>
      <c r="B6" t="s">
        <v>896</v>
      </c>
      <c r="C6" t="s">
        <v>897</v>
      </c>
      <c r="D6" t="s">
        <v>751</v>
      </c>
    </row>
    <row r="7" spans="1:4" x14ac:dyDescent="0.25">
      <c r="A7">
        <v>2111488</v>
      </c>
      <c r="B7" t="s">
        <v>898</v>
      </c>
      <c r="C7" t="s">
        <v>899</v>
      </c>
      <c r="D7" t="s">
        <v>900</v>
      </c>
    </row>
    <row r="8" spans="1:4" x14ac:dyDescent="0.25">
      <c r="A8">
        <v>4308992</v>
      </c>
      <c r="B8" t="s">
        <v>901</v>
      </c>
      <c r="C8" t="s">
        <v>902</v>
      </c>
      <c r="D8" t="s">
        <v>903</v>
      </c>
    </row>
    <row r="9" spans="1:4" x14ac:dyDescent="0.25">
      <c r="A9">
        <v>6420480</v>
      </c>
      <c r="B9" t="s">
        <v>904</v>
      </c>
      <c r="C9" t="s">
        <v>905</v>
      </c>
      <c r="D9" t="s">
        <v>906</v>
      </c>
    </row>
    <row r="10" spans="1:4" x14ac:dyDescent="0.25">
      <c r="A10">
        <v>8650752</v>
      </c>
      <c r="B10" t="s">
        <v>907</v>
      </c>
      <c r="C10" t="s">
        <v>908</v>
      </c>
      <c r="D10" t="s">
        <v>6</v>
      </c>
    </row>
    <row r="11" spans="1:4" x14ac:dyDescent="0.25">
      <c r="A11">
        <v>268435456</v>
      </c>
      <c r="B11" t="s">
        <v>909</v>
      </c>
      <c r="C11" t="s">
        <v>910</v>
      </c>
      <c r="D11" t="s">
        <v>911</v>
      </c>
    </row>
    <row r="12" spans="1:4" x14ac:dyDescent="0.25">
      <c r="A12">
        <v>33554432</v>
      </c>
      <c r="B12" t="s">
        <v>912</v>
      </c>
      <c r="C12" t="s">
        <v>913</v>
      </c>
      <c r="D12" t="s">
        <v>567</v>
      </c>
    </row>
    <row r="13" spans="1:4" x14ac:dyDescent="0.25">
      <c r="A13">
        <v>201326592</v>
      </c>
      <c r="B13" t="s">
        <v>914</v>
      </c>
      <c r="C13" t="s">
        <v>915</v>
      </c>
      <c r="D13" t="s">
        <v>573</v>
      </c>
    </row>
    <row r="14" spans="1:4" x14ac:dyDescent="0.25">
      <c r="A14">
        <v>3758096384</v>
      </c>
      <c r="B14" t="s">
        <v>916</v>
      </c>
      <c r="C14" t="s">
        <v>917</v>
      </c>
      <c r="D14" t="s">
        <v>918</v>
      </c>
    </row>
    <row r="15" spans="1:4" x14ac:dyDescent="0.25">
      <c r="A15">
        <v>4294967295</v>
      </c>
      <c r="B15" t="s">
        <v>919</v>
      </c>
      <c r="C15" t="s">
        <v>920</v>
      </c>
      <c r="D15" t="s">
        <v>921</v>
      </c>
    </row>
    <row r="16" spans="1:4" x14ac:dyDescent="0.25">
      <c r="A16">
        <v>16</v>
      </c>
      <c r="B16" t="s">
        <v>922</v>
      </c>
      <c r="C16" t="s">
        <v>923</v>
      </c>
      <c r="D16" t="s">
        <v>258</v>
      </c>
    </row>
    <row r="17" spans="1:4" x14ac:dyDescent="0.25">
      <c r="A17">
        <v>131072</v>
      </c>
      <c r="B17" t="s">
        <v>924</v>
      </c>
      <c r="C17" t="s">
        <v>925</v>
      </c>
      <c r="D17" t="s">
        <v>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D031-C6AB-4528-9E9D-ABC0AD8BC1E5}">
  <sheetPr filterMode="1"/>
  <dimension ref="A1:M214"/>
  <sheetViews>
    <sheetView workbookViewId="0">
      <selection activeCell="H18" sqref="H18"/>
    </sheetView>
  </sheetViews>
  <sheetFormatPr defaultRowHeight="15" x14ac:dyDescent="0.25"/>
  <cols>
    <col min="1" max="2" width="30.7109375" customWidth="1"/>
    <col min="3" max="3" width="37.140625" customWidth="1"/>
    <col min="4" max="5" width="30.7109375" style="13" customWidth="1"/>
    <col min="6" max="7" width="30.7109375" style="4" customWidth="1"/>
    <col min="8" max="13" width="30.7109375" customWidth="1"/>
  </cols>
  <sheetData>
    <row r="1" spans="1:13" x14ac:dyDescent="0.25">
      <c r="A1" s="10" t="s">
        <v>927</v>
      </c>
      <c r="B1" s="10" t="s">
        <v>928</v>
      </c>
      <c r="C1" s="10" t="s">
        <v>929</v>
      </c>
      <c r="D1" s="10" t="s">
        <v>930</v>
      </c>
      <c r="E1" s="10" t="s">
        <v>931</v>
      </c>
      <c r="F1" s="10" t="s">
        <v>932</v>
      </c>
      <c r="G1" s="10" t="s">
        <v>933</v>
      </c>
      <c r="H1" s="10" t="s">
        <v>934</v>
      </c>
      <c r="I1" s="10" t="s">
        <v>935</v>
      </c>
      <c r="J1" s="10" t="s">
        <v>936</v>
      </c>
      <c r="K1" s="11" t="s">
        <v>937</v>
      </c>
      <c r="L1" s="11" t="s">
        <v>938</v>
      </c>
      <c r="M1" s="12" t="s">
        <v>939</v>
      </c>
    </row>
    <row r="2" spans="1:13" hidden="1" x14ac:dyDescent="0.25">
      <c r="A2" t="s">
        <v>940</v>
      </c>
      <c r="B2" t="s">
        <v>941</v>
      </c>
      <c r="C2" t="s">
        <v>942</v>
      </c>
      <c r="D2" s="13">
        <v>42753</v>
      </c>
      <c r="E2" s="13">
        <v>42754</v>
      </c>
      <c r="F2" s="4">
        <v>42754</v>
      </c>
      <c r="G2" s="4">
        <v>42753</v>
      </c>
      <c r="H2">
        <v>2017</v>
      </c>
      <c r="K2" t="s">
        <v>887</v>
      </c>
      <c r="L2" t="s">
        <v>13</v>
      </c>
    </row>
    <row r="3" spans="1:13" x14ac:dyDescent="0.25">
      <c r="A3" t="s">
        <v>943</v>
      </c>
      <c r="B3" t="s">
        <v>944</v>
      </c>
      <c r="C3" t="s">
        <v>945</v>
      </c>
      <c r="D3" s="13">
        <v>42753</v>
      </c>
      <c r="E3" s="13">
        <v>42758</v>
      </c>
      <c r="F3" s="4">
        <v>42758</v>
      </c>
      <c r="G3" s="4">
        <v>42753</v>
      </c>
      <c r="H3">
        <v>2017</v>
      </c>
      <c r="K3" t="s">
        <v>906</v>
      </c>
      <c r="L3" t="s">
        <v>564</v>
      </c>
    </row>
    <row r="4" spans="1:13" x14ac:dyDescent="0.25">
      <c r="A4" t="s">
        <v>943</v>
      </c>
      <c r="B4" t="s">
        <v>946</v>
      </c>
      <c r="C4" t="s">
        <v>947</v>
      </c>
      <c r="D4" s="13">
        <v>42741</v>
      </c>
      <c r="E4" s="13">
        <v>42748</v>
      </c>
      <c r="F4" s="4">
        <v>42748</v>
      </c>
      <c r="G4" s="4">
        <v>42741</v>
      </c>
      <c r="H4">
        <v>2017</v>
      </c>
      <c r="K4" t="s">
        <v>903</v>
      </c>
      <c r="L4" t="s">
        <v>564</v>
      </c>
    </row>
    <row r="5" spans="1:13" x14ac:dyDescent="0.25">
      <c r="A5" t="s">
        <v>943</v>
      </c>
      <c r="B5" t="s">
        <v>948</v>
      </c>
      <c r="C5" t="s">
        <v>949</v>
      </c>
      <c r="D5" s="13">
        <v>42774</v>
      </c>
      <c r="E5" s="13">
        <v>42787</v>
      </c>
      <c r="F5" s="4">
        <v>42787</v>
      </c>
      <c r="G5" s="4">
        <v>42774</v>
      </c>
      <c r="H5">
        <v>2017</v>
      </c>
      <c r="K5" t="s">
        <v>906</v>
      </c>
      <c r="L5" t="s">
        <v>564</v>
      </c>
    </row>
    <row r="6" spans="1:13" x14ac:dyDescent="0.25">
      <c r="A6" t="s">
        <v>943</v>
      </c>
      <c r="B6" t="s">
        <v>950</v>
      </c>
      <c r="C6" t="s">
        <v>951</v>
      </c>
      <c r="D6" s="13">
        <v>42793</v>
      </c>
      <c r="E6" s="13">
        <v>42796</v>
      </c>
      <c r="F6" s="4">
        <v>42796</v>
      </c>
      <c r="G6" s="4">
        <v>42793</v>
      </c>
      <c r="H6">
        <v>2017</v>
      </c>
      <c r="K6" t="s">
        <v>906</v>
      </c>
      <c r="L6" t="s">
        <v>564</v>
      </c>
    </row>
    <row r="7" spans="1:13" x14ac:dyDescent="0.25">
      <c r="A7" t="s">
        <v>943</v>
      </c>
      <c r="B7" t="s">
        <v>952</v>
      </c>
      <c r="C7" t="s">
        <v>953</v>
      </c>
      <c r="D7" s="13">
        <v>42800</v>
      </c>
      <c r="E7" s="13">
        <v>42801</v>
      </c>
      <c r="F7" s="4">
        <v>42801</v>
      </c>
      <c r="G7" s="4">
        <v>42800</v>
      </c>
      <c r="H7">
        <v>2017</v>
      </c>
      <c r="K7" t="s">
        <v>457</v>
      </c>
      <c r="L7" t="s">
        <v>13</v>
      </c>
    </row>
    <row r="8" spans="1:13" x14ac:dyDescent="0.25">
      <c r="A8" t="s">
        <v>943</v>
      </c>
      <c r="B8" t="s">
        <v>954</v>
      </c>
      <c r="C8" t="s">
        <v>947</v>
      </c>
      <c r="D8" s="13">
        <v>42807</v>
      </c>
      <c r="E8" s="13">
        <v>42809</v>
      </c>
      <c r="F8" s="4">
        <v>42809</v>
      </c>
      <c r="G8" s="4">
        <v>42807</v>
      </c>
      <c r="H8">
        <v>2017</v>
      </c>
      <c r="K8" t="s">
        <v>903</v>
      </c>
      <c r="L8" t="s">
        <v>564</v>
      </c>
    </row>
    <row r="9" spans="1:13" hidden="1" x14ac:dyDescent="0.25">
      <c r="A9" t="s">
        <v>955</v>
      </c>
      <c r="B9" t="s">
        <v>956</v>
      </c>
      <c r="C9" t="s">
        <v>957</v>
      </c>
      <c r="D9" s="13">
        <v>42860</v>
      </c>
      <c r="E9" s="13">
        <v>42875</v>
      </c>
      <c r="F9" s="4">
        <v>42875</v>
      </c>
      <c r="G9" s="4">
        <v>42860</v>
      </c>
      <c r="H9">
        <v>2017</v>
      </c>
      <c r="K9" t="s">
        <v>895</v>
      </c>
      <c r="L9" t="s">
        <v>15</v>
      </c>
    </row>
    <row r="10" spans="1:13" hidden="1" x14ac:dyDescent="0.25">
      <c r="A10" t="s">
        <v>955</v>
      </c>
      <c r="B10" t="s">
        <v>958</v>
      </c>
      <c r="C10" t="s">
        <v>959</v>
      </c>
      <c r="D10" s="13">
        <v>42853</v>
      </c>
      <c r="E10" s="13">
        <v>42856</v>
      </c>
      <c r="F10" s="4">
        <v>42856</v>
      </c>
      <c r="G10" s="4">
        <v>42853</v>
      </c>
      <c r="H10">
        <v>2017</v>
      </c>
      <c r="K10" t="s">
        <v>895</v>
      </c>
      <c r="L10" t="s">
        <v>564</v>
      </c>
    </row>
    <row r="11" spans="1:13" hidden="1" x14ac:dyDescent="0.25">
      <c r="A11" t="s">
        <v>960</v>
      </c>
      <c r="B11" t="s">
        <v>961</v>
      </c>
      <c r="C11" t="s">
        <v>962</v>
      </c>
      <c r="D11" s="13">
        <v>42903</v>
      </c>
      <c r="E11" s="13">
        <v>42907</v>
      </c>
      <c r="F11" s="4">
        <v>42907</v>
      </c>
      <c r="G11" s="4">
        <v>42903</v>
      </c>
      <c r="H11">
        <v>2017</v>
      </c>
      <c r="K11" t="s">
        <v>6</v>
      </c>
      <c r="L11" t="s">
        <v>13</v>
      </c>
    </row>
    <row r="12" spans="1:13" x14ac:dyDescent="0.25">
      <c r="A12" t="s">
        <v>943</v>
      </c>
      <c r="B12" t="s">
        <v>963</v>
      </c>
      <c r="C12" t="s">
        <v>964</v>
      </c>
      <c r="D12" s="13">
        <v>42864</v>
      </c>
      <c r="E12" s="13">
        <v>42866</v>
      </c>
      <c r="F12" s="4">
        <v>42866</v>
      </c>
      <c r="G12" s="4">
        <v>42864</v>
      </c>
      <c r="H12">
        <v>2017</v>
      </c>
      <c r="K12" t="s">
        <v>906</v>
      </c>
      <c r="L12" t="s">
        <v>564</v>
      </c>
    </row>
    <row r="13" spans="1:13" x14ac:dyDescent="0.25">
      <c r="A13" t="s">
        <v>943</v>
      </c>
      <c r="B13" t="s">
        <v>965</v>
      </c>
      <c r="C13" t="s">
        <v>966</v>
      </c>
      <c r="D13" s="13">
        <v>42911</v>
      </c>
      <c r="E13" s="13">
        <v>42915</v>
      </c>
      <c r="F13" s="4">
        <v>42915</v>
      </c>
      <c r="G13" s="4">
        <v>42911</v>
      </c>
      <c r="H13">
        <v>2017</v>
      </c>
      <c r="K13" t="s">
        <v>906</v>
      </c>
      <c r="L13" t="s">
        <v>564</v>
      </c>
    </row>
    <row r="14" spans="1:13" x14ac:dyDescent="0.25">
      <c r="A14" t="s">
        <v>943</v>
      </c>
      <c r="B14" t="s">
        <v>967</v>
      </c>
      <c r="C14" t="s">
        <v>966</v>
      </c>
      <c r="D14" s="13">
        <v>42895</v>
      </c>
      <c r="E14" s="13">
        <v>42898</v>
      </c>
      <c r="F14" s="4">
        <v>42898</v>
      </c>
      <c r="G14" s="4">
        <v>42895</v>
      </c>
      <c r="H14">
        <v>2017</v>
      </c>
      <c r="K14" t="s">
        <v>906</v>
      </c>
      <c r="L14" t="s">
        <v>564</v>
      </c>
    </row>
    <row r="15" spans="1:13" x14ac:dyDescent="0.25">
      <c r="A15" t="s">
        <v>943</v>
      </c>
      <c r="B15" t="s">
        <v>968</v>
      </c>
      <c r="C15" t="s">
        <v>969</v>
      </c>
      <c r="D15" s="13">
        <v>42952</v>
      </c>
      <c r="E15" s="13">
        <v>42953</v>
      </c>
      <c r="F15" s="4">
        <v>42953</v>
      </c>
      <c r="G15" s="4">
        <v>42952</v>
      </c>
      <c r="H15">
        <v>2017</v>
      </c>
      <c r="K15" t="s">
        <v>457</v>
      </c>
      <c r="L15" t="s">
        <v>13</v>
      </c>
    </row>
    <row r="16" spans="1:13" x14ac:dyDescent="0.25">
      <c r="A16" t="s">
        <v>943</v>
      </c>
      <c r="B16" t="s">
        <v>970</v>
      </c>
      <c r="C16" t="s">
        <v>951</v>
      </c>
      <c r="D16" s="13">
        <v>42952</v>
      </c>
      <c r="E16" s="13">
        <v>42955</v>
      </c>
      <c r="F16" s="4">
        <v>42955</v>
      </c>
      <c r="G16" s="4">
        <v>42952</v>
      </c>
      <c r="H16">
        <v>2017</v>
      </c>
      <c r="K16" t="s">
        <v>906</v>
      </c>
      <c r="L16" t="s">
        <v>564</v>
      </c>
    </row>
    <row r="17" spans="1:13" x14ac:dyDescent="0.25">
      <c r="A17" t="s">
        <v>943</v>
      </c>
      <c r="B17" t="s">
        <v>971</v>
      </c>
      <c r="C17" t="s">
        <v>972</v>
      </c>
      <c r="D17" s="13">
        <v>42965</v>
      </c>
      <c r="E17" s="13">
        <v>42966</v>
      </c>
      <c r="F17" s="4">
        <v>42966</v>
      </c>
      <c r="G17" s="4">
        <v>42965</v>
      </c>
      <c r="H17">
        <v>2017</v>
      </c>
      <c r="K17" t="s">
        <v>457</v>
      </c>
      <c r="L17" t="s">
        <v>13</v>
      </c>
    </row>
    <row r="18" spans="1:13" x14ac:dyDescent="0.25">
      <c r="A18" t="s">
        <v>943</v>
      </c>
      <c r="B18" t="s">
        <v>973</v>
      </c>
      <c r="C18" t="s">
        <v>974</v>
      </c>
      <c r="D18" s="13">
        <v>42972</v>
      </c>
      <c r="E18" s="13">
        <v>42976</v>
      </c>
      <c r="F18" s="4">
        <v>42976</v>
      </c>
      <c r="G18" s="4">
        <v>42972</v>
      </c>
      <c r="H18">
        <v>2017</v>
      </c>
      <c r="K18" t="s">
        <v>457</v>
      </c>
      <c r="L18" t="s">
        <v>564</v>
      </c>
      <c r="M18" t="s">
        <v>895</v>
      </c>
    </row>
    <row r="19" spans="1:13" x14ac:dyDescent="0.25">
      <c r="A19" t="s">
        <v>943</v>
      </c>
      <c r="B19" t="s">
        <v>975</v>
      </c>
      <c r="C19" t="s">
        <v>976</v>
      </c>
      <c r="D19" s="13">
        <v>42986</v>
      </c>
      <c r="E19" s="13">
        <v>42987</v>
      </c>
      <c r="F19" s="4">
        <v>42987</v>
      </c>
      <c r="G19" s="4">
        <v>42986</v>
      </c>
      <c r="H19">
        <v>2017</v>
      </c>
      <c r="K19" t="s">
        <v>457</v>
      </c>
      <c r="L19" t="s">
        <v>481</v>
      </c>
    </row>
    <row r="20" spans="1:13" x14ac:dyDescent="0.25">
      <c r="A20" t="s">
        <v>943</v>
      </c>
      <c r="B20" t="s">
        <v>975</v>
      </c>
      <c r="C20" t="s">
        <v>976</v>
      </c>
      <c r="D20" s="13">
        <v>42988</v>
      </c>
      <c r="E20" s="13">
        <v>43006</v>
      </c>
      <c r="F20" s="4">
        <v>43006</v>
      </c>
      <c r="G20" s="4">
        <v>42988</v>
      </c>
      <c r="H20">
        <v>2017</v>
      </c>
      <c r="K20" t="s">
        <v>457</v>
      </c>
      <c r="L20" t="s">
        <v>564</v>
      </c>
      <c r="M20" t="s">
        <v>895</v>
      </c>
    </row>
    <row r="21" spans="1:13" x14ac:dyDescent="0.25">
      <c r="A21" t="s">
        <v>943</v>
      </c>
      <c r="B21" t="s">
        <v>977</v>
      </c>
      <c r="C21" t="s">
        <v>978</v>
      </c>
      <c r="D21" s="13">
        <v>42997</v>
      </c>
      <c r="E21" s="13">
        <v>42999</v>
      </c>
      <c r="F21" s="4">
        <v>42999</v>
      </c>
      <c r="G21" s="4">
        <v>42997</v>
      </c>
      <c r="H21">
        <v>2017</v>
      </c>
      <c r="K21" t="s">
        <v>457</v>
      </c>
      <c r="L21" t="s">
        <v>481</v>
      </c>
      <c r="M21" t="s">
        <v>895</v>
      </c>
    </row>
    <row r="22" spans="1:13" x14ac:dyDescent="0.25">
      <c r="A22" t="s">
        <v>943</v>
      </c>
      <c r="B22" t="s">
        <v>979</v>
      </c>
      <c r="C22" t="s">
        <v>980</v>
      </c>
      <c r="D22" s="13">
        <v>42987</v>
      </c>
      <c r="E22" s="13">
        <v>42988</v>
      </c>
      <c r="F22" s="4">
        <v>42988</v>
      </c>
      <c r="G22" s="4">
        <v>42987</v>
      </c>
      <c r="H22">
        <v>2017</v>
      </c>
      <c r="K22" t="s">
        <v>457</v>
      </c>
      <c r="L22" t="s">
        <v>13</v>
      </c>
    </row>
    <row r="23" spans="1:13" x14ac:dyDescent="0.25">
      <c r="A23" t="s">
        <v>943</v>
      </c>
      <c r="B23" t="s">
        <v>981</v>
      </c>
      <c r="C23" t="s">
        <v>982</v>
      </c>
      <c r="D23" s="13">
        <v>43015</v>
      </c>
      <c r="E23" s="13">
        <v>43016</v>
      </c>
      <c r="F23" s="4">
        <v>43016</v>
      </c>
      <c r="G23" s="4">
        <v>43015</v>
      </c>
      <c r="H23">
        <v>2017</v>
      </c>
      <c r="K23" t="s">
        <v>457</v>
      </c>
      <c r="L23" t="s">
        <v>564</v>
      </c>
    </row>
    <row r="24" spans="1:13" hidden="1" x14ac:dyDescent="0.25">
      <c r="A24" t="s">
        <v>960</v>
      </c>
      <c r="B24" t="s">
        <v>983</v>
      </c>
      <c r="C24" t="s">
        <v>962</v>
      </c>
      <c r="D24" s="13">
        <v>43023</v>
      </c>
      <c r="E24" s="13">
        <v>43024</v>
      </c>
      <c r="F24" s="4">
        <v>43024</v>
      </c>
      <c r="G24" s="4">
        <v>43023</v>
      </c>
      <c r="H24">
        <v>2017</v>
      </c>
      <c r="K24" t="s">
        <v>6</v>
      </c>
      <c r="L24" t="s">
        <v>13</v>
      </c>
    </row>
    <row r="25" spans="1:13" hidden="1" x14ac:dyDescent="0.25">
      <c r="A25" t="s">
        <v>960</v>
      </c>
      <c r="B25" t="s">
        <v>984</v>
      </c>
      <c r="C25" t="s">
        <v>985</v>
      </c>
      <c r="D25" s="13">
        <v>42887</v>
      </c>
      <c r="E25" s="13">
        <v>43100</v>
      </c>
      <c r="F25" s="4">
        <v>43100</v>
      </c>
      <c r="G25" s="4">
        <v>42887</v>
      </c>
      <c r="H25">
        <v>2017</v>
      </c>
      <c r="K25" t="s">
        <v>6</v>
      </c>
      <c r="L25" t="s">
        <v>564</v>
      </c>
    </row>
    <row r="26" spans="1:13" hidden="1" x14ac:dyDescent="0.25">
      <c r="A26" t="s">
        <v>960</v>
      </c>
      <c r="B26" t="s">
        <v>986</v>
      </c>
      <c r="C26" t="s">
        <v>987</v>
      </c>
      <c r="D26" s="13">
        <v>43073</v>
      </c>
      <c r="E26" s="13">
        <v>43100</v>
      </c>
      <c r="F26" s="4">
        <v>43100</v>
      </c>
      <c r="G26" s="4">
        <v>43073</v>
      </c>
      <c r="H26">
        <v>2017</v>
      </c>
      <c r="K26" t="s">
        <v>6</v>
      </c>
      <c r="L26" t="s">
        <v>564</v>
      </c>
    </row>
    <row r="27" spans="1:13" x14ac:dyDescent="0.25">
      <c r="A27" t="s">
        <v>943</v>
      </c>
      <c r="B27" t="s">
        <v>988</v>
      </c>
      <c r="C27" t="s">
        <v>966</v>
      </c>
      <c r="D27" s="13">
        <v>43044</v>
      </c>
      <c r="E27" s="13">
        <v>43045</v>
      </c>
      <c r="F27" s="4">
        <v>43045</v>
      </c>
      <c r="G27" s="4">
        <v>43044</v>
      </c>
      <c r="H27">
        <v>2017</v>
      </c>
      <c r="K27" t="s">
        <v>906</v>
      </c>
      <c r="L27" t="s">
        <v>564</v>
      </c>
    </row>
    <row r="28" spans="1:13" x14ac:dyDescent="0.25">
      <c r="A28" t="s">
        <v>943</v>
      </c>
      <c r="B28" t="s">
        <v>989</v>
      </c>
      <c r="C28" t="s">
        <v>947</v>
      </c>
      <c r="D28" s="13">
        <v>43100</v>
      </c>
      <c r="E28" s="13">
        <v>43105</v>
      </c>
      <c r="F28" s="4">
        <v>43105</v>
      </c>
      <c r="G28" s="4">
        <v>43100</v>
      </c>
      <c r="H28">
        <v>2018</v>
      </c>
      <c r="K28" t="s">
        <v>903</v>
      </c>
      <c r="L28" t="s">
        <v>564</v>
      </c>
    </row>
    <row r="29" spans="1:13" hidden="1" x14ac:dyDescent="0.25">
      <c r="A29" t="s">
        <v>955</v>
      </c>
      <c r="B29" t="s">
        <v>990</v>
      </c>
      <c r="C29" t="s">
        <v>991</v>
      </c>
      <c r="D29" s="13">
        <v>43080</v>
      </c>
      <c r="E29" s="13">
        <v>43081</v>
      </c>
      <c r="F29" s="4">
        <v>43081</v>
      </c>
      <c r="G29" s="4">
        <v>43080</v>
      </c>
      <c r="H29">
        <v>2017</v>
      </c>
      <c r="K29" t="s">
        <v>895</v>
      </c>
      <c r="L29" t="s">
        <v>13</v>
      </c>
    </row>
    <row r="30" spans="1:13" x14ac:dyDescent="0.25">
      <c r="A30" t="s">
        <v>943</v>
      </c>
      <c r="B30" t="s">
        <v>992</v>
      </c>
      <c r="C30" t="s">
        <v>964</v>
      </c>
      <c r="D30" s="13">
        <v>42800</v>
      </c>
      <c r="E30" s="13">
        <v>42803</v>
      </c>
      <c r="F30" s="4">
        <v>42803</v>
      </c>
      <c r="G30" s="4">
        <v>42800</v>
      </c>
      <c r="H30">
        <v>2017</v>
      </c>
      <c r="K30" t="s">
        <v>906</v>
      </c>
      <c r="L30" t="s">
        <v>564</v>
      </c>
    </row>
    <row r="31" spans="1:13" x14ac:dyDescent="0.25">
      <c r="A31" t="s">
        <v>943</v>
      </c>
      <c r="B31" t="s">
        <v>993</v>
      </c>
      <c r="C31" t="s">
        <v>951</v>
      </c>
      <c r="D31" s="13">
        <v>42819</v>
      </c>
      <c r="E31" s="13">
        <v>42822</v>
      </c>
      <c r="F31" s="4">
        <v>42822</v>
      </c>
      <c r="G31" s="4">
        <v>42819</v>
      </c>
      <c r="H31">
        <v>2017</v>
      </c>
      <c r="K31" t="s">
        <v>906</v>
      </c>
      <c r="L31" t="s">
        <v>564</v>
      </c>
    </row>
    <row r="32" spans="1:13" x14ac:dyDescent="0.25">
      <c r="A32" t="s">
        <v>943</v>
      </c>
      <c r="B32" t="s">
        <v>994</v>
      </c>
      <c r="C32" t="s">
        <v>995</v>
      </c>
      <c r="D32" s="13">
        <v>42908</v>
      </c>
      <c r="E32" s="13">
        <v>42909</v>
      </c>
      <c r="F32" s="4">
        <v>42909</v>
      </c>
      <c r="G32" s="4">
        <v>42908</v>
      </c>
      <c r="H32">
        <v>2017</v>
      </c>
      <c r="K32" t="s">
        <v>457</v>
      </c>
      <c r="L32" t="s">
        <v>13</v>
      </c>
    </row>
    <row r="33" spans="1:13" x14ac:dyDescent="0.25">
      <c r="A33" t="s">
        <v>943</v>
      </c>
      <c r="B33" t="s">
        <v>996</v>
      </c>
      <c r="C33" t="s">
        <v>997</v>
      </c>
      <c r="D33" s="13">
        <v>43103</v>
      </c>
      <c r="E33" s="13">
        <v>43104</v>
      </c>
      <c r="F33" s="4">
        <v>43104</v>
      </c>
      <c r="G33" s="4">
        <v>43103</v>
      </c>
      <c r="H33">
        <v>2018</v>
      </c>
      <c r="K33" t="s">
        <v>457</v>
      </c>
      <c r="L33" t="s">
        <v>13</v>
      </c>
      <c r="M33" t="s">
        <v>258</v>
      </c>
    </row>
    <row r="34" spans="1:13" hidden="1" x14ac:dyDescent="0.25">
      <c r="A34" t="s">
        <v>998</v>
      </c>
      <c r="B34" t="s">
        <v>999</v>
      </c>
      <c r="C34" t="s">
        <v>1000</v>
      </c>
      <c r="D34" s="13">
        <v>43108</v>
      </c>
      <c r="E34" s="13">
        <v>43114</v>
      </c>
      <c r="F34" s="4">
        <v>43114</v>
      </c>
      <c r="G34" s="4">
        <v>43108</v>
      </c>
      <c r="H34">
        <v>2018</v>
      </c>
      <c r="K34" t="s">
        <v>258</v>
      </c>
      <c r="L34" t="s">
        <v>564</v>
      </c>
    </row>
    <row r="35" spans="1:13" x14ac:dyDescent="0.25">
      <c r="A35" t="s">
        <v>943</v>
      </c>
      <c r="B35" t="s">
        <v>1001</v>
      </c>
      <c r="C35" t="s">
        <v>1002</v>
      </c>
      <c r="D35" s="13">
        <v>43117</v>
      </c>
      <c r="E35" s="13">
        <v>43118</v>
      </c>
      <c r="F35" s="4">
        <v>43118</v>
      </c>
      <c r="G35" s="4">
        <v>43117</v>
      </c>
      <c r="H35">
        <v>2018</v>
      </c>
      <c r="K35" t="s">
        <v>457</v>
      </c>
      <c r="L35" t="s">
        <v>13</v>
      </c>
    </row>
    <row r="36" spans="1:13" hidden="1" x14ac:dyDescent="0.25">
      <c r="A36" t="s">
        <v>955</v>
      </c>
      <c r="B36" t="s">
        <v>1003</v>
      </c>
      <c r="C36" t="s">
        <v>1004</v>
      </c>
      <c r="D36" s="13">
        <v>43124</v>
      </c>
      <c r="E36" s="13">
        <v>43129</v>
      </c>
      <c r="F36" s="4">
        <v>43129</v>
      </c>
      <c r="G36" s="4">
        <v>43124</v>
      </c>
      <c r="H36">
        <v>2018</v>
      </c>
      <c r="K36" t="s">
        <v>895</v>
      </c>
      <c r="L36" t="s">
        <v>13</v>
      </c>
    </row>
    <row r="37" spans="1:13" x14ac:dyDescent="0.25">
      <c r="A37" t="s">
        <v>943</v>
      </c>
      <c r="B37" t="s">
        <v>1005</v>
      </c>
      <c r="C37" t="s">
        <v>1006</v>
      </c>
      <c r="D37" s="13">
        <v>43103</v>
      </c>
      <c r="E37" s="13">
        <v>43105</v>
      </c>
      <c r="F37" s="4">
        <v>43105</v>
      </c>
      <c r="G37" s="4">
        <v>43103</v>
      </c>
      <c r="H37">
        <v>2018</v>
      </c>
      <c r="K37" t="s">
        <v>903</v>
      </c>
      <c r="L37" t="s">
        <v>564</v>
      </c>
    </row>
    <row r="38" spans="1:13" x14ac:dyDescent="0.25">
      <c r="A38" t="s">
        <v>943</v>
      </c>
      <c r="B38" t="s">
        <v>1007</v>
      </c>
      <c r="C38" t="s">
        <v>1006</v>
      </c>
      <c r="D38" s="13">
        <v>43121</v>
      </c>
      <c r="E38" s="13">
        <v>43124</v>
      </c>
      <c r="F38" s="4">
        <v>43124</v>
      </c>
      <c r="G38" s="4">
        <v>43121</v>
      </c>
      <c r="H38">
        <v>2018</v>
      </c>
      <c r="K38" t="s">
        <v>903</v>
      </c>
      <c r="L38" t="s">
        <v>564</v>
      </c>
    </row>
    <row r="39" spans="1:13" x14ac:dyDescent="0.25">
      <c r="A39" t="s">
        <v>943</v>
      </c>
      <c r="B39" t="s">
        <v>1008</v>
      </c>
      <c r="C39" t="s">
        <v>1006</v>
      </c>
      <c r="D39" s="13">
        <v>43160</v>
      </c>
      <c r="E39" s="13">
        <v>43162</v>
      </c>
      <c r="F39" s="4">
        <v>43162</v>
      </c>
      <c r="G39" s="4">
        <v>43160</v>
      </c>
      <c r="H39">
        <v>2018</v>
      </c>
      <c r="K39" t="s">
        <v>903</v>
      </c>
      <c r="L39" t="s">
        <v>564</v>
      </c>
    </row>
    <row r="40" spans="1:13" x14ac:dyDescent="0.25">
      <c r="A40" t="s">
        <v>943</v>
      </c>
      <c r="B40" t="s">
        <v>1009</v>
      </c>
      <c r="C40" t="s">
        <v>1010</v>
      </c>
      <c r="D40" s="13">
        <v>43203</v>
      </c>
      <c r="E40" s="13">
        <v>43205</v>
      </c>
      <c r="F40" s="4">
        <v>43205</v>
      </c>
      <c r="G40" s="4">
        <v>43203</v>
      </c>
      <c r="H40">
        <v>2018</v>
      </c>
      <c r="K40" t="s">
        <v>906</v>
      </c>
      <c r="L40" t="s">
        <v>564</v>
      </c>
    </row>
    <row r="41" spans="1:13" hidden="1" x14ac:dyDescent="0.25">
      <c r="A41" t="s">
        <v>955</v>
      </c>
      <c r="B41" t="s">
        <v>1011</v>
      </c>
      <c r="C41" t="s">
        <v>1012</v>
      </c>
      <c r="D41" s="13">
        <v>43204</v>
      </c>
      <c r="E41" s="13">
        <v>43205</v>
      </c>
      <c r="F41" s="4">
        <v>43205</v>
      </c>
      <c r="G41" s="4">
        <v>43204</v>
      </c>
      <c r="H41">
        <v>2018</v>
      </c>
      <c r="K41" t="s">
        <v>895</v>
      </c>
      <c r="L41" t="s">
        <v>564</v>
      </c>
    </row>
    <row r="42" spans="1:13" x14ac:dyDescent="0.25">
      <c r="A42" t="s">
        <v>943</v>
      </c>
      <c r="B42" t="s">
        <v>1013</v>
      </c>
      <c r="C42" t="s">
        <v>1014</v>
      </c>
      <c r="D42" s="13">
        <v>43247</v>
      </c>
      <c r="E42" s="13">
        <v>43250</v>
      </c>
      <c r="F42" s="4">
        <v>43250</v>
      </c>
      <c r="G42" s="4">
        <v>43247</v>
      </c>
      <c r="H42">
        <v>2018</v>
      </c>
      <c r="K42" t="s">
        <v>457</v>
      </c>
      <c r="L42" t="s">
        <v>564</v>
      </c>
    </row>
    <row r="43" spans="1:13" x14ac:dyDescent="0.25">
      <c r="A43" t="s">
        <v>943</v>
      </c>
      <c r="B43" t="s">
        <v>1015</v>
      </c>
      <c r="C43" t="s">
        <v>1010</v>
      </c>
      <c r="D43" s="13">
        <v>43233</v>
      </c>
      <c r="E43" s="13">
        <v>43235</v>
      </c>
      <c r="F43" s="4">
        <v>43235</v>
      </c>
      <c r="G43" s="4">
        <v>43233</v>
      </c>
      <c r="H43">
        <v>2018</v>
      </c>
      <c r="K43" t="s">
        <v>906</v>
      </c>
      <c r="L43" t="s">
        <v>564</v>
      </c>
    </row>
    <row r="44" spans="1:13" hidden="1" x14ac:dyDescent="0.25">
      <c r="A44" t="s">
        <v>960</v>
      </c>
      <c r="B44" t="s">
        <v>1016</v>
      </c>
      <c r="C44" t="s">
        <v>1017</v>
      </c>
      <c r="D44" s="13">
        <v>43308</v>
      </c>
      <c r="E44" s="13">
        <v>43343</v>
      </c>
      <c r="F44" s="4">
        <v>43343</v>
      </c>
      <c r="G44" s="4">
        <v>43308</v>
      </c>
      <c r="H44">
        <v>2018</v>
      </c>
      <c r="K44" t="s">
        <v>6</v>
      </c>
      <c r="L44" t="s">
        <v>564</v>
      </c>
    </row>
    <row r="45" spans="1:13" x14ac:dyDescent="0.25">
      <c r="A45" t="s">
        <v>943</v>
      </c>
      <c r="B45" t="s">
        <v>1018</v>
      </c>
      <c r="C45" t="s">
        <v>1019</v>
      </c>
      <c r="D45" s="13">
        <v>43300</v>
      </c>
      <c r="E45" s="13">
        <v>43303</v>
      </c>
      <c r="F45" s="4">
        <v>43303</v>
      </c>
      <c r="G45" s="4">
        <v>43300</v>
      </c>
      <c r="H45">
        <v>2018</v>
      </c>
      <c r="K45" t="s">
        <v>906</v>
      </c>
      <c r="L45" t="s">
        <v>564</v>
      </c>
    </row>
    <row r="46" spans="1:13" hidden="1" x14ac:dyDescent="0.25">
      <c r="A46" t="s">
        <v>955</v>
      </c>
      <c r="B46" t="s">
        <v>1020</v>
      </c>
      <c r="C46" t="s">
        <v>1021</v>
      </c>
      <c r="D46" s="13">
        <v>43346</v>
      </c>
      <c r="E46" s="13">
        <v>43354</v>
      </c>
      <c r="F46" s="4">
        <v>43354</v>
      </c>
      <c r="G46" s="4">
        <v>43346</v>
      </c>
      <c r="H46">
        <v>2018</v>
      </c>
      <c r="K46" t="s">
        <v>895</v>
      </c>
      <c r="L46" t="s">
        <v>564</v>
      </c>
    </row>
    <row r="47" spans="1:13" x14ac:dyDescent="0.25">
      <c r="A47" t="s">
        <v>943</v>
      </c>
      <c r="B47" t="s">
        <v>1022</v>
      </c>
      <c r="C47" t="s">
        <v>1023</v>
      </c>
      <c r="D47" s="13">
        <v>43355</v>
      </c>
      <c r="E47" s="13">
        <v>43361</v>
      </c>
      <c r="F47" s="4">
        <v>43361</v>
      </c>
      <c r="G47" s="4">
        <v>43355</v>
      </c>
      <c r="H47">
        <v>2018</v>
      </c>
      <c r="K47" t="s">
        <v>457</v>
      </c>
      <c r="L47" t="s">
        <v>564</v>
      </c>
      <c r="M47" t="s">
        <v>895</v>
      </c>
    </row>
    <row r="48" spans="1:13" x14ac:dyDescent="0.25">
      <c r="A48" t="s">
        <v>943</v>
      </c>
      <c r="B48" t="s">
        <v>1024</v>
      </c>
      <c r="C48" t="s">
        <v>1025</v>
      </c>
      <c r="D48" s="13">
        <v>43318</v>
      </c>
      <c r="E48" s="13">
        <v>43319</v>
      </c>
      <c r="F48" s="4">
        <v>43319</v>
      </c>
      <c r="G48" s="4">
        <v>43318</v>
      </c>
      <c r="H48">
        <v>2018</v>
      </c>
      <c r="K48" t="s">
        <v>906</v>
      </c>
      <c r="L48" t="s">
        <v>564</v>
      </c>
    </row>
    <row r="49" spans="1:12" x14ac:dyDescent="0.25">
      <c r="A49" t="s">
        <v>943</v>
      </c>
      <c r="B49" t="s">
        <v>1026</v>
      </c>
      <c r="C49" t="s">
        <v>1027</v>
      </c>
      <c r="D49" s="13">
        <v>43364</v>
      </c>
      <c r="E49" s="13">
        <v>43364</v>
      </c>
      <c r="F49" s="4">
        <v>43364</v>
      </c>
      <c r="G49" s="4">
        <v>43364</v>
      </c>
      <c r="H49">
        <v>2018</v>
      </c>
      <c r="K49" t="s">
        <v>906</v>
      </c>
      <c r="L49" t="s">
        <v>15</v>
      </c>
    </row>
    <row r="50" spans="1:12" x14ac:dyDescent="0.25">
      <c r="A50" t="s">
        <v>943</v>
      </c>
      <c r="B50" t="s">
        <v>1028</v>
      </c>
      <c r="C50" t="s">
        <v>1029</v>
      </c>
      <c r="D50" s="13">
        <v>43383</v>
      </c>
      <c r="E50" s="13">
        <v>43384</v>
      </c>
      <c r="F50" s="4">
        <v>43384</v>
      </c>
      <c r="G50" s="4">
        <v>43383</v>
      </c>
      <c r="H50">
        <v>2018</v>
      </c>
      <c r="K50" t="s">
        <v>457</v>
      </c>
      <c r="L50" t="s">
        <v>564</v>
      </c>
    </row>
    <row r="51" spans="1:12" hidden="1" x14ac:dyDescent="0.25">
      <c r="A51" t="s">
        <v>955</v>
      </c>
      <c r="B51" t="s">
        <v>1030</v>
      </c>
      <c r="C51" t="s">
        <v>1004</v>
      </c>
      <c r="D51" s="13">
        <v>43387</v>
      </c>
      <c r="E51" s="13">
        <v>43388</v>
      </c>
      <c r="F51" s="4">
        <v>43388</v>
      </c>
      <c r="G51" s="4">
        <v>43387</v>
      </c>
      <c r="H51">
        <v>2018</v>
      </c>
      <c r="K51" t="s">
        <v>895</v>
      </c>
      <c r="L51" t="s">
        <v>13</v>
      </c>
    </row>
    <row r="52" spans="1:12" x14ac:dyDescent="0.25">
      <c r="A52" t="s">
        <v>943</v>
      </c>
      <c r="B52" t="s">
        <v>1031</v>
      </c>
      <c r="C52" t="s">
        <v>1032</v>
      </c>
      <c r="D52" s="13">
        <v>43387</v>
      </c>
      <c r="E52" s="13">
        <v>43389</v>
      </c>
      <c r="F52" s="4">
        <v>43389</v>
      </c>
      <c r="G52" s="4">
        <v>43387</v>
      </c>
      <c r="H52">
        <v>2018</v>
      </c>
      <c r="K52" t="s">
        <v>457</v>
      </c>
      <c r="L52" t="s">
        <v>13</v>
      </c>
    </row>
    <row r="53" spans="1:12" x14ac:dyDescent="0.25">
      <c r="A53" t="s">
        <v>943</v>
      </c>
      <c r="B53" t="s">
        <v>1033</v>
      </c>
      <c r="C53" t="s">
        <v>1034</v>
      </c>
      <c r="D53" s="13">
        <v>43402</v>
      </c>
      <c r="E53" s="13">
        <v>43408</v>
      </c>
      <c r="F53" s="4">
        <v>43408</v>
      </c>
      <c r="G53" s="4">
        <v>43402</v>
      </c>
      <c r="H53">
        <v>2018</v>
      </c>
      <c r="K53" t="s">
        <v>457</v>
      </c>
      <c r="L53" t="s">
        <v>13</v>
      </c>
    </row>
    <row r="54" spans="1:12" hidden="1" x14ac:dyDescent="0.25">
      <c r="A54" t="s">
        <v>960</v>
      </c>
      <c r="B54" t="s">
        <v>1035</v>
      </c>
      <c r="C54" t="s">
        <v>1036</v>
      </c>
      <c r="D54" s="13">
        <v>43252</v>
      </c>
      <c r="E54" s="13">
        <v>43465</v>
      </c>
      <c r="F54" s="4">
        <v>43465</v>
      </c>
      <c r="G54" s="4">
        <v>43252</v>
      </c>
      <c r="H54">
        <v>2018</v>
      </c>
      <c r="K54" t="s">
        <v>6</v>
      </c>
      <c r="L54" t="s">
        <v>564</v>
      </c>
    </row>
    <row r="55" spans="1:12" hidden="1" x14ac:dyDescent="0.25">
      <c r="A55" t="s">
        <v>955</v>
      </c>
      <c r="B55" t="s">
        <v>1037</v>
      </c>
      <c r="C55" t="s">
        <v>1038</v>
      </c>
      <c r="D55" s="13">
        <v>43388</v>
      </c>
      <c r="E55" s="13">
        <v>43393</v>
      </c>
      <c r="F55" s="4">
        <v>43393</v>
      </c>
      <c r="G55" s="4">
        <v>43388</v>
      </c>
      <c r="H55">
        <v>2018</v>
      </c>
      <c r="K55" t="s">
        <v>895</v>
      </c>
      <c r="L55" t="s">
        <v>564</v>
      </c>
    </row>
    <row r="56" spans="1:12" x14ac:dyDescent="0.25">
      <c r="A56" t="s">
        <v>943</v>
      </c>
      <c r="B56" t="s">
        <v>1039</v>
      </c>
      <c r="C56" t="s">
        <v>1006</v>
      </c>
      <c r="D56" s="13">
        <v>43460</v>
      </c>
      <c r="E56" s="13">
        <v>43462</v>
      </c>
      <c r="F56" s="4">
        <v>43462</v>
      </c>
      <c r="G56" s="4">
        <v>43460</v>
      </c>
      <c r="H56">
        <v>2018</v>
      </c>
      <c r="K56" t="s">
        <v>903</v>
      </c>
      <c r="L56" t="s">
        <v>564</v>
      </c>
    </row>
    <row r="57" spans="1:12" hidden="1" x14ac:dyDescent="0.25">
      <c r="A57" t="s">
        <v>960</v>
      </c>
      <c r="B57" t="s">
        <v>1040</v>
      </c>
      <c r="C57" t="s">
        <v>1041</v>
      </c>
      <c r="D57" s="13">
        <v>43412</v>
      </c>
      <c r="E57" s="13">
        <v>43425</v>
      </c>
      <c r="F57" s="4">
        <v>43425</v>
      </c>
      <c r="G57" s="4">
        <v>43412</v>
      </c>
      <c r="H57">
        <v>2018</v>
      </c>
      <c r="K57" t="s">
        <v>6</v>
      </c>
      <c r="L57" t="s">
        <v>564</v>
      </c>
    </row>
    <row r="58" spans="1:12" x14ac:dyDescent="0.25">
      <c r="A58" t="s">
        <v>943</v>
      </c>
      <c r="B58" t="s">
        <v>1042</v>
      </c>
      <c r="C58" t="s">
        <v>1043</v>
      </c>
      <c r="D58" s="13">
        <v>43483</v>
      </c>
      <c r="E58" s="13">
        <v>43486</v>
      </c>
      <c r="F58" s="4">
        <v>43486</v>
      </c>
      <c r="G58" s="4">
        <v>43483</v>
      </c>
      <c r="H58">
        <v>2019</v>
      </c>
      <c r="K58" t="s">
        <v>906</v>
      </c>
      <c r="L58" t="s">
        <v>564</v>
      </c>
    </row>
    <row r="59" spans="1:12" x14ac:dyDescent="0.25">
      <c r="A59" t="s">
        <v>943</v>
      </c>
      <c r="B59" t="s">
        <v>1044</v>
      </c>
      <c r="C59" t="s">
        <v>1045</v>
      </c>
      <c r="D59" s="13">
        <v>43527</v>
      </c>
      <c r="E59" s="13">
        <v>43528</v>
      </c>
      <c r="F59" s="4">
        <v>43528</v>
      </c>
      <c r="G59" s="4">
        <v>43527</v>
      </c>
      <c r="H59">
        <v>2019</v>
      </c>
      <c r="K59" t="s">
        <v>906</v>
      </c>
      <c r="L59" t="s">
        <v>564</v>
      </c>
    </row>
    <row r="60" spans="1:12" x14ac:dyDescent="0.25">
      <c r="A60" t="s">
        <v>943</v>
      </c>
      <c r="B60" t="s">
        <v>1046</v>
      </c>
      <c r="C60" t="s">
        <v>1047</v>
      </c>
      <c r="D60" s="13">
        <v>43519</v>
      </c>
      <c r="E60" s="13">
        <v>43521</v>
      </c>
      <c r="F60" s="4">
        <v>43521</v>
      </c>
      <c r="G60" s="4">
        <v>43519</v>
      </c>
      <c r="H60">
        <v>2019</v>
      </c>
      <c r="K60" t="s">
        <v>906</v>
      </c>
      <c r="L60" t="s">
        <v>564</v>
      </c>
    </row>
    <row r="61" spans="1:12" hidden="1" x14ac:dyDescent="0.25">
      <c r="A61" t="s">
        <v>955</v>
      </c>
      <c r="B61" t="s">
        <v>1048</v>
      </c>
      <c r="C61" t="s">
        <v>1049</v>
      </c>
      <c r="D61" s="13">
        <v>43538</v>
      </c>
      <c r="E61" s="13">
        <v>43555</v>
      </c>
      <c r="F61" s="4">
        <v>43555</v>
      </c>
      <c r="G61" s="4">
        <v>43538</v>
      </c>
      <c r="H61">
        <v>2019</v>
      </c>
      <c r="K61" t="s">
        <v>895</v>
      </c>
      <c r="L61" t="s">
        <v>564</v>
      </c>
    </row>
    <row r="62" spans="1:12" x14ac:dyDescent="0.25">
      <c r="A62" t="s">
        <v>943</v>
      </c>
      <c r="B62" t="s">
        <v>1050</v>
      </c>
      <c r="C62" t="s">
        <v>1045</v>
      </c>
      <c r="D62" s="13">
        <v>43568</v>
      </c>
      <c r="E62" s="13">
        <v>43569</v>
      </c>
      <c r="F62" s="4">
        <v>43569</v>
      </c>
      <c r="G62" s="4">
        <v>43568</v>
      </c>
      <c r="H62">
        <v>2019</v>
      </c>
      <c r="K62" t="s">
        <v>906</v>
      </c>
      <c r="L62" t="s">
        <v>564</v>
      </c>
    </row>
    <row r="63" spans="1:12" hidden="1" x14ac:dyDescent="0.25">
      <c r="A63" t="s">
        <v>955</v>
      </c>
      <c r="B63" t="s">
        <v>1051</v>
      </c>
      <c r="C63" t="s">
        <v>1052</v>
      </c>
      <c r="D63" s="13">
        <v>43582</v>
      </c>
      <c r="E63" s="13">
        <v>43590</v>
      </c>
      <c r="F63" s="4">
        <v>43590</v>
      </c>
      <c r="G63" s="4">
        <v>43582</v>
      </c>
      <c r="H63">
        <v>2019</v>
      </c>
      <c r="K63" t="s">
        <v>895</v>
      </c>
      <c r="L63" t="s">
        <v>15</v>
      </c>
    </row>
    <row r="64" spans="1:12" hidden="1" x14ac:dyDescent="0.25">
      <c r="A64" t="s">
        <v>940</v>
      </c>
      <c r="B64" t="s">
        <v>1053</v>
      </c>
      <c r="C64" t="s">
        <v>1054</v>
      </c>
      <c r="D64" s="13">
        <v>43651</v>
      </c>
      <c r="E64" s="13">
        <v>43651</v>
      </c>
      <c r="F64" s="4">
        <v>43651</v>
      </c>
      <c r="G64" s="4">
        <v>43651</v>
      </c>
      <c r="H64">
        <v>2019</v>
      </c>
      <c r="K64" t="s">
        <v>887</v>
      </c>
      <c r="L64" t="s">
        <v>564</v>
      </c>
    </row>
    <row r="65" spans="1:13" x14ac:dyDescent="0.25">
      <c r="A65" t="s">
        <v>943</v>
      </c>
      <c r="B65" t="s">
        <v>1055</v>
      </c>
      <c r="C65" t="s">
        <v>1056</v>
      </c>
      <c r="D65" s="13">
        <v>43659</v>
      </c>
      <c r="E65" s="13">
        <v>43661</v>
      </c>
      <c r="F65" s="4">
        <v>43661</v>
      </c>
      <c r="G65" s="4">
        <v>43659</v>
      </c>
      <c r="H65">
        <v>2019</v>
      </c>
      <c r="K65" t="s">
        <v>457</v>
      </c>
      <c r="L65" t="s">
        <v>564</v>
      </c>
    </row>
    <row r="66" spans="1:13" x14ac:dyDescent="0.25">
      <c r="A66" t="s">
        <v>943</v>
      </c>
      <c r="B66" t="s">
        <v>1057</v>
      </c>
      <c r="C66" t="s">
        <v>1058</v>
      </c>
      <c r="D66" s="13">
        <v>43709</v>
      </c>
      <c r="E66" s="13">
        <v>43712</v>
      </c>
      <c r="F66" s="4">
        <v>43712</v>
      </c>
      <c r="G66" s="4">
        <v>43709</v>
      </c>
      <c r="H66">
        <v>2019</v>
      </c>
      <c r="K66" t="s">
        <v>457</v>
      </c>
      <c r="L66" t="s">
        <v>481</v>
      </c>
    </row>
    <row r="67" spans="1:13" x14ac:dyDescent="0.25">
      <c r="A67" t="s">
        <v>943</v>
      </c>
      <c r="B67" t="s">
        <v>1057</v>
      </c>
      <c r="C67" t="s">
        <v>1058</v>
      </c>
      <c r="D67" s="13">
        <v>43705</v>
      </c>
      <c r="E67" s="13">
        <v>43714</v>
      </c>
      <c r="F67" s="4">
        <v>43714</v>
      </c>
      <c r="G67" s="4">
        <v>43705</v>
      </c>
      <c r="H67">
        <v>2019</v>
      </c>
      <c r="K67" t="s">
        <v>457</v>
      </c>
      <c r="L67" t="s">
        <v>564</v>
      </c>
      <c r="M67" t="s">
        <v>895</v>
      </c>
    </row>
    <row r="68" spans="1:13" x14ac:dyDescent="0.25">
      <c r="A68" t="s">
        <v>943</v>
      </c>
      <c r="B68" t="s">
        <v>1059</v>
      </c>
      <c r="C68" t="s">
        <v>1060</v>
      </c>
      <c r="D68" s="13">
        <v>43725</v>
      </c>
      <c r="E68" s="13">
        <v>43729</v>
      </c>
      <c r="F68" s="4">
        <v>43729</v>
      </c>
      <c r="G68" s="4">
        <v>43725</v>
      </c>
      <c r="H68">
        <v>2019</v>
      </c>
      <c r="K68" t="s">
        <v>457</v>
      </c>
      <c r="L68" t="s">
        <v>564</v>
      </c>
      <c r="M68" t="s">
        <v>895</v>
      </c>
    </row>
    <row r="69" spans="1:13" x14ac:dyDescent="0.25">
      <c r="A69" t="s">
        <v>943</v>
      </c>
      <c r="B69" t="s">
        <v>1061</v>
      </c>
      <c r="C69" t="s">
        <v>1062</v>
      </c>
      <c r="D69" s="13">
        <v>43758</v>
      </c>
      <c r="E69" s="13">
        <v>43759</v>
      </c>
      <c r="F69" s="4">
        <v>43759</v>
      </c>
      <c r="G69" s="4">
        <v>43758</v>
      </c>
      <c r="H69">
        <v>2019</v>
      </c>
      <c r="K69" t="s">
        <v>906</v>
      </c>
      <c r="L69" t="s">
        <v>564</v>
      </c>
    </row>
    <row r="70" spans="1:13" hidden="1" x14ac:dyDescent="0.25">
      <c r="A70" t="s">
        <v>960</v>
      </c>
      <c r="B70" t="s">
        <v>1063</v>
      </c>
      <c r="C70" t="s">
        <v>1064</v>
      </c>
      <c r="D70" s="13">
        <v>43748</v>
      </c>
      <c r="E70" s="13">
        <v>43755</v>
      </c>
      <c r="F70" s="4">
        <v>43755</v>
      </c>
      <c r="G70" s="4">
        <v>43748</v>
      </c>
      <c r="H70">
        <v>2019</v>
      </c>
      <c r="K70" t="s">
        <v>6</v>
      </c>
      <c r="L70" t="s">
        <v>564</v>
      </c>
    </row>
    <row r="71" spans="1:13" hidden="1" x14ac:dyDescent="0.25">
      <c r="A71" t="s">
        <v>960</v>
      </c>
      <c r="B71" t="s">
        <v>1065</v>
      </c>
      <c r="C71" t="s">
        <v>1066</v>
      </c>
      <c r="D71" s="13">
        <v>43764</v>
      </c>
      <c r="E71" s="13">
        <v>43769</v>
      </c>
      <c r="F71" s="4">
        <v>43769</v>
      </c>
      <c r="G71" s="4">
        <v>43764</v>
      </c>
      <c r="H71">
        <v>2019</v>
      </c>
      <c r="K71" t="s">
        <v>6</v>
      </c>
      <c r="L71" t="s">
        <v>564</v>
      </c>
    </row>
    <row r="72" spans="1:13" x14ac:dyDescent="0.25">
      <c r="A72" t="s">
        <v>943</v>
      </c>
      <c r="B72" t="s">
        <v>1067</v>
      </c>
      <c r="C72" t="s">
        <v>1068</v>
      </c>
      <c r="D72" s="13">
        <v>43769</v>
      </c>
      <c r="E72" s="13">
        <v>43771</v>
      </c>
      <c r="F72" s="4">
        <v>43771</v>
      </c>
      <c r="G72" s="4">
        <v>43769</v>
      </c>
      <c r="H72">
        <v>2019</v>
      </c>
      <c r="K72" t="s">
        <v>906</v>
      </c>
      <c r="L72" t="s">
        <v>15</v>
      </c>
    </row>
    <row r="73" spans="1:13" x14ac:dyDescent="0.25">
      <c r="A73" t="s">
        <v>943</v>
      </c>
      <c r="B73" t="s">
        <v>1069</v>
      </c>
      <c r="C73" t="s">
        <v>1070</v>
      </c>
      <c r="D73" s="13">
        <v>43792</v>
      </c>
      <c r="E73" s="13">
        <v>43793</v>
      </c>
      <c r="F73" s="4">
        <v>43793</v>
      </c>
      <c r="G73" s="4">
        <v>43792</v>
      </c>
      <c r="H73">
        <v>2019</v>
      </c>
      <c r="K73" t="s">
        <v>457</v>
      </c>
      <c r="L73" t="s">
        <v>13</v>
      </c>
    </row>
    <row r="74" spans="1:13" x14ac:dyDescent="0.25">
      <c r="A74" t="s">
        <v>943</v>
      </c>
      <c r="B74" t="s">
        <v>1071</v>
      </c>
      <c r="C74" t="s">
        <v>1072</v>
      </c>
      <c r="D74" s="13">
        <v>43811</v>
      </c>
      <c r="E74" s="13">
        <v>43816</v>
      </c>
      <c r="F74" s="4">
        <v>43816</v>
      </c>
      <c r="G74" s="4">
        <v>43811</v>
      </c>
      <c r="H74">
        <v>2019</v>
      </c>
      <c r="K74" t="s">
        <v>457</v>
      </c>
      <c r="L74" t="s">
        <v>13</v>
      </c>
    </row>
    <row r="75" spans="1:13" x14ac:dyDescent="0.25">
      <c r="A75" t="s">
        <v>943</v>
      </c>
      <c r="B75" t="s">
        <v>1073</v>
      </c>
      <c r="C75" t="s">
        <v>1062</v>
      </c>
      <c r="D75" s="13">
        <v>43815</v>
      </c>
      <c r="E75" s="13">
        <v>43817</v>
      </c>
      <c r="F75" s="4">
        <v>43817</v>
      </c>
      <c r="G75" s="4">
        <v>43815</v>
      </c>
      <c r="H75">
        <v>2019</v>
      </c>
      <c r="K75" t="s">
        <v>906</v>
      </c>
      <c r="L75" t="s">
        <v>564</v>
      </c>
    </row>
    <row r="76" spans="1:13" hidden="1" x14ac:dyDescent="0.25">
      <c r="A76" t="s">
        <v>940</v>
      </c>
      <c r="B76" t="s">
        <v>1074</v>
      </c>
      <c r="C76" t="s">
        <v>1075</v>
      </c>
      <c r="D76" s="13">
        <v>43837</v>
      </c>
      <c r="E76" s="13">
        <v>43837</v>
      </c>
      <c r="F76" s="4">
        <v>43837</v>
      </c>
      <c r="G76" s="4">
        <v>43837</v>
      </c>
      <c r="H76">
        <v>2020</v>
      </c>
      <c r="K76" t="s">
        <v>887</v>
      </c>
      <c r="L76" t="s">
        <v>481</v>
      </c>
    </row>
    <row r="77" spans="1:13" x14ac:dyDescent="0.25">
      <c r="A77" t="s">
        <v>943</v>
      </c>
      <c r="B77" t="s">
        <v>1076</v>
      </c>
      <c r="C77" t="s">
        <v>1077</v>
      </c>
      <c r="D77" s="13">
        <v>43840</v>
      </c>
      <c r="E77" s="13">
        <v>43842</v>
      </c>
      <c r="F77" s="4">
        <v>43842</v>
      </c>
      <c r="G77" s="4">
        <v>43840</v>
      </c>
      <c r="H77">
        <v>2020</v>
      </c>
      <c r="K77" t="s">
        <v>906</v>
      </c>
      <c r="L77" t="s">
        <v>564</v>
      </c>
    </row>
    <row r="78" spans="1:13" x14ac:dyDescent="0.25">
      <c r="A78" t="s">
        <v>943</v>
      </c>
      <c r="B78" t="s">
        <v>1078</v>
      </c>
      <c r="C78" t="s">
        <v>1079</v>
      </c>
      <c r="D78" s="13">
        <v>43892</v>
      </c>
      <c r="E78" s="13">
        <v>43895</v>
      </c>
      <c r="F78" s="4">
        <v>43895</v>
      </c>
      <c r="G78" s="4">
        <v>43892</v>
      </c>
      <c r="H78">
        <v>2020</v>
      </c>
      <c r="K78" t="s">
        <v>906</v>
      </c>
      <c r="L78" t="s">
        <v>564</v>
      </c>
    </row>
    <row r="79" spans="1:13" hidden="1" x14ac:dyDescent="0.25">
      <c r="A79" t="s">
        <v>955</v>
      </c>
      <c r="B79" t="s">
        <v>1080</v>
      </c>
      <c r="C79" t="s">
        <v>1081</v>
      </c>
      <c r="D79" s="13">
        <v>43871</v>
      </c>
      <c r="E79" s="13">
        <v>43878</v>
      </c>
      <c r="F79" s="4">
        <v>43878</v>
      </c>
      <c r="G79" s="4">
        <v>43871</v>
      </c>
      <c r="H79">
        <v>2020</v>
      </c>
      <c r="K79" t="s">
        <v>895</v>
      </c>
      <c r="L79" t="s">
        <v>564</v>
      </c>
    </row>
    <row r="80" spans="1:13" x14ac:dyDescent="0.25">
      <c r="A80" t="s">
        <v>943</v>
      </c>
      <c r="B80" t="s">
        <v>1082</v>
      </c>
      <c r="C80" t="s">
        <v>1079</v>
      </c>
      <c r="D80" s="13">
        <v>43931</v>
      </c>
      <c r="E80" s="13">
        <v>43935</v>
      </c>
      <c r="F80" s="4">
        <v>43935</v>
      </c>
      <c r="G80" s="4">
        <v>43931</v>
      </c>
      <c r="H80">
        <v>2020</v>
      </c>
      <c r="K80" t="s">
        <v>906</v>
      </c>
      <c r="L80" t="s">
        <v>564</v>
      </c>
    </row>
    <row r="81" spans="1:13" hidden="1" x14ac:dyDescent="0.25">
      <c r="A81" t="s">
        <v>940</v>
      </c>
      <c r="B81" t="s">
        <v>1083</v>
      </c>
      <c r="C81" t="s">
        <v>1075</v>
      </c>
      <c r="D81" s="13">
        <v>43953</v>
      </c>
      <c r="E81" s="13">
        <v>43953</v>
      </c>
      <c r="F81" s="4">
        <v>43953</v>
      </c>
      <c r="G81" s="4">
        <v>43953</v>
      </c>
      <c r="H81">
        <v>2020</v>
      </c>
      <c r="K81" t="s">
        <v>887</v>
      </c>
      <c r="L81" t="s">
        <v>481</v>
      </c>
    </row>
    <row r="82" spans="1:13" x14ac:dyDescent="0.25">
      <c r="A82" t="s">
        <v>943</v>
      </c>
      <c r="B82" t="s">
        <v>1084</v>
      </c>
      <c r="C82" t="s">
        <v>1079</v>
      </c>
      <c r="D82" s="13">
        <v>43942</v>
      </c>
      <c r="E82" s="13">
        <v>43945</v>
      </c>
      <c r="F82" s="4">
        <v>43945</v>
      </c>
      <c r="G82" s="4">
        <v>43942</v>
      </c>
      <c r="H82">
        <v>2020</v>
      </c>
      <c r="K82" t="s">
        <v>906</v>
      </c>
      <c r="L82" t="s">
        <v>564</v>
      </c>
    </row>
    <row r="83" spans="1:13" x14ac:dyDescent="0.25">
      <c r="A83" t="s">
        <v>943</v>
      </c>
      <c r="B83" t="s">
        <v>1085</v>
      </c>
      <c r="C83" t="s">
        <v>1079</v>
      </c>
      <c r="D83" s="13">
        <v>43927</v>
      </c>
      <c r="E83" s="13">
        <v>43930</v>
      </c>
      <c r="F83" s="4">
        <v>43930</v>
      </c>
      <c r="G83" s="4">
        <v>43927</v>
      </c>
      <c r="H83">
        <v>2020</v>
      </c>
      <c r="K83" t="s">
        <v>906</v>
      </c>
      <c r="L83" t="s">
        <v>564</v>
      </c>
    </row>
    <row r="84" spans="1:13" hidden="1" x14ac:dyDescent="0.25">
      <c r="A84" t="s">
        <v>955</v>
      </c>
      <c r="B84" t="s">
        <v>1086</v>
      </c>
      <c r="C84" t="s">
        <v>1087</v>
      </c>
      <c r="D84" s="13">
        <v>43947</v>
      </c>
      <c r="E84" s="13">
        <v>43951</v>
      </c>
      <c r="F84" s="4">
        <v>43951</v>
      </c>
      <c r="G84" s="4">
        <v>43947</v>
      </c>
      <c r="H84">
        <v>2020</v>
      </c>
      <c r="K84" t="s">
        <v>895</v>
      </c>
      <c r="L84" t="s">
        <v>15</v>
      </c>
    </row>
    <row r="85" spans="1:13" hidden="1" x14ac:dyDescent="0.25">
      <c r="A85" t="s">
        <v>955</v>
      </c>
      <c r="B85" t="s">
        <v>1088</v>
      </c>
      <c r="C85" t="s">
        <v>1089</v>
      </c>
      <c r="D85" s="13">
        <v>43968</v>
      </c>
      <c r="E85" s="13">
        <v>43971</v>
      </c>
      <c r="F85" s="4">
        <v>43971</v>
      </c>
      <c r="G85" s="4">
        <v>43968</v>
      </c>
      <c r="H85">
        <v>2020</v>
      </c>
      <c r="K85" t="s">
        <v>895</v>
      </c>
      <c r="L85" t="s">
        <v>564</v>
      </c>
    </row>
    <row r="86" spans="1:13" x14ac:dyDescent="0.25">
      <c r="A86" t="s">
        <v>943</v>
      </c>
      <c r="B86" t="s">
        <v>1090</v>
      </c>
      <c r="C86" t="s">
        <v>1091</v>
      </c>
      <c r="D86" s="13">
        <v>43989</v>
      </c>
      <c r="E86" s="13">
        <v>43989</v>
      </c>
      <c r="F86" s="4">
        <v>43989</v>
      </c>
      <c r="G86" s="4">
        <v>43989</v>
      </c>
      <c r="H86">
        <v>2020</v>
      </c>
      <c r="K86" t="s">
        <v>457</v>
      </c>
      <c r="L86" t="s">
        <v>564</v>
      </c>
    </row>
    <row r="87" spans="1:13" x14ac:dyDescent="0.25">
      <c r="A87" t="s">
        <v>943</v>
      </c>
      <c r="B87" t="s">
        <v>1092</v>
      </c>
      <c r="C87" t="s">
        <v>1077</v>
      </c>
      <c r="D87" s="13">
        <v>43953</v>
      </c>
      <c r="E87" s="13">
        <v>43954</v>
      </c>
      <c r="F87" s="4">
        <v>43954</v>
      </c>
      <c r="G87" s="4">
        <v>43953</v>
      </c>
      <c r="H87">
        <v>2020</v>
      </c>
      <c r="K87" t="s">
        <v>906</v>
      </c>
      <c r="L87" t="s">
        <v>564</v>
      </c>
    </row>
    <row r="88" spans="1:13" x14ac:dyDescent="0.25">
      <c r="A88" t="s">
        <v>943</v>
      </c>
      <c r="B88" t="s">
        <v>1093</v>
      </c>
      <c r="C88" t="s">
        <v>1094</v>
      </c>
      <c r="D88" s="13">
        <v>43995</v>
      </c>
      <c r="E88" s="13">
        <v>43996</v>
      </c>
      <c r="F88" s="4">
        <v>43996</v>
      </c>
      <c r="G88" s="4">
        <v>43995</v>
      </c>
      <c r="H88">
        <v>2020</v>
      </c>
      <c r="K88" t="s">
        <v>906</v>
      </c>
      <c r="L88" t="s">
        <v>15</v>
      </c>
    </row>
    <row r="89" spans="1:13" x14ac:dyDescent="0.25">
      <c r="A89" t="s">
        <v>943</v>
      </c>
      <c r="B89" t="s">
        <v>1095</v>
      </c>
      <c r="C89" t="s">
        <v>1096</v>
      </c>
      <c r="D89" s="13">
        <v>44045</v>
      </c>
      <c r="E89" s="13">
        <v>44045</v>
      </c>
      <c r="F89" s="4">
        <v>44045</v>
      </c>
      <c r="G89" s="4">
        <v>44045</v>
      </c>
      <c r="H89">
        <v>2020</v>
      </c>
      <c r="K89" t="s">
        <v>457</v>
      </c>
      <c r="L89" t="s">
        <v>481</v>
      </c>
    </row>
    <row r="90" spans="1:13" x14ac:dyDescent="0.25">
      <c r="A90" t="s">
        <v>943</v>
      </c>
      <c r="B90" t="s">
        <v>1095</v>
      </c>
      <c r="C90" t="s">
        <v>1096</v>
      </c>
      <c r="D90" s="13">
        <v>44043</v>
      </c>
      <c r="E90" s="13">
        <v>44045</v>
      </c>
      <c r="F90" s="4">
        <v>44045</v>
      </c>
      <c r="G90" s="4">
        <v>44043</v>
      </c>
      <c r="H90">
        <v>2020</v>
      </c>
      <c r="K90" t="s">
        <v>457</v>
      </c>
      <c r="L90" t="s">
        <v>564</v>
      </c>
    </row>
    <row r="91" spans="1:13" x14ac:dyDescent="0.25">
      <c r="A91" t="s">
        <v>943</v>
      </c>
      <c r="B91" t="s">
        <v>1097</v>
      </c>
      <c r="C91" t="s">
        <v>1098</v>
      </c>
      <c r="D91" s="13">
        <v>44037</v>
      </c>
      <c r="E91" s="13">
        <v>44037</v>
      </c>
      <c r="F91" s="4">
        <v>44037</v>
      </c>
      <c r="G91" s="4">
        <v>44037</v>
      </c>
      <c r="H91">
        <v>2020</v>
      </c>
      <c r="K91" t="s">
        <v>457</v>
      </c>
      <c r="L91" t="s">
        <v>564</v>
      </c>
      <c r="M91" t="s">
        <v>895</v>
      </c>
    </row>
    <row r="92" spans="1:13" hidden="1" x14ac:dyDescent="0.25">
      <c r="A92" t="s">
        <v>955</v>
      </c>
      <c r="B92" t="s">
        <v>1099</v>
      </c>
      <c r="C92" t="s">
        <v>1100</v>
      </c>
      <c r="D92" s="13">
        <v>44051</v>
      </c>
      <c r="E92" s="13">
        <v>44052</v>
      </c>
      <c r="F92" s="4">
        <v>44052</v>
      </c>
      <c r="G92" s="4">
        <v>44051</v>
      </c>
      <c r="H92">
        <v>2020</v>
      </c>
      <c r="K92" t="s">
        <v>895</v>
      </c>
      <c r="L92" t="s">
        <v>13</v>
      </c>
    </row>
    <row r="93" spans="1:13" x14ac:dyDescent="0.25">
      <c r="A93" t="s">
        <v>943</v>
      </c>
      <c r="B93" t="s">
        <v>1101</v>
      </c>
      <c r="C93" t="s">
        <v>1102</v>
      </c>
      <c r="D93" s="13">
        <v>44070</v>
      </c>
      <c r="E93" s="13">
        <v>44071</v>
      </c>
      <c r="F93" s="4">
        <v>44071</v>
      </c>
      <c r="G93" s="4">
        <v>44070</v>
      </c>
      <c r="H93">
        <v>2020</v>
      </c>
      <c r="K93" t="s">
        <v>457</v>
      </c>
      <c r="L93" t="s">
        <v>564</v>
      </c>
    </row>
    <row r="94" spans="1:13" x14ac:dyDescent="0.25">
      <c r="A94" t="s">
        <v>943</v>
      </c>
      <c r="B94" t="s">
        <v>1103</v>
      </c>
      <c r="C94" t="s">
        <v>1104</v>
      </c>
      <c r="D94" s="13">
        <v>44072</v>
      </c>
      <c r="E94" s="13">
        <v>44073</v>
      </c>
      <c r="F94" s="4">
        <v>44073</v>
      </c>
      <c r="G94" s="4">
        <v>44072</v>
      </c>
      <c r="H94">
        <v>2020</v>
      </c>
      <c r="K94" t="s">
        <v>457</v>
      </c>
      <c r="L94" t="s">
        <v>13</v>
      </c>
    </row>
    <row r="95" spans="1:13" x14ac:dyDescent="0.25">
      <c r="A95" t="s">
        <v>943</v>
      </c>
      <c r="B95" t="s">
        <v>1105</v>
      </c>
      <c r="C95" t="s">
        <v>1106</v>
      </c>
      <c r="D95" s="13">
        <v>44111</v>
      </c>
      <c r="E95" s="13">
        <v>44115</v>
      </c>
      <c r="F95" s="4">
        <v>44115</v>
      </c>
      <c r="G95" s="4">
        <v>44111</v>
      </c>
      <c r="H95">
        <v>2020</v>
      </c>
      <c r="K95" t="s">
        <v>457</v>
      </c>
      <c r="L95" t="s">
        <v>564</v>
      </c>
      <c r="M95" t="s">
        <v>895</v>
      </c>
    </row>
    <row r="96" spans="1:13" x14ac:dyDescent="0.25">
      <c r="A96" t="s">
        <v>943</v>
      </c>
      <c r="B96" t="s">
        <v>1107</v>
      </c>
      <c r="C96" t="s">
        <v>1108</v>
      </c>
      <c r="D96" s="13">
        <v>44106</v>
      </c>
      <c r="E96" s="13">
        <v>44108</v>
      </c>
      <c r="F96" s="4">
        <v>44108</v>
      </c>
      <c r="G96" s="4">
        <v>44106</v>
      </c>
      <c r="H96">
        <v>2020</v>
      </c>
      <c r="K96" t="s">
        <v>457</v>
      </c>
      <c r="L96" t="s">
        <v>13</v>
      </c>
    </row>
    <row r="97" spans="1:13" x14ac:dyDescent="0.25">
      <c r="A97" t="s">
        <v>943</v>
      </c>
      <c r="B97" t="s">
        <v>1109</v>
      </c>
      <c r="C97" t="s">
        <v>1110</v>
      </c>
      <c r="D97" s="13">
        <v>44085</v>
      </c>
      <c r="E97" s="13">
        <v>44092</v>
      </c>
      <c r="F97" s="4">
        <v>44092</v>
      </c>
      <c r="G97" s="4">
        <v>44085</v>
      </c>
      <c r="H97">
        <v>2020</v>
      </c>
      <c r="K97" t="s">
        <v>457</v>
      </c>
      <c r="L97" t="s">
        <v>564</v>
      </c>
      <c r="M97" t="s">
        <v>895</v>
      </c>
    </row>
    <row r="98" spans="1:13" hidden="1" x14ac:dyDescent="0.25">
      <c r="A98" t="s">
        <v>960</v>
      </c>
      <c r="B98" t="s">
        <v>1111</v>
      </c>
      <c r="C98" t="s">
        <v>1112</v>
      </c>
      <c r="D98" s="13">
        <v>44059</v>
      </c>
      <c r="E98" s="13">
        <v>44105</v>
      </c>
      <c r="F98" s="4">
        <v>44105</v>
      </c>
      <c r="G98" s="4">
        <v>44059</v>
      </c>
      <c r="H98">
        <v>2020</v>
      </c>
      <c r="K98" t="s">
        <v>6</v>
      </c>
      <c r="L98" t="s">
        <v>564</v>
      </c>
    </row>
    <row r="99" spans="1:13" hidden="1" x14ac:dyDescent="0.25">
      <c r="A99" t="s">
        <v>955</v>
      </c>
      <c r="B99" t="s">
        <v>1113</v>
      </c>
      <c r="C99" t="s">
        <v>1114</v>
      </c>
      <c r="D99" s="13">
        <v>44093</v>
      </c>
      <c r="E99" s="13">
        <v>44093</v>
      </c>
      <c r="F99" s="4">
        <v>44093</v>
      </c>
      <c r="G99" s="4">
        <v>44093</v>
      </c>
      <c r="H99">
        <v>2020</v>
      </c>
      <c r="K99" t="s">
        <v>895</v>
      </c>
      <c r="L99" t="s">
        <v>13</v>
      </c>
    </row>
    <row r="100" spans="1:13" x14ac:dyDescent="0.25">
      <c r="A100" t="s">
        <v>943</v>
      </c>
      <c r="B100" t="s">
        <v>1115</v>
      </c>
      <c r="C100" t="s">
        <v>1116</v>
      </c>
      <c r="D100" s="13">
        <v>44143</v>
      </c>
      <c r="E100" s="13">
        <v>44147</v>
      </c>
      <c r="F100" s="4">
        <v>44147</v>
      </c>
      <c r="G100" s="4">
        <v>44143</v>
      </c>
      <c r="H100">
        <v>2020</v>
      </c>
      <c r="K100" t="s">
        <v>457</v>
      </c>
      <c r="L100" t="s">
        <v>564</v>
      </c>
      <c r="M100" t="s">
        <v>895</v>
      </c>
    </row>
    <row r="101" spans="1:13" x14ac:dyDescent="0.25">
      <c r="A101" t="s">
        <v>943</v>
      </c>
      <c r="B101" t="s">
        <v>1117</v>
      </c>
      <c r="C101" t="s">
        <v>1118</v>
      </c>
      <c r="D101" s="13">
        <v>44128</v>
      </c>
      <c r="E101" s="13">
        <v>44134</v>
      </c>
      <c r="F101" s="4">
        <v>44134</v>
      </c>
      <c r="G101" s="4">
        <v>44128</v>
      </c>
      <c r="H101">
        <v>2020</v>
      </c>
      <c r="K101" t="s">
        <v>457</v>
      </c>
      <c r="L101" t="s">
        <v>564</v>
      </c>
    </row>
    <row r="102" spans="1:13" hidden="1" x14ac:dyDescent="0.25">
      <c r="A102" t="s">
        <v>955</v>
      </c>
      <c r="B102" t="s">
        <v>1119</v>
      </c>
      <c r="C102" t="s">
        <v>1120</v>
      </c>
      <c r="D102" s="13">
        <v>44162</v>
      </c>
      <c r="E102" s="13">
        <v>44163</v>
      </c>
      <c r="F102" s="4">
        <v>44163</v>
      </c>
      <c r="G102" s="4">
        <v>44162</v>
      </c>
      <c r="H102">
        <v>2020</v>
      </c>
      <c r="K102" t="s">
        <v>895</v>
      </c>
      <c r="L102" t="s">
        <v>13</v>
      </c>
    </row>
    <row r="103" spans="1:13" x14ac:dyDescent="0.25">
      <c r="A103" t="s">
        <v>943</v>
      </c>
      <c r="B103" t="s">
        <v>1121</v>
      </c>
      <c r="C103" t="s">
        <v>1122</v>
      </c>
      <c r="D103" s="13">
        <v>44145</v>
      </c>
      <c r="E103" s="13">
        <v>44145</v>
      </c>
      <c r="F103" s="4">
        <v>44145</v>
      </c>
      <c r="G103" s="4">
        <v>44145</v>
      </c>
      <c r="H103">
        <v>2020</v>
      </c>
      <c r="K103" t="s">
        <v>906</v>
      </c>
      <c r="L103" t="s">
        <v>564</v>
      </c>
    </row>
    <row r="104" spans="1:13" hidden="1" x14ac:dyDescent="0.25">
      <c r="A104" t="s">
        <v>955</v>
      </c>
      <c r="B104" t="s">
        <v>1123</v>
      </c>
      <c r="C104" t="s">
        <v>1124</v>
      </c>
      <c r="D104" s="13">
        <v>44155</v>
      </c>
      <c r="E104" s="13">
        <v>44157</v>
      </c>
      <c r="F104" s="4">
        <v>44157</v>
      </c>
      <c r="G104" s="4">
        <v>44155</v>
      </c>
      <c r="H104">
        <v>2020</v>
      </c>
      <c r="K104" t="s">
        <v>895</v>
      </c>
      <c r="L104" t="s">
        <v>13</v>
      </c>
    </row>
    <row r="105" spans="1:13" x14ac:dyDescent="0.25">
      <c r="A105" t="s">
        <v>943</v>
      </c>
      <c r="B105" t="s">
        <v>1125</v>
      </c>
      <c r="C105" t="s">
        <v>1126</v>
      </c>
      <c r="D105" s="13">
        <v>44051</v>
      </c>
      <c r="E105" s="13">
        <v>44055</v>
      </c>
      <c r="F105" s="4">
        <v>44055</v>
      </c>
      <c r="G105" s="4">
        <v>44051</v>
      </c>
      <c r="H105">
        <v>2020</v>
      </c>
      <c r="K105" t="s">
        <v>906</v>
      </c>
      <c r="L105" t="s">
        <v>564</v>
      </c>
    </row>
    <row r="106" spans="1:13" x14ac:dyDescent="0.25">
      <c r="A106" t="s">
        <v>943</v>
      </c>
      <c r="B106" t="s">
        <v>1127</v>
      </c>
      <c r="C106" t="s">
        <v>1077</v>
      </c>
      <c r="D106" s="13">
        <v>43917</v>
      </c>
      <c r="E106" s="13">
        <v>43918</v>
      </c>
      <c r="F106" s="4">
        <v>43918</v>
      </c>
      <c r="G106" s="4">
        <v>43917</v>
      </c>
      <c r="H106">
        <v>2020</v>
      </c>
      <c r="K106" t="s">
        <v>906</v>
      </c>
      <c r="L106" t="s">
        <v>564</v>
      </c>
    </row>
    <row r="107" spans="1:13" x14ac:dyDescent="0.25">
      <c r="A107" t="s">
        <v>943</v>
      </c>
      <c r="B107" t="s">
        <v>1128</v>
      </c>
      <c r="C107" t="s">
        <v>1077</v>
      </c>
      <c r="D107" s="13">
        <v>43971</v>
      </c>
      <c r="E107" s="13">
        <v>43974</v>
      </c>
      <c r="F107" s="4">
        <v>43974</v>
      </c>
      <c r="G107" s="4">
        <v>43971</v>
      </c>
      <c r="H107">
        <v>2020</v>
      </c>
      <c r="K107" t="s">
        <v>906</v>
      </c>
      <c r="L107" t="s">
        <v>564</v>
      </c>
    </row>
    <row r="108" spans="1:13" x14ac:dyDescent="0.25">
      <c r="A108" t="s">
        <v>943</v>
      </c>
      <c r="B108" t="s">
        <v>1129</v>
      </c>
      <c r="C108" t="s">
        <v>1130</v>
      </c>
      <c r="D108" s="13">
        <v>43978</v>
      </c>
      <c r="E108" s="13">
        <v>43978</v>
      </c>
      <c r="F108" s="4">
        <v>43978</v>
      </c>
      <c r="G108" s="4">
        <v>43978</v>
      </c>
      <c r="H108">
        <v>2020</v>
      </c>
      <c r="K108" t="s">
        <v>906</v>
      </c>
      <c r="L108" t="s">
        <v>564</v>
      </c>
    </row>
    <row r="109" spans="1:13" x14ac:dyDescent="0.25">
      <c r="A109" t="s">
        <v>943</v>
      </c>
      <c r="B109" t="s">
        <v>1131</v>
      </c>
      <c r="C109" t="s">
        <v>1132</v>
      </c>
      <c r="D109" s="13">
        <v>44209</v>
      </c>
      <c r="E109" s="13">
        <v>44211</v>
      </c>
      <c r="F109" s="4">
        <v>44211</v>
      </c>
      <c r="G109" s="4">
        <v>44209</v>
      </c>
      <c r="H109">
        <v>2021</v>
      </c>
      <c r="K109" t="s">
        <v>906</v>
      </c>
      <c r="L109" t="s">
        <v>564</v>
      </c>
    </row>
    <row r="110" spans="1:13" x14ac:dyDescent="0.25">
      <c r="A110" t="s">
        <v>943</v>
      </c>
      <c r="B110" t="s">
        <v>1133</v>
      </c>
      <c r="C110" t="s">
        <v>1134</v>
      </c>
      <c r="D110" s="13">
        <v>44220</v>
      </c>
      <c r="E110" s="13">
        <v>44223</v>
      </c>
      <c r="F110" s="4">
        <v>44223</v>
      </c>
      <c r="G110" s="4">
        <v>44220</v>
      </c>
      <c r="H110">
        <v>2021</v>
      </c>
      <c r="K110" t="s">
        <v>906</v>
      </c>
      <c r="L110" t="s">
        <v>564</v>
      </c>
    </row>
    <row r="111" spans="1:13" x14ac:dyDescent="0.25">
      <c r="A111" t="s">
        <v>943</v>
      </c>
      <c r="B111" t="s">
        <v>1135</v>
      </c>
      <c r="C111" t="s">
        <v>1132</v>
      </c>
      <c r="D111" s="13">
        <v>44220</v>
      </c>
      <c r="E111" s="13">
        <v>44225</v>
      </c>
      <c r="F111" s="4">
        <v>44225</v>
      </c>
      <c r="G111" s="4">
        <v>44220</v>
      </c>
      <c r="H111">
        <v>2021</v>
      </c>
      <c r="K111" t="s">
        <v>906</v>
      </c>
      <c r="L111" t="s">
        <v>564</v>
      </c>
    </row>
    <row r="112" spans="1:13" x14ac:dyDescent="0.25">
      <c r="A112" t="s">
        <v>943</v>
      </c>
      <c r="B112" t="s">
        <v>1136</v>
      </c>
      <c r="C112" t="s">
        <v>1137</v>
      </c>
      <c r="D112" s="13">
        <v>44226</v>
      </c>
      <c r="E112" s="13">
        <v>44229</v>
      </c>
      <c r="F112" s="4">
        <v>44229</v>
      </c>
      <c r="G112" s="4">
        <v>44226</v>
      </c>
      <c r="H112">
        <v>2021</v>
      </c>
      <c r="K112" t="s">
        <v>903</v>
      </c>
      <c r="L112" t="s">
        <v>564</v>
      </c>
    </row>
    <row r="113" spans="1:12" hidden="1" x14ac:dyDescent="0.25">
      <c r="A113" t="s">
        <v>955</v>
      </c>
      <c r="B113" t="s">
        <v>1138</v>
      </c>
      <c r="C113" t="s">
        <v>1139</v>
      </c>
      <c r="D113" s="13">
        <v>44228</v>
      </c>
      <c r="E113" s="13">
        <v>44237</v>
      </c>
      <c r="F113" s="4">
        <v>44237</v>
      </c>
      <c r="G113" s="4">
        <v>44228</v>
      </c>
      <c r="H113">
        <v>2021</v>
      </c>
      <c r="K113" t="s">
        <v>895</v>
      </c>
      <c r="L113" t="s">
        <v>13</v>
      </c>
    </row>
    <row r="114" spans="1:12" x14ac:dyDescent="0.25">
      <c r="A114" t="s">
        <v>943</v>
      </c>
      <c r="B114" t="s">
        <v>1140</v>
      </c>
      <c r="C114" t="s">
        <v>1137</v>
      </c>
      <c r="D114" s="13">
        <v>44237</v>
      </c>
      <c r="E114" s="13">
        <v>44247</v>
      </c>
      <c r="F114" s="4">
        <v>44247</v>
      </c>
      <c r="G114" s="4">
        <v>44237</v>
      </c>
      <c r="H114">
        <v>2021</v>
      </c>
      <c r="K114" t="s">
        <v>903</v>
      </c>
      <c r="L114" t="s">
        <v>564</v>
      </c>
    </row>
    <row r="115" spans="1:12" hidden="1" x14ac:dyDescent="0.25">
      <c r="A115" t="s">
        <v>955</v>
      </c>
      <c r="B115" t="s">
        <v>1141</v>
      </c>
      <c r="C115" t="s">
        <v>1142</v>
      </c>
      <c r="D115" s="13">
        <v>44252</v>
      </c>
      <c r="E115" s="13">
        <v>44256</v>
      </c>
      <c r="F115" s="4">
        <v>44256</v>
      </c>
      <c r="G115" s="4">
        <v>44252</v>
      </c>
      <c r="H115">
        <v>2021</v>
      </c>
      <c r="K115" t="s">
        <v>895</v>
      </c>
      <c r="L115" t="s">
        <v>564</v>
      </c>
    </row>
    <row r="116" spans="1:12" hidden="1" x14ac:dyDescent="0.25">
      <c r="A116" t="s">
        <v>940</v>
      </c>
      <c r="B116" t="s">
        <v>1143</v>
      </c>
      <c r="C116" t="s">
        <v>1144</v>
      </c>
      <c r="D116" s="13">
        <v>44258</v>
      </c>
      <c r="E116" s="13">
        <v>44258</v>
      </c>
      <c r="F116" s="4">
        <v>44258</v>
      </c>
      <c r="G116" s="4">
        <v>44258</v>
      </c>
      <c r="H116">
        <v>2021</v>
      </c>
      <c r="K116" t="s">
        <v>887</v>
      </c>
      <c r="L116" t="s">
        <v>13</v>
      </c>
    </row>
    <row r="117" spans="1:12" hidden="1" x14ac:dyDescent="0.25">
      <c r="A117" t="s">
        <v>955</v>
      </c>
      <c r="B117" t="s">
        <v>1145</v>
      </c>
      <c r="C117" t="s">
        <v>1146</v>
      </c>
      <c r="D117" s="13">
        <v>44263</v>
      </c>
      <c r="E117" s="13">
        <v>44265</v>
      </c>
      <c r="F117" s="4">
        <v>44265</v>
      </c>
      <c r="G117" s="4">
        <v>44263</v>
      </c>
      <c r="H117">
        <v>2021</v>
      </c>
      <c r="K117" t="s">
        <v>895</v>
      </c>
      <c r="L117" t="s">
        <v>564</v>
      </c>
    </row>
    <row r="118" spans="1:12" x14ac:dyDescent="0.25">
      <c r="A118" t="s">
        <v>943</v>
      </c>
      <c r="B118" t="s">
        <v>1147</v>
      </c>
      <c r="C118" t="s">
        <v>1134</v>
      </c>
      <c r="D118" s="13">
        <v>44271</v>
      </c>
      <c r="E118" s="13">
        <v>44273</v>
      </c>
      <c r="F118" s="4">
        <v>44273</v>
      </c>
      <c r="G118" s="4">
        <v>44271</v>
      </c>
      <c r="H118">
        <v>2021</v>
      </c>
      <c r="K118" t="s">
        <v>906</v>
      </c>
      <c r="L118" t="s">
        <v>564</v>
      </c>
    </row>
    <row r="119" spans="1:12" x14ac:dyDescent="0.25">
      <c r="A119" t="s">
        <v>943</v>
      </c>
      <c r="B119" t="s">
        <v>1148</v>
      </c>
      <c r="C119" t="s">
        <v>1134</v>
      </c>
      <c r="D119" s="13">
        <v>44279</v>
      </c>
      <c r="E119" s="13">
        <v>44281</v>
      </c>
      <c r="F119" s="4">
        <v>44281</v>
      </c>
      <c r="G119" s="4">
        <v>44279</v>
      </c>
      <c r="H119">
        <v>2021</v>
      </c>
      <c r="K119" t="s">
        <v>906</v>
      </c>
      <c r="L119" t="s">
        <v>564</v>
      </c>
    </row>
    <row r="120" spans="1:12" hidden="1" x14ac:dyDescent="0.25">
      <c r="A120" t="s">
        <v>955</v>
      </c>
      <c r="B120" t="s">
        <v>1149</v>
      </c>
      <c r="C120" t="s">
        <v>1146</v>
      </c>
      <c r="D120" s="13">
        <v>44282</v>
      </c>
      <c r="E120" s="13">
        <v>44283</v>
      </c>
      <c r="F120" s="4">
        <v>44283</v>
      </c>
      <c r="G120" s="4">
        <v>44282</v>
      </c>
      <c r="H120">
        <v>2021</v>
      </c>
      <c r="K120" t="s">
        <v>895</v>
      </c>
      <c r="L120" t="s">
        <v>564</v>
      </c>
    </row>
    <row r="121" spans="1:12" x14ac:dyDescent="0.25">
      <c r="A121" t="s">
        <v>943</v>
      </c>
      <c r="B121" t="s">
        <v>1150</v>
      </c>
      <c r="C121" t="s">
        <v>1132</v>
      </c>
      <c r="D121" s="13">
        <v>44295</v>
      </c>
      <c r="E121" s="13">
        <v>44297</v>
      </c>
      <c r="F121" s="4">
        <v>44297</v>
      </c>
      <c r="G121" s="4">
        <v>44295</v>
      </c>
      <c r="H121">
        <v>2021</v>
      </c>
      <c r="K121" t="s">
        <v>906</v>
      </c>
      <c r="L121" t="s">
        <v>564</v>
      </c>
    </row>
    <row r="122" spans="1:12" x14ac:dyDescent="0.25">
      <c r="A122" t="s">
        <v>943</v>
      </c>
      <c r="B122" t="s">
        <v>1151</v>
      </c>
      <c r="C122" t="s">
        <v>1132</v>
      </c>
      <c r="D122" s="13">
        <v>44299</v>
      </c>
      <c r="E122" s="13">
        <v>44301</v>
      </c>
      <c r="F122" s="4">
        <v>44301</v>
      </c>
      <c r="G122" s="4">
        <v>44299</v>
      </c>
      <c r="H122">
        <v>2021</v>
      </c>
      <c r="K122" t="s">
        <v>906</v>
      </c>
      <c r="L122" t="s">
        <v>564</v>
      </c>
    </row>
    <row r="123" spans="1:12" x14ac:dyDescent="0.25">
      <c r="A123" t="s">
        <v>943</v>
      </c>
      <c r="B123" t="s">
        <v>1152</v>
      </c>
      <c r="C123" t="s">
        <v>1132</v>
      </c>
      <c r="D123" s="13">
        <v>44301</v>
      </c>
      <c r="E123" s="13">
        <v>44302</v>
      </c>
      <c r="F123" s="4">
        <v>44302</v>
      </c>
      <c r="G123" s="4">
        <v>44301</v>
      </c>
      <c r="H123">
        <v>2021</v>
      </c>
      <c r="K123" t="s">
        <v>906</v>
      </c>
      <c r="L123" t="s">
        <v>564</v>
      </c>
    </row>
    <row r="124" spans="1:12" x14ac:dyDescent="0.25">
      <c r="A124" t="s">
        <v>943</v>
      </c>
      <c r="B124" t="s">
        <v>1153</v>
      </c>
      <c r="C124" t="s">
        <v>1132</v>
      </c>
      <c r="D124" s="13">
        <v>44313</v>
      </c>
      <c r="E124" s="13">
        <v>44318</v>
      </c>
      <c r="F124" s="4">
        <v>44318</v>
      </c>
      <c r="G124" s="4">
        <v>44313</v>
      </c>
      <c r="H124">
        <v>2021</v>
      </c>
      <c r="K124" t="s">
        <v>906</v>
      </c>
      <c r="L124" t="s">
        <v>564</v>
      </c>
    </row>
    <row r="125" spans="1:12" x14ac:dyDescent="0.25">
      <c r="A125" t="s">
        <v>943</v>
      </c>
      <c r="B125" t="s">
        <v>1154</v>
      </c>
      <c r="C125" t="s">
        <v>1134</v>
      </c>
      <c r="D125" s="13">
        <v>44318</v>
      </c>
      <c r="E125" s="13">
        <v>44320</v>
      </c>
      <c r="F125" s="4">
        <v>44320</v>
      </c>
      <c r="G125" s="4">
        <v>44318</v>
      </c>
      <c r="H125">
        <v>2021</v>
      </c>
      <c r="K125" t="s">
        <v>906</v>
      </c>
      <c r="L125" t="s">
        <v>564</v>
      </c>
    </row>
    <row r="126" spans="1:12" x14ac:dyDescent="0.25">
      <c r="A126" t="s">
        <v>943</v>
      </c>
      <c r="B126" t="s">
        <v>1155</v>
      </c>
      <c r="C126" t="s">
        <v>1132</v>
      </c>
      <c r="D126" s="13">
        <v>44330</v>
      </c>
      <c r="E126" s="13">
        <v>44335</v>
      </c>
      <c r="F126" s="4">
        <v>44335</v>
      </c>
      <c r="G126" s="4">
        <v>44330</v>
      </c>
      <c r="H126">
        <v>2021</v>
      </c>
      <c r="K126" t="s">
        <v>906</v>
      </c>
      <c r="L126" t="s">
        <v>564</v>
      </c>
    </row>
    <row r="127" spans="1:12" x14ac:dyDescent="0.25">
      <c r="A127" t="s">
        <v>943</v>
      </c>
      <c r="B127" t="s">
        <v>1156</v>
      </c>
      <c r="C127" t="s">
        <v>1157</v>
      </c>
      <c r="D127" s="13">
        <v>44365</v>
      </c>
      <c r="E127" s="13">
        <v>44368</v>
      </c>
      <c r="F127" s="4">
        <v>44368</v>
      </c>
      <c r="G127" s="4">
        <v>44365</v>
      </c>
      <c r="H127">
        <v>2021</v>
      </c>
      <c r="K127" t="s">
        <v>906</v>
      </c>
      <c r="L127" t="s">
        <v>564</v>
      </c>
    </row>
    <row r="128" spans="1:12" hidden="1" x14ac:dyDescent="0.25">
      <c r="A128" t="s">
        <v>955</v>
      </c>
      <c r="B128" t="s">
        <v>1158</v>
      </c>
      <c r="C128" t="s">
        <v>1159</v>
      </c>
      <c r="D128" s="13">
        <v>44354</v>
      </c>
      <c r="E128" s="13">
        <v>44357</v>
      </c>
      <c r="F128" s="4">
        <v>44357</v>
      </c>
      <c r="G128" s="4">
        <v>44354</v>
      </c>
      <c r="H128">
        <v>2021</v>
      </c>
      <c r="K128" t="s">
        <v>895</v>
      </c>
      <c r="L128" t="s">
        <v>564</v>
      </c>
    </row>
    <row r="129" spans="1:13" x14ac:dyDescent="0.25">
      <c r="A129" t="s">
        <v>943</v>
      </c>
      <c r="B129" t="s">
        <v>1160</v>
      </c>
      <c r="C129" t="s">
        <v>1161</v>
      </c>
      <c r="D129" s="13">
        <v>44368</v>
      </c>
      <c r="E129" s="13">
        <v>44369</v>
      </c>
      <c r="F129" s="4">
        <v>44369</v>
      </c>
      <c r="G129" s="4">
        <v>44368</v>
      </c>
      <c r="H129">
        <v>2021</v>
      </c>
      <c r="K129" t="s">
        <v>906</v>
      </c>
      <c r="L129" t="s">
        <v>15</v>
      </c>
    </row>
    <row r="130" spans="1:13" hidden="1" x14ac:dyDescent="0.25">
      <c r="A130" t="s">
        <v>960</v>
      </c>
      <c r="B130" t="s">
        <v>1162</v>
      </c>
      <c r="C130" t="s">
        <v>1163</v>
      </c>
      <c r="D130" s="13">
        <v>44353</v>
      </c>
      <c r="E130" s="13">
        <v>44381</v>
      </c>
      <c r="F130" s="4">
        <v>44381</v>
      </c>
      <c r="G130" s="4">
        <v>44353</v>
      </c>
      <c r="H130">
        <v>2021</v>
      </c>
      <c r="K130" t="s">
        <v>6</v>
      </c>
      <c r="L130" t="s">
        <v>564</v>
      </c>
    </row>
    <row r="131" spans="1:13" hidden="1" x14ac:dyDescent="0.25">
      <c r="A131" t="s">
        <v>960</v>
      </c>
      <c r="B131" t="s">
        <v>1164</v>
      </c>
      <c r="C131" t="s">
        <v>1165</v>
      </c>
      <c r="D131" s="13">
        <v>44377</v>
      </c>
      <c r="E131" s="13">
        <v>44379</v>
      </c>
      <c r="F131" s="4">
        <v>44379</v>
      </c>
      <c r="G131" s="4">
        <v>44377</v>
      </c>
      <c r="H131">
        <v>2021</v>
      </c>
      <c r="K131" t="s">
        <v>6</v>
      </c>
      <c r="L131" t="s">
        <v>15</v>
      </c>
    </row>
    <row r="132" spans="1:13" x14ac:dyDescent="0.25">
      <c r="A132" t="s">
        <v>943</v>
      </c>
      <c r="B132" t="s">
        <v>1166</v>
      </c>
      <c r="C132" t="s">
        <v>1167</v>
      </c>
      <c r="D132" s="13">
        <v>44379</v>
      </c>
      <c r="E132" s="13">
        <v>44386</v>
      </c>
      <c r="F132" s="4">
        <v>44386</v>
      </c>
      <c r="G132" s="4">
        <v>44379</v>
      </c>
      <c r="H132">
        <v>2021</v>
      </c>
      <c r="K132" t="s">
        <v>457</v>
      </c>
      <c r="L132" t="s">
        <v>564</v>
      </c>
      <c r="M132" t="s">
        <v>895</v>
      </c>
    </row>
    <row r="133" spans="1:13" hidden="1" x14ac:dyDescent="0.25">
      <c r="A133" t="s">
        <v>960</v>
      </c>
      <c r="B133" t="s">
        <v>1168</v>
      </c>
      <c r="C133" t="s">
        <v>1169</v>
      </c>
      <c r="D133" s="13">
        <v>44383</v>
      </c>
      <c r="E133" s="13">
        <v>44408</v>
      </c>
      <c r="F133" s="4">
        <v>44408</v>
      </c>
      <c r="G133" s="4">
        <v>44383</v>
      </c>
      <c r="H133">
        <v>2021</v>
      </c>
      <c r="K133" t="s">
        <v>6</v>
      </c>
      <c r="L133" t="s">
        <v>564</v>
      </c>
    </row>
    <row r="134" spans="1:13" hidden="1" x14ac:dyDescent="0.25">
      <c r="A134" t="s">
        <v>955</v>
      </c>
      <c r="B134" t="s">
        <v>1170</v>
      </c>
      <c r="C134" t="s">
        <v>1171</v>
      </c>
      <c r="D134" s="13">
        <v>44389</v>
      </c>
      <c r="E134" s="13">
        <v>44392</v>
      </c>
      <c r="F134" s="4">
        <v>44392</v>
      </c>
      <c r="G134" s="4">
        <v>44389</v>
      </c>
      <c r="H134">
        <v>2021</v>
      </c>
      <c r="K134" t="s">
        <v>895</v>
      </c>
      <c r="L134" t="s">
        <v>13</v>
      </c>
    </row>
    <row r="135" spans="1:13" hidden="1" x14ac:dyDescent="0.25">
      <c r="A135" t="s">
        <v>960</v>
      </c>
      <c r="B135" t="s">
        <v>1172</v>
      </c>
      <c r="C135" t="s">
        <v>1173</v>
      </c>
      <c r="D135" s="13">
        <v>44390</v>
      </c>
      <c r="E135" s="13">
        <v>44419</v>
      </c>
      <c r="F135" s="4">
        <v>44419</v>
      </c>
      <c r="G135" s="4">
        <v>44390</v>
      </c>
      <c r="H135">
        <v>2021</v>
      </c>
      <c r="K135" t="s">
        <v>6</v>
      </c>
      <c r="L135" t="s">
        <v>564</v>
      </c>
    </row>
    <row r="136" spans="1:13" hidden="1" x14ac:dyDescent="0.25">
      <c r="A136" t="s">
        <v>960</v>
      </c>
      <c r="B136" t="s">
        <v>1174</v>
      </c>
      <c r="C136" t="s">
        <v>1175</v>
      </c>
      <c r="D136" s="13">
        <v>44400</v>
      </c>
      <c r="E136" s="13">
        <v>44402</v>
      </c>
      <c r="F136" s="4">
        <v>44402</v>
      </c>
      <c r="G136" s="4">
        <v>44400</v>
      </c>
      <c r="H136">
        <v>2021</v>
      </c>
      <c r="K136" t="s">
        <v>6</v>
      </c>
      <c r="L136" t="s">
        <v>13</v>
      </c>
    </row>
    <row r="137" spans="1:13" hidden="1" x14ac:dyDescent="0.25">
      <c r="A137" t="s">
        <v>955</v>
      </c>
      <c r="B137" t="s">
        <v>1176</v>
      </c>
      <c r="C137" t="s">
        <v>1146</v>
      </c>
      <c r="D137" s="13">
        <v>44393</v>
      </c>
      <c r="E137" s="13">
        <v>44398</v>
      </c>
      <c r="F137" s="4">
        <v>44398</v>
      </c>
      <c r="G137" s="4">
        <v>44393</v>
      </c>
      <c r="H137">
        <v>2021</v>
      </c>
      <c r="K137" t="s">
        <v>895</v>
      </c>
      <c r="L137" t="s">
        <v>564</v>
      </c>
    </row>
    <row r="138" spans="1:13" hidden="1" x14ac:dyDescent="0.25">
      <c r="A138" t="s">
        <v>960</v>
      </c>
      <c r="B138" t="s">
        <v>1177</v>
      </c>
      <c r="C138" t="s">
        <v>1178</v>
      </c>
      <c r="D138" s="13">
        <v>44406</v>
      </c>
      <c r="E138" s="13">
        <v>44420</v>
      </c>
      <c r="F138" s="4">
        <v>44420</v>
      </c>
      <c r="G138" s="4">
        <v>44406</v>
      </c>
      <c r="H138">
        <v>2021</v>
      </c>
      <c r="K138" t="s">
        <v>6</v>
      </c>
      <c r="L138" t="s">
        <v>13</v>
      </c>
    </row>
    <row r="139" spans="1:13" x14ac:dyDescent="0.25">
      <c r="A139" t="s">
        <v>943</v>
      </c>
      <c r="B139" t="s">
        <v>1179</v>
      </c>
      <c r="C139" t="s">
        <v>1132</v>
      </c>
      <c r="D139" s="13">
        <v>44385</v>
      </c>
      <c r="E139" s="13">
        <v>44388</v>
      </c>
      <c r="F139" s="4">
        <v>44388</v>
      </c>
      <c r="G139" s="4">
        <v>44385</v>
      </c>
      <c r="H139">
        <v>2021</v>
      </c>
      <c r="K139" t="s">
        <v>906</v>
      </c>
      <c r="L139" t="s">
        <v>564</v>
      </c>
    </row>
    <row r="140" spans="1:13" hidden="1" x14ac:dyDescent="0.25">
      <c r="A140" t="s">
        <v>955</v>
      </c>
      <c r="B140" t="s">
        <v>1180</v>
      </c>
      <c r="C140" t="s">
        <v>1159</v>
      </c>
      <c r="D140" s="13">
        <v>44399</v>
      </c>
      <c r="E140" s="13">
        <v>44405</v>
      </c>
      <c r="F140" s="4">
        <v>44405</v>
      </c>
      <c r="G140" s="4">
        <v>44399</v>
      </c>
      <c r="H140">
        <v>2021</v>
      </c>
      <c r="K140" t="s">
        <v>895</v>
      </c>
      <c r="L140" t="s">
        <v>564</v>
      </c>
    </row>
    <row r="141" spans="1:13" hidden="1" x14ac:dyDescent="0.25">
      <c r="A141" t="s">
        <v>960</v>
      </c>
      <c r="B141" t="s">
        <v>1181</v>
      </c>
      <c r="C141" t="s">
        <v>1182</v>
      </c>
      <c r="D141" s="13">
        <v>44421</v>
      </c>
      <c r="E141" s="13">
        <v>44439</v>
      </c>
      <c r="F141" s="4">
        <v>44439</v>
      </c>
      <c r="G141" s="4">
        <v>44421</v>
      </c>
      <c r="H141">
        <v>2021</v>
      </c>
      <c r="K141" t="s">
        <v>6</v>
      </c>
      <c r="L141" t="s">
        <v>564</v>
      </c>
    </row>
    <row r="142" spans="1:13" x14ac:dyDescent="0.25">
      <c r="A142" t="s">
        <v>943</v>
      </c>
      <c r="B142" t="s">
        <v>1183</v>
      </c>
      <c r="C142" t="s">
        <v>1184</v>
      </c>
      <c r="D142" s="13">
        <v>44428</v>
      </c>
      <c r="E142" s="13">
        <v>44433</v>
      </c>
      <c r="F142" s="4">
        <v>44433</v>
      </c>
      <c r="G142" s="4">
        <v>44428</v>
      </c>
      <c r="H142">
        <v>2021</v>
      </c>
      <c r="K142" t="s">
        <v>457</v>
      </c>
      <c r="L142" t="s">
        <v>564</v>
      </c>
      <c r="M142" t="s">
        <v>895</v>
      </c>
    </row>
    <row r="143" spans="1:13" x14ac:dyDescent="0.25">
      <c r="A143" t="s">
        <v>943</v>
      </c>
      <c r="B143" t="s">
        <v>1185</v>
      </c>
      <c r="C143" t="s">
        <v>1186</v>
      </c>
      <c r="D143" s="13">
        <v>44425</v>
      </c>
      <c r="E143" s="13">
        <v>44430</v>
      </c>
      <c r="F143" s="4">
        <v>44430</v>
      </c>
      <c r="G143" s="4">
        <v>44425</v>
      </c>
      <c r="H143">
        <v>2021</v>
      </c>
      <c r="K143" t="s">
        <v>457</v>
      </c>
      <c r="L143" t="s">
        <v>564</v>
      </c>
      <c r="M143" t="s">
        <v>895</v>
      </c>
    </row>
    <row r="144" spans="1:13" hidden="1" x14ac:dyDescent="0.25">
      <c r="A144" t="s">
        <v>955</v>
      </c>
      <c r="B144" t="s">
        <v>1187</v>
      </c>
      <c r="C144" t="s">
        <v>1159</v>
      </c>
      <c r="D144" s="13">
        <v>44429</v>
      </c>
      <c r="E144" s="13">
        <v>44430</v>
      </c>
      <c r="F144" s="4">
        <v>44430</v>
      </c>
      <c r="G144" s="4">
        <v>44429</v>
      </c>
      <c r="H144">
        <v>2021</v>
      </c>
      <c r="K144" t="s">
        <v>895</v>
      </c>
      <c r="L144" t="s">
        <v>564</v>
      </c>
    </row>
    <row r="145" spans="1:13" x14ac:dyDescent="0.25">
      <c r="A145" t="s">
        <v>943</v>
      </c>
      <c r="B145" t="s">
        <v>1188</v>
      </c>
      <c r="C145" t="s">
        <v>1189</v>
      </c>
      <c r="D145" s="13">
        <v>44436</v>
      </c>
      <c r="E145" s="13">
        <v>44441</v>
      </c>
      <c r="F145" s="4">
        <v>44441</v>
      </c>
      <c r="G145" s="4">
        <v>44436</v>
      </c>
      <c r="H145">
        <v>2021</v>
      </c>
      <c r="K145" t="s">
        <v>457</v>
      </c>
      <c r="L145" t="s">
        <v>564</v>
      </c>
      <c r="M145" t="s">
        <v>895</v>
      </c>
    </row>
    <row r="146" spans="1:13" hidden="1" x14ac:dyDescent="0.25">
      <c r="A146" t="s">
        <v>955</v>
      </c>
      <c r="B146" t="s">
        <v>1190</v>
      </c>
      <c r="C146" t="s">
        <v>1159</v>
      </c>
      <c r="D146" s="13">
        <v>44407</v>
      </c>
      <c r="E146" s="13">
        <v>44410</v>
      </c>
      <c r="F146" s="4">
        <v>44410</v>
      </c>
      <c r="G146" s="4">
        <v>44407</v>
      </c>
      <c r="H146">
        <v>2021</v>
      </c>
      <c r="K146" t="s">
        <v>895</v>
      </c>
      <c r="L146" t="s">
        <v>564</v>
      </c>
    </row>
    <row r="147" spans="1:13" x14ac:dyDescent="0.25">
      <c r="A147" t="s">
        <v>943</v>
      </c>
      <c r="B147" t="s">
        <v>1191</v>
      </c>
      <c r="C147" t="s">
        <v>1192</v>
      </c>
      <c r="D147" s="13">
        <v>44418</v>
      </c>
      <c r="E147" s="13">
        <v>44421</v>
      </c>
      <c r="F147" s="4">
        <v>44421</v>
      </c>
      <c r="G147" s="4">
        <v>44418</v>
      </c>
      <c r="H147">
        <v>2021</v>
      </c>
      <c r="K147" t="s">
        <v>906</v>
      </c>
      <c r="L147" t="s">
        <v>564</v>
      </c>
    </row>
    <row r="148" spans="1:13" hidden="1" x14ac:dyDescent="0.25">
      <c r="A148" t="s">
        <v>955</v>
      </c>
      <c r="B148" t="s">
        <v>1193</v>
      </c>
      <c r="C148" t="s">
        <v>1146</v>
      </c>
      <c r="D148" s="13">
        <v>44418</v>
      </c>
      <c r="E148" s="13">
        <v>44424</v>
      </c>
      <c r="F148" s="4">
        <v>44424</v>
      </c>
      <c r="G148" s="4">
        <v>44418</v>
      </c>
      <c r="H148">
        <v>2021</v>
      </c>
      <c r="K148" t="s">
        <v>895</v>
      </c>
      <c r="L148" t="s">
        <v>564</v>
      </c>
    </row>
    <row r="149" spans="1:13" x14ac:dyDescent="0.25">
      <c r="A149" t="s">
        <v>943</v>
      </c>
      <c r="B149" t="s">
        <v>1194</v>
      </c>
      <c r="C149" t="s">
        <v>1195</v>
      </c>
      <c r="D149" s="13">
        <v>44451</v>
      </c>
      <c r="E149" s="13">
        <v>44456</v>
      </c>
      <c r="F149" s="4">
        <v>44456</v>
      </c>
      <c r="G149" s="4">
        <v>44451</v>
      </c>
      <c r="H149">
        <v>2021</v>
      </c>
      <c r="K149" t="s">
        <v>457</v>
      </c>
      <c r="L149" t="s">
        <v>564</v>
      </c>
      <c r="M149" t="s">
        <v>895</v>
      </c>
    </row>
    <row r="150" spans="1:13" hidden="1" x14ac:dyDescent="0.25">
      <c r="A150" t="s">
        <v>940</v>
      </c>
      <c r="B150" t="s">
        <v>1196</v>
      </c>
      <c r="C150" t="s">
        <v>1144</v>
      </c>
      <c r="D150" s="13">
        <v>44466</v>
      </c>
      <c r="E150" s="13">
        <v>44466</v>
      </c>
      <c r="F150" s="4">
        <v>44466</v>
      </c>
      <c r="G150" s="4">
        <v>44466</v>
      </c>
      <c r="H150">
        <v>2021</v>
      </c>
      <c r="K150" t="s">
        <v>887</v>
      </c>
      <c r="L150" t="s">
        <v>13</v>
      </c>
    </row>
    <row r="151" spans="1:13" hidden="1" x14ac:dyDescent="0.25">
      <c r="A151" t="s">
        <v>955</v>
      </c>
      <c r="B151" t="s">
        <v>1197</v>
      </c>
      <c r="C151" t="s">
        <v>1159</v>
      </c>
      <c r="D151" s="13">
        <v>44473</v>
      </c>
      <c r="E151" s="13">
        <v>44476</v>
      </c>
      <c r="F151" s="4">
        <v>44476</v>
      </c>
      <c r="G151" s="4">
        <v>44473</v>
      </c>
      <c r="H151">
        <v>2021</v>
      </c>
      <c r="K151" t="s">
        <v>895</v>
      </c>
      <c r="L151" t="s">
        <v>564</v>
      </c>
    </row>
    <row r="152" spans="1:13" hidden="1" x14ac:dyDescent="0.25">
      <c r="A152" t="s">
        <v>955</v>
      </c>
      <c r="B152" t="s">
        <v>1198</v>
      </c>
      <c r="C152" t="s">
        <v>1199</v>
      </c>
      <c r="D152" s="13">
        <v>44513</v>
      </c>
      <c r="E152" s="13">
        <v>44516</v>
      </c>
      <c r="F152" s="4">
        <v>44516</v>
      </c>
      <c r="G152" s="4">
        <v>44513</v>
      </c>
      <c r="H152">
        <v>2021</v>
      </c>
      <c r="K152" t="s">
        <v>895</v>
      </c>
      <c r="L152" t="s">
        <v>15</v>
      </c>
    </row>
    <row r="153" spans="1:13" hidden="1" x14ac:dyDescent="0.25">
      <c r="A153" t="s">
        <v>955</v>
      </c>
      <c r="B153" t="s">
        <v>1198</v>
      </c>
      <c r="C153" t="s">
        <v>1146</v>
      </c>
      <c r="D153" s="13">
        <v>44513</v>
      </c>
      <c r="E153" s="13">
        <v>44515</v>
      </c>
      <c r="F153" s="4">
        <v>44515</v>
      </c>
      <c r="G153" s="4">
        <v>44513</v>
      </c>
      <c r="H153">
        <v>2021</v>
      </c>
      <c r="K153" t="s">
        <v>895</v>
      </c>
      <c r="L153" t="s">
        <v>564</v>
      </c>
    </row>
    <row r="154" spans="1:13" hidden="1" x14ac:dyDescent="0.25">
      <c r="A154" t="s">
        <v>955</v>
      </c>
      <c r="B154" t="s">
        <v>1200</v>
      </c>
      <c r="C154" t="s">
        <v>1146</v>
      </c>
      <c r="D154" s="13">
        <v>44533</v>
      </c>
      <c r="E154" s="13">
        <v>44538</v>
      </c>
      <c r="F154" s="4">
        <v>44538</v>
      </c>
      <c r="G154" s="4">
        <v>44533</v>
      </c>
      <c r="H154">
        <v>2021</v>
      </c>
      <c r="K154" t="s">
        <v>895</v>
      </c>
      <c r="L154" t="s">
        <v>564</v>
      </c>
    </row>
    <row r="155" spans="1:13" hidden="1" x14ac:dyDescent="0.25">
      <c r="A155" t="s">
        <v>955</v>
      </c>
      <c r="B155" t="s">
        <v>1201</v>
      </c>
      <c r="C155" t="s">
        <v>1139</v>
      </c>
      <c r="D155" s="13">
        <v>44539</v>
      </c>
      <c r="E155" s="13">
        <v>44540</v>
      </c>
      <c r="F155" s="4">
        <v>44540</v>
      </c>
      <c r="G155" s="4">
        <v>44539</v>
      </c>
      <c r="H155">
        <v>2021</v>
      </c>
      <c r="K155" t="s">
        <v>895</v>
      </c>
      <c r="L155" t="s">
        <v>13</v>
      </c>
    </row>
    <row r="156" spans="1:13" x14ac:dyDescent="0.25">
      <c r="A156" t="s">
        <v>943</v>
      </c>
      <c r="B156" t="s">
        <v>1202</v>
      </c>
      <c r="C156" t="s">
        <v>1134</v>
      </c>
      <c r="D156" s="13">
        <v>44540</v>
      </c>
      <c r="E156" s="13">
        <v>44541</v>
      </c>
      <c r="F156" s="4">
        <v>44541</v>
      </c>
      <c r="G156" s="4">
        <v>44540</v>
      </c>
      <c r="H156">
        <v>2021</v>
      </c>
      <c r="K156" t="s">
        <v>906</v>
      </c>
      <c r="L156" t="s">
        <v>564</v>
      </c>
    </row>
    <row r="157" spans="1:13" x14ac:dyDescent="0.25">
      <c r="A157" t="s">
        <v>943</v>
      </c>
      <c r="B157" t="s">
        <v>1203</v>
      </c>
      <c r="C157" t="s">
        <v>1132</v>
      </c>
      <c r="D157" s="13">
        <v>44545</v>
      </c>
      <c r="E157" s="13">
        <v>44546</v>
      </c>
      <c r="F157" s="4">
        <v>44546</v>
      </c>
      <c r="G157" s="4">
        <v>44545</v>
      </c>
      <c r="H157">
        <v>2021</v>
      </c>
      <c r="K157" t="s">
        <v>906</v>
      </c>
      <c r="L157" t="s">
        <v>564</v>
      </c>
    </row>
    <row r="158" spans="1:13" hidden="1" x14ac:dyDescent="0.25">
      <c r="A158" t="s">
        <v>960</v>
      </c>
      <c r="B158" t="s">
        <v>1204</v>
      </c>
      <c r="C158" t="s">
        <v>1205</v>
      </c>
      <c r="D158" s="13">
        <v>44560</v>
      </c>
      <c r="E158" s="13">
        <v>44562</v>
      </c>
      <c r="F158" s="4">
        <v>44562</v>
      </c>
      <c r="G158" s="4">
        <v>44560</v>
      </c>
      <c r="H158">
        <v>2022</v>
      </c>
      <c r="K158" t="s">
        <v>6</v>
      </c>
      <c r="L158" t="s">
        <v>564</v>
      </c>
    </row>
    <row r="159" spans="1:13" x14ac:dyDescent="0.25">
      <c r="A159" t="s">
        <v>943</v>
      </c>
      <c r="B159" t="s">
        <v>1206</v>
      </c>
      <c r="C159" t="s">
        <v>1207</v>
      </c>
      <c r="D159" s="13">
        <v>44563</v>
      </c>
      <c r="E159" s="13">
        <v>44564</v>
      </c>
      <c r="F159" s="4">
        <v>44564</v>
      </c>
      <c r="G159" s="4">
        <v>44563</v>
      </c>
      <c r="H159">
        <v>2022</v>
      </c>
      <c r="K159" t="s">
        <v>903</v>
      </c>
      <c r="L159" t="s">
        <v>564</v>
      </c>
    </row>
    <row r="160" spans="1:13" x14ac:dyDescent="0.25">
      <c r="A160" t="s">
        <v>943</v>
      </c>
      <c r="B160" t="s">
        <v>1208</v>
      </c>
      <c r="C160" t="s">
        <v>1209</v>
      </c>
      <c r="D160" s="13">
        <v>44593</v>
      </c>
      <c r="E160" s="13">
        <v>44597</v>
      </c>
      <c r="F160" s="4">
        <v>44597</v>
      </c>
      <c r="G160" s="4">
        <v>44593</v>
      </c>
      <c r="H160">
        <v>2022</v>
      </c>
      <c r="K160" t="s">
        <v>906</v>
      </c>
      <c r="L160" t="s">
        <v>564</v>
      </c>
    </row>
    <row r="161" spans="1:12" hidden="1" x14ac:dyDescent="0.25">
      <c r="A161" t="s">
        <v>955</v>
      </c>
      <c r="B161" t="s">
        <v>1210</v>
      </c>
      <c r="C161" t="s">
        <v>1211</v>
      </c>
      <c r="D161" s="13">
        <v>44596</v>
      </c>
      <c r="E161" s="13">
        <v>44598</v>
      </c>
      <c r="F161" s="4">
        <v>44598</v>
      </c>
      <c r="G161" s="4">
        <v>44596</v>
      </c>
      <c r="H161">
        <v>2022</v>
      </c>
      <c r="K161" t="s">
        <v>895</v>
      </c>
      <c r="L161" t="s">
        <v>481</v>
      </c>
    </row>
    <row r="162" spans="1:12" x14ac:dyDescent="0.25">
      <c r="A162" t="s">
        <v>943</v>
      </c>
      <c r="B162" t="s">
        <v>1212</v>
      </c>
      <c r="C162" t="s">
        <v>1213</v>
      </c>
      <c r="D162" s="13">
        <v>44610</v>
      </c>
      <c r="E162" s="13">
        <v>44610</v>
      </c>
      <c r="F162" s="4">
        <v>44610</v>
      </c>
      <c r="G162" s="4">
        <v>44610</v>
      </c>
      <c r="H162">
        <v>2022</v>
      </c>
      <c r="K162" t="s">
        <v>457</v>
      </c>
      <c r="L162" t="s">
        <v>13</v>
      </c>
    </row>
    <row r="163" spans="1:12" x14ac:dyDescent="0.25">
      <c r="A163" t="s">
        <v>943</v>
      </c>
      <c r="B163" t="s">
        <v>1214</v>
      </c>
      <c r="C163" t="s">
        <v>1209</v>
      </c>
      <c r="D163" s="13">
        <v>44625</v>
      </c>
      <c r="E163" s="13">
        <v>44627</v>
      </c>
      <c r="F163" s="4">
        <v>44627</v>
      </c>
      <c r="G163" s="4">
        <v>44625</v>
      </c>
      <c r="H163">
        <v>2022</v>
      </c>
      <c r="K163" t="s">
        <v>906</v>
      </c>
      <c r="L163" t="s">
        <v>564</v>
      </c>
    </row>
    <row r="164" spans="1:12" x14ac:dyDescent="0.25">
      <c r="A164" t="s">
        <v>943</v>
      </c>
      <c r="B164" t="s">
        <v>1215</v>
      </c>
      <c r="C164" t="s">
        <v>1209</v>
      </c>
      <c r="D164" s="13">
        <v>44641</v>
      </c>
      <c r="E164" s="13">
        <v>44643</v>
      </c>
      <c r="F164" s="4">
        <v>44643</v>
      </c>
      <c r="G164" s="4">
        <v>44641</v>
      </c>
      <c r="H164">
        <v>2022</v>
      </c>
      <c r="K164" t="s">
        <v>906</v>
      </c>
      <c r="L164" t="s">
        <v>564</v>
      </c>
    </row>
    <row r="165" spans="1:12" x14ac:dyDescent="0.25">
      <c r="A165" t="s">
        <v>943</v>
      </c>
      <c r="B165" t="s">
        <v>1216</v>
      </c>
      <c r="C165" t="s">
        <v>1217</v>
      </c>
      <c r="D165" s="13">
        <v>44649</v>
      </c>
      <c r="E165" s="13">
        <v>44652</v>
      </c>
      <c r="F165" s="4">
        <v>44652</v>
      </c>
      <c r="G165" s="4">
        <v>44649</v>
      </c>
      <c r="H165">
        <v>2022</v>
      </c>
      <c r="K165" t="s">
        <v>906</v>
      </c>
      <c r="L165" t="s">
        <v>564</v>
      </c>
    </row>
    <row r="166" spans="1:12" x14ac:dyDescent="0.25">
      <c r="A166" t="s">
        <v>943</v>
      </c>
      <c r="B166" t="s">
        <v>1218</v>
      </c>
      <c r="C166" t="s">
        <v>1209</v>
      </c>
      <c r="D166" s="13">
        <v>44655</v>
      </c>
      <c r="E166" s="13">
        <v>44658</v>
      </c>
      <c r="F166" s="4">
        <v>44658</v>
      </c>
      <c r="G166" s="4">
        <v>44655</v>
      </c>
      <c r="H166">
        <v>2022</v>
      </c>
      <c r="K166" t="s">
        <v>906</v>
      </c>
      <c r="L166" t="s">
        <v>564</v>
      </c>
    </row>
    <row r="167" spans="1:12" x14ac:dyDescent="0.25">
      <c r="A167" t="s">
        <v>943</v>
      </c>
      <c r="B167" t="s">
        <v>1219</v>
      </c>
      <c r="C167" t="s">
        <v>1209</v>
      </c>
      <c r="D167" s="13">
        <v>44662</v>
      </c>
      <c r="E167" s="13">
        <v>44665</v>
      </c>
      <c r="F167" s="4">
        <v>44665</v>
      </c>
      <c r="G167" s="4">
        <v>44662</v>
      </c>
      <c r="H167">
        <v>2022</v>
      </c>
      <c r="K167" t="s">
        <v>906</v>
      </c>
      <c r="L167" t="s">
        <v>564</v>
      </c>
    </row>
    <row r="168" spans="1:12" hidden="1" x14ac:dyDescent="0.25">
      <c r="A168" t="s">
        <v>960</v>
      </c>
      <c r="B168" t="s">
        <v>1220</v>
      </c>
      <c r="C168" t="s">
        <v>1221</v>
      </c>
      <c r="D168" s="13">
        <v>44663</v>
      </c>
      <c r="E168" s="13">
        <v>44693</v>
      </c>
      <c r="F168" s="4">
        <v>44693</v>
      </c>
      <c r="G168" s="4">
        <v>44663</v>
      </c>
      <c r="H168">
        <v>2022</v>
      </c>
      <c r="K168" t="s">
        <v>6</v>
      </c>
      <c r="L168" t="s">
        <v>564</v>
      </c>
    </row>
    <row r="169" spans="1:12" x14ac:dyDescent="0.25">
      <c r="A169" t="s">
        <v>943</v>
      </c>
      <c r="B169" t="s">
        <v>1222</v>
      </c>
      <c r="C169" t="s">
        <v>1223</v>
      </c>
      <c r="D169" s="13">
        <v>44666</v>
      </c>
      <c r="E169" s="13">
        <v>44669</v>
      </c>
      <c r="F169" s="4">
        <v>44669</v>
      </c>
      <c r="G169" s="4">
        <v>44666</v>
      </c>
      <c r="H169">
        <v>2022</v>
      </c>
      <c r="K169" t="s">
        <v>906</v>
      </c>
      <c r="L169" t="s">
        <v>564</v>
      </c>
    </row>
    <row r="170" spans="1:12" x14ac:dyDescent="0.25">
      <c r="A170" t="s">
        <v>943</v>
      </c>
      <c r="B170" t="s">
        <v>1224</v>
      </c>
      <c r="C170" t="s">
        <v>1223</v>
      </c>
      <c r="D170" s="13">
        <v>44672</v>
      </c>
      <c r="E170" s="13">
        <v>44675</v>
      </c>
      <c r="F170" s="4">
        <v>44675</v>
      </c>
      <c r="G170" s="4">
        <v>44672</v>
      </c>
      <c r="H170">
        <v>2022</v>
      </c>
      <c r="K170" t="s">
        <v>906</v>
      </c>
      <c r="L170" t="s">
        <v>564</v>
      </c>
    </row>
    <row r="171" spans="1:12" x14ac:dyDescent="0.25">
      <c r="A171" t="s">
        <v>943</v>
      </c>
      <c r="B171" t="s">
        <v>1225</v>
      </c>
      <c r="C171" t="s">
        <v>1209</v>
      </c>
      <c r="D171" s="13">
        <v>44677</v>
      </c>
      <c r="E171" s="13">
        <v>44686</v>
      </c>
      <c r="F171" s="4">
        <v>44686</v>
      </c>
      <c r="G171" s="4">
        <v>44677</v>
      </c>
      <c r="H171">
        <v>2022</v>
      </c>
      <c r="K171" t="s">
        <v>906</v>
      </c>
      <c r="L171" t="s">
        <v>564</v>
      </c>
    </row>
    <row r="172" spans="1:12" x14ac:dyDescent="0.25">
      <c r="A172" t="s">
        <v>943</v>
      </c>
      <c r="B172" t="s">
        <v>1226</v>
      </c>
      <c r="C172" t="s">
        <v>1223</v>
      </c>
      <c r="D172" s="13">
        <v>44686</v>
      </c>
      <c r="E172" s="13">
        <v>44692</v>
      </c>
      <c r="F172" s="4">
        <v>44692</v>
      </c>
      <c r="G172" s="4">
        <v>44686</v>
      </c>
      <c r="H172">
        <v>2022</v>
      </c>
      <c r="K172" t="s">
        <v>906</v>
      </c>
      <c r="L172" t="s">
        <v>564</v>
      </c>
    </row>
    <row r="173" spans="1:12" hidden="1" x14ac:dyDescent="0.25">
      <c r="A173" t="s">
        <v>955</v>
      </c>
      <c r="B173" t="s">
        <v>1227</v>
      </c>
      <c r="C173" t="s">
        <v>1228</v>
      </c>
      <c r="D173" s="13">
        <v>44711</v>
      </c>
      <c r="E173" s="13">
        <v>44712</v>
      </c>
      <c r="F173" s="4">
        <v>44712</v>
      </c>
      <c r="G173" s="4">
        <v>44711</v>
      </c>
      <c r="H173">
        <v>2022</v>
      </c>
      <c r="K173" t="s">
        <v>895</v>
      </c>
      <c r="L173" t="s">
        <v>15</v>
      </c>
    </row>
    <row r="174" spans="1:12" x14ac:dyDescent="0.25">
      <c r="A174" t="s">
        <v>943</v>
      </c>
      <c r="B174" t="s">
        <v>1229</v>
      </c>
      <c r="C174" t="s">
        <v>1230</v>
      </c>
      <c r="D174" s="13">
        <v>44700</v>
      </c>
      <c r="E174" s="13">
        <v>44707</v>
      </c>
      <c r="F174" s="4">
        <v>44707</v>
      </c>
      <c r="G174" s="4">
        <v>44700</v>
      </c>
      <c r="H174">
        <v>2022</v>
      </c>
      <c r="K174" t="s">
        <v>906</v>
      </c>
      <c r="L174" t="s">
        <v>564</v>
      </c>
    </row>
    <row r="175" spans="1:12" hidden="1" x14ac:dyDescent="0.25">
      <c r="A175" t="s">
        <v>955</v>
      </c>
      <c r="B175" t="s">
        <v>1231</v>
      </c>
      <c r="C175" t="s">
        <v>1232</v>
      </c>
      <c r="D175" s="13">
        <v>44768</v>
      </c>
      <c r="E175" s="13">
        <v>44773</v>
      </c>
      <c r="F175" s="4">
        <v>44773</v>
      </c>
      <c r="G175" s="4">
        <v>44768</v>
      </c>
      <c r="H175">
        <v>2022</v>
      </c>
      <c r="K175" t="s">
        <v>895</v>
      </c>
      <c r="L175" t="s">
        <v>564</v>
      </c>
    </row>
    <row r="176" spans="1:12" hidden="1" x14ac:dyDescent="0.25">
      <c r="A176" t="s">
        <v>960</v>
      </c>
      <c r="B176" t="s">
        <v>1233</v>
      </c>
      <c r="C176" t="s">
        <v>1234</v>
      </c>
      <c r="D176" s="13">
        <v>44771</v>
      </c>
      <c r="E176" s="13">
        <v>44774</v>
      </c>
      <c r="F176" s="4">
        <v>44774</v>
      </c>
      <c r="G176" s="4">
        <v>44771</v>
      </c>
      <c r="H176">
        <v>2022</v>
      </c>
      <c r="K176" t="s">
        <v>6</v>
      </c>
      <c r="L176" t="s">
        <v>564</v>
      </c>
    </row>
    <row r="177" spans="1:13" x14ac:dyDescent="0.25">
      <c r="A177" t="s">
        <v>943</v>
      </c>
      <c r="B177" t="s">
        <v>1235</v>
      </c>
      <c r="C177" t="s">
        <v>1236</v>
      </c>
      <c r="D177" s="13">
        <v>44821</v>
      </c>
      <c r="E177" s="13">
        <v>44822</v>
      </c>
      <c r="F177" s="4">
        <v>44822</v>
      </c>
      <c r="G177" s="4">
        <v>44821</v>
      </c>
      <c r="H177">
        <v>2022</v>
      </c>
      <c r="K177" t="s">
        <v>457</v>
      </c>
      <c r="L177" t="s">
        <v>481</v>
      </c>
      <c r="M177" t="s">
        <v>895</v>
      </c>
    </row>
    <row r="178" spans="1:13" x14ac:dyDescent="0.25">
      <c r="A178" t="s">
        <v>943</v>
      </c>
      <c r="B178" t="s">
        <v>1237</v>
      </c>
      <c r="C178" t="s">
        <v>1238</v>
      </c>
      <c r="D178" s="13">
        <v>44832</v>
      </c>
      <c r="E178" s="13">
        <v>44836</v>
      </c>
      <c r="F178" s="4">
        <v>44836</v>
      </c>
      <c r="G178" s="4">
        <v>44832</v>
      </c>
      <c r="H178">
        <v>2022</v>
      </c>
      <c r="K178" t="s">
        <v>457</v>
      </c>
      <c r="L178" t="s">
        <v>564</v>
      </c>
      <c r="M178" t="s">
        <v>895</v>
      </c>
    </row>
    <row r="179" spans="1:13" x14ac:dyDescent="0.25">
      <c r="A179" t="s">
        <v>943</v>
      </c>
      <c r="B179" t="s">
        <v>1239</v>
      </c>
      <c r="C179" t="s">
        <v>1240</v>
      </c>
      <c r="D179" s="13">
        <v>44875</v>
      </c>
      <c r="E179" s="13">
        <v>44876</v>
      </c>
      <c r="F179" s="4">
        <v>44876</v>
      </c>
      <c r="G179" s="4">
        <v>44875</v>
      </c>
      <c r="H179">
        <v>2022</v>
      </c>
      <c r="K179" t="s">
        <v>457</v>
      </c>
      <c r="L179" t="s">
        <v>564</v>
      </c>
    </row>
    <row r="180" spans="1:13" x14ac:dyDescent="0.25">
      <c r="A180" t="s">
        <v>943</v>
      </c>
      <c r="B180" t="s">
        <v>1241</v>
      </c>
      <c r="C180" t="s">
        <v>1217</v>
      </c>
      <c r="D180" s="13">
        <v>44869</v>
      </c>
      <c r="E180" s="13">
        <v>44870</v>
      </c>
      <c r="F180" s="4">
        <v>44870</v>
      </c>
      <c r="G180" s="4">
        <v>44869</v>
      </c>
      <c r="H180">
        <v>2022</v>
      </c>
      <c r="K180" t="s">
        <v>906</v>
      </c>
      <c r="L180" t="s">
        <v>564</v>
      </c>
    </row>
    <row r="181" spans="1:13" hidden="1" x14ac:dyDescent="0.25">
      <c r="A181" t="s">
        <v>940</v>
      </c>
      <c r="B181" t="s">
        <v>1242</v>
      </c>
      <c r="C181" t="s">
        <v>1243</v>
      </c>
      <c r="D181" s="13">
        <v>44915</v>
      </c>
      <c r="E181" s="13">
        <v>44915</v>
      </c>
      <c r="F181" s="4">
        <v>44915</v>
      </c>
      <c r="G181" s="4">
        <v>44915</v>
      </c>
      <c r="H181">
        <v>2022</v>
      </c>
      <c r="K181" t="s">
        <v>887</v>
      </c>
      <c r="L181" t="s">
        <v>564</v>
      </c>
    </row>
    <row r="182" spans="1:13" x14ac:dyDescent="0.25">
      <c r="A182" t="s">
        <v>943</v>
      </c>
      <c r="B182" t="s">
        <v>1244</v>
      </c>
      <c r="C182" t="s">
        <v>1223</v>
      </c>
      <c r="D182" s="13">
        <v>44907</v>
      </c>
      <c r="E182" s="13">
        <v>44910</v>
      </c>
      <c r="F182" s="4">
        <v>44910</v>
      </c>
      <c r="G182" s="4">
        <v>44907</v>
      </c>
      <c r="H182">
        <v>2022</v>
      </c>
      <c r="K182" t="s">
        <v>906</v>
      </c>
      <c r="L182" t="s">
        <v>564</v>
      </c>
    </row>
    <row r="183" spans="1:13" x14ac:dyDescent="0.25">
      <c r="A183" t="s">
        <v>943</v>
      </c>
      <c r="B183" t="s">
        <v>1245</v>
      </c>
      <c r="C183" t="s">
        <v>1246</v>
      </c>
      <c r="D183" s="13">
        <v>44916</v>
      </c>
      <c r="E183" s="13">
        <v>44921</v>
      </c>
      <c r="F183" s="4">
        <v>44921</v>
      </c>
      <c r="G183" s="4">
        <v>44916</v>
      </c>
      <c r="H183">
        <v>2022</v>
      </c>
      <c r="K183" t="s">
        <v>903</v>
      </c>
      <c r="L183" t="s">
        <v>15</v>
      </c>
    </row>
    <row r="184" spans="1:13" x14ac:dyDescent="0.25">
      <c r="A184" t="s">
        <v>943</v>
      </c>
      <c r="B184" t="s">
        <v>1245</v>
      </c>
      <c r="C184" t="s">
        <v>1246</v>
      </c>
      <c r="D184" s="13">
        <v>44914</v>
      </c>
      <c r="E184" s="13">
        <v>44924</v>
      </c>
      <c r="F184" s="4">
        <v>44924</v>
      </c>
      <c r="G184" s="4">
        <v>44914</v>
      </c>
      <c r="H184">
        <v>2022</v>
      </c>
      <c r="K184" t="s">
        <v>903</v>
      </c>
      <c r="L184" t="s">
        <v>564</v>
      </c>
    </row>
    <row r="185" spans="1:13" x14ac:dyDescent="0.25">
      <c r="A185" t="s">
        <v>943</v>
      </c>
      <c r="B185" t="s">
        <v>1247</v>
      </c>
      <c r="C185" t="s">
        <v>1223</v>
      </c>
      <c r="D185" s="13">
        <v>44921</v>
      </c>
      <c r="E185" s="13">
        <v>45011</v>
      </c>
      <c r="F185" s="4">
        <v>45011</v>
      </c>
      <c r="G185" s="4">
        <v>44921</v>
      </c>
      <c r="H185">
        <v>2023</v>
      </c>
      <c r="K185" t="s">
        <v>906</v>
      </c>
      <c r="L185" t="s">
        <v>564</v>
      </c>
    </row>
    <row r="186" spans="1:13" x14ac:dyDescent="0.25">
      <c r="A186" t="s">
        <v>943</v>
      </c>
      <c r="B186" t="s">
        <v>1248</v>
      </c>
      <c r="C186" t="s">
        <v>1249</v>
      </c>
      <c r="D186" s="13">
        <v>44938</v>
      </c>
      <c r="E186" s="13">
        <v>44938</v>
      </c>
      <c r="F186" s="4">
        <v>44938</v>
      </c>
      <c r="G186" s="4">
        <v>44938</v>
      </c>
      <c r="H186">
        <v>2023</v>
      </c>
      <c r="K186" t="s">
        <v>906</v>
      </c>
      <c r="L186" t="s">
        <v>564</v>
      </c>
    </row>
    <row r="187" spans="1:13" x14ac:dyDescent="0.25">
      <c r="A187" t="s">
        <v>943</v>
      </c>
      <c r="B187" t="s">
        <v>1250</v>
      </c>
      <c r="C187" t="s">
        <v>1251</v>
      </c>
      <c r="D187" s="13">
        <v>44986</v>
      </c>
      <c r="E187" s="13">
        <v>44988</v>
      </c>
      <c r="F187" s="4">
        <v>44988</v>
      </c>
      <c r="G187" s="4">
        <v>44986</v>
      </c>
      <c r="H187">
        <v>2023</v>
      </c>
      <c r="K187" t="s">
        <v>906</v>
      </c>
      <c r="L187" t="s">
        <v>564</v>
      </c>
    </row>
    <row r="188" spans="1:13" x14ac:dyDescent="0.25">
      <c r="A188" t="s">
        <v>943</v>
      </c>
      <c r="B188" t="s">
        <v>1252</v>
      </c>
      <c r="C188" t="s">
        <v>1253</v>
      </c>
      <c r="D188" s="13">
        <v>44994</v>
      </c>
      <c r="E188" s="13">
        <v>44997</v>
      </c>
      <c r="F188" s="4">
        <v>44997</v>
      </c>
      <c r="G188" s="4">
        <v>44994</v>
      </c>
      <c r="H188">
        <v>2023</v>
      </c>
      <c r="K188" t="s">
        <v>906</v>
      </c>
      <c r="L188" t="s">
        <v>564</v>
      </c>
    </row>
    <row r="189" spans="1:13" x14ac:dyDescent="0.25">
      <c r="A189" t="s">
        <v>943</v>
      </c>
      <c r="B189" t="s">
        <v>1254</v>
      </c>
      <c r="C189" t="s">
        <v>1249</v>
      </c>
      <c r="D189" s="13">
        <v>45007</v>
      </c>
      <c r="E189" s="13">
        <v>45012</v>
      </c>
      <c r="F189" s="4">
        <v>45012</v>
      </c>
      <c r="G189" s="4">
        <v>45007</v>
      </c>
      <c r="H189">
        <v>2023</v>
      </c>
      <c r="K189" t="s">
        <v>906</v>
      </c>
      <c r="L189" t="s">
        <v>564</v>
      </c>
    </row>
    <row r="190" spans="1:13" x14ac:dyDescent="0.25">
      <c r="A190" t="s">
        <v>943</v>
      </c>
      <c r="B190" t="s">
        <v>1255</v>
      </c>
      <c r="C190" t="s">
        <v>1249</v>
      </c>
      <c r="D190" s="13">
        <v>45015</v>
      </c>
      <c r="E190" s="13">
        <v>45019</v>
      </c>
      <c r="F190" s="4">
        <v>45019</v>
      </c>
      <c r="G190" s="4">
        <v>45015</v>
      </c>
      <c r="H190">
        <v>2023</v>
      </c>
      <c r="K190" t="s">
        <v>906</v>
      </c>
      <c r="L190" t="s">
        <v>564</v>
      </c>
    </row>
    <row r="191" spans="1:13" x14ac:dyDescent="0.25">
      <c r="A191" t="s">
        <v>943</v>
      </c>
      <c r="B191" t="s">
        <v>1256</v>
      </c>
      <c r="C191" t="s">
        <v>1249</v>
      </c>
      <c r="D191" s="13">
        <v>45019</v>
      </c>
      <c r="E191" s="13">
        <v>45023</v>
      </c>
      <c r="F191" s="4">
        <v>45023</v>
      </c>
      <c r="G191" s="4">
        <v>45019</v>
      </c>
      <c r="H191">
        <v>2023</v>
      </c>
      <c r="K191" t="s">
        <v>906</v>
      </c>
      <c r="L191" t="s">
        <v>564</v>
      </c>
    </row>
    <row r="192" spans="1:13" hidden="1" x14ac:dyDescent="0.25">
      <c r="A192" t="s">
        <v>955</v>
      </c>
      <c r="B192" t="s">
        <v>1257</v>
      </c>
      <c r="C192" t="s">
        <v>1258</v>
      </c>
      <c r="D192" s="13">
        <v>45028</v>
      </c>
      <c r="E192" s="13">
        <v>45030</v>
      </c>
      <c r="F192" s="4">
        <v>45030</v>
      </c>
      <c r="G192" s="4">
        <v>45028</v>
      </c>
      <c r="H192">
        <v>2023</v>
      </c>
      <c r="K192" t="s">
        <v>895</v>
      </c>
      <c r="L192" t="s">
        <v>564</v>
      </c>
    </row>
    <row r="193" spans="1:13" x14ac:dyDescent="0.25">
      <c r="A193" t="s">
        <v>943</v>
      </c>
      <c r="B193" t="s">
        <v>1259</v>
      </c>
      <c r="C193" t="s">
        <v>1251</v>
      </c>
      <c r="D193" s="13">
        <v>45031</v>
      </c>
      <c r="E193" s="13">
        <v>45038</v>
      </c>
      <c r="F193" s="4">
        <v>45038</v>
      </c>
      <c r="G193" s="4">
        <v>45031</v>
      </c>
      <c r="H193">
        <v>2023</v>
      </c>
      <c r="K193" t="s">
        <v>906</v>
      </c>
      <c r="L193" t="s">
        <v>564</v>
      </c>
    </row>
    <row r="194" spans="1:13" x14ac:dyDescent="0.25">
      <c r="A194" t="s">
        <v>943</v>
      </c>
      <c r="B194" t="s">
        <v>1260</v>
      </c>
      <c r="C194" t="s">
        <v>1251</v>
      </c>
      <c r="D194" s="13">
        <v>45039</v>
      </c>
      <c r="E194" s="13">
        <v>45043</v>
      </c>
      <c r="F194" s="4">
        <v>45043</v>
      </c>
      <c r="G194" s="4">
        <v>45039</v>
      </c>
      <c r="H194">
        <v>2023</v>
      </c>
      <c r="K194" t="s">
        <v>906</v>
      </c>
      <c r="L194" t="s">
        <v>564</v>
      </c>
    </row>
    <row r="195" spans="1:13" hidden="1" x14ac:dyDescent="0.25">
      <c r="A195" t="s">
        <v>960</v>
      </c>
      <c r="B195" t="s">
        <v>1261</v>
      </c>
      <c r="C195" t="s">
        <v>1262</v>
      </c>
      <c r="D195" s="13">
        <v>45052</v>
      </c>
      <c r="E195" s="13">
        <v>45113</v>
      </c>
      <c r="F195" s="4">
        <v>45113</v>
      </c>
      <c r="G195" s="4">
        <v>45052</v>
      </c>
      <c r="H195">
        <v>2023</v>
      </c>
      <c r="K195" t="s">
        <v>6</v>
      </c>
      <c r="L195" t="s">
        <v>15</v>
      </c>
    </row>
    <row r="196" spans="1:13" x14ac:dyDescent="0.25">
      <c r="A196" t="s">
        <v>943</v>
      </c>
      <c r="B196" t="s">
        <v>1263</v>
      </c>
      <c r="C196" t="s">
        <v>1251</v>
      </c>
      <c r="D196" s="13">
        <v>45052</v>
      </c>
      <c r="E196" s="13">
        <v>45054</v>
      </c>
      <c r="F196" s="4">
        <v>45054</v>
      </c>
      <c r="G196" s="4">
        <v>45052</v>
      </c>
      <c r="H196">
        <v>2023</v>
      </c>
      <c r="K196" t="s">
        <v>906</v>
      </c>
      <c r="L196" t="s">
        <v>564</v>
      </c>
    </row>
    <row r="197" spans="1:13" hidden="1" x14ac:dyDescent="0.25">
      <c r="A197" t="s">
        <v>955</v>
      </c>
      <c r="B197" t="s">
        <v>1264</v>
      </c>
      <c r="C197" t="s">
        <v>1265</v>
      </c>
      <c r="D197" s="13">
        <v>45062</v>
      </c>
      <c r="E197" s="13">
        <v>45066</v>
      </c>
      <c r="F197" s="4">
        <v>45066</v>
      </c>
      <c r="G197" s="4">
        <v>45062</v>
      </c>
      <c r="H197">
        <v>2023</v>
      </c>
      <c r="K197" t="s">
        <v>895</v>
      </c>
      <c r="L197" t="s">
        <v>13</v>
      </c>
    </row>
    <row r="198" spans="1:13" hidden="1" x14ac:dyDescent="0.25">
      <c r="A198" t="s">
        <v>940</v>
      </c>
      <c r="B198" t="s">
        <v>1266</v>
      </c>
      <c r="C198" t="s">
        <v>1267</v>
      </c>
      <c r="D198" s="13">
        <v>45093</v>
      </c>
      <c r="E198" s="13">
        <v>45093</v>
      </c>
      <c r="F198" s="4">
        <v>45093</v>
      </c>
      <c r="G198" s="4">
        <v>45093</v>
      </c>
      <c r="H198">
        <v>2023</v>
      </c>
      <c r="K198" t="s">
        <v>887</v>
      </c>
      <c r="L198" t="s">
        <v>13</v>
      </c>
    </row>
    <row r="199" spans="1:13" x14ac:dyDescent="0.25">
      <c r="A199" t="s">
        <v>943</v>
      </c>
      <c r="B199" t="s">
        <v>1268</v>
      </c>
      <c r="C199" t="s">
        <v>1251</v>
      </c>
      <c r="D199" s="13">
        <v>45092</v>
      </c>
      <c r="E199" s="13">
        <v>45099</v>
      </c>
      <c r="F199" s="4">
        <v>45099</v>
      </c>
      <c r="G199" s="4">
        <v>45092</v>
      </c>
      <c r="H199">
        <v>2023</v>
      </c>
      <c r="K199" t="s">
        <v>906</v>
      </c>
      <c r="L199" t="s">
        <v>564</v>
      </c>
    </row>
    <row r="200" spans="1:13" x14ac:dyDescent="0.25">
      <c r="A200" t="s">
        <v>943</v>
      </c>
      <c r="B200" t="s">
        <v>1269</v>
      </c>
      <c r="C200" t="s">
        <v>1249</v>
      </c>
      <c r="D200" s="13">
        <v>45087</v>
      </c>
      <c r="E200" s="13">
        <v>45094</v>
      </c>
      <c r="F200" s="4">
        <v>45094</v>
      </c>
      <c r="G200" s="4">
        <v>45087</v>
      </c>
      <c r="H200">
        <v>2023</v>
      </c>
      <c r="K200" t="s">
        <v>906</v>
      </c>
      <c r="L200" t="s">
        <v>564</v>
      </c>
    </row>
    <row r="201" spans="1:13" x14ac:dyDescent="0.25">
      <c r="A201" t="s">
        <v>943</v>
      </c>
      <c r="B201" t="s">
        <v>1270</v>
      </c>
      <c r="C201" t="s">
        <v>1251</v>
      </c>
      <c r="D201" s="13">
        <v>45100</v>
      </c>
      <c r="E201" s="13">
        <v>45106</v>
      </c>
      <c r="F201" s="4">
        <v>45106</v>
      </c>
      <c r="G201" s="4">
        <v>45100</v>
      </c>
      <c r="H201">
        <v>2023</v>
      </c>
      <c r="K201" t="s">
        <v>906</v>
      </c>
      <c r="L201" t="s">
        <v>564</v>
      </c>
    </row>
    <row r="202" spans="1:13" hidden="1" x14ac:dyDescent="0.25">
      <c r="A202" t="s">
        <v>955</v>
      </c>
      <c r="B202" t="s">
        <v>1271</v>
      </c>
      <c r="C202" t="s">
        <v>1272</v>
      </c>
      <c r="D202" s="13">
        <v>45116</v>
      </c>
      <c r="E202" s="13">
        <v>45125</v>
      </c>
      <c r="F202" s="4">
        <v>45125</v>
      </c>
      <c r="G202" s="4">
        <v>45116</v>
      </c>
      <c r="H202">
        <v>2023</v>
      </c>
      <c r="K202" t="s">
        <v>895</v>
      </c>
      <c r="L202" t="s">
        <v>564</v>
      </c>
    </row>
    <row r="203" spans="1:13" x14ac:dyDescent="0.25">
      <c r="A203" t="s">
        <v>943</v>
      </c>
      <c r="B203" t="s">
        <v>1273</v>
      </c>
      <c r="C203" t="s">
        <v>1274</v>
      </c>
      <c r="D203" s="13">
        <v>45128</v>
      </c>
      <c r="E203" s="13">
        <v>45132</v>
      </c>
      <c r="F203" s="4">
        <v>45132</v>
      </c>
      <c r="G203" s="4">
        <v>45128</v>
      </c>
      <c r="H203">
        <v>2023</v>
      </c>
      <c r="K203" t="s">
        <v>457</v>
      </c>
      <c r="L203" t="s">
        <v>13</v>
      </c>
    </row>
    <row r="204" spans="1:13" hidden="1" x14ac:dyDescent="0.25">
      <c r="A204" t="s">
        <v>960</v>
      </c>
      <c r="B204" t="s">
        <v>1275</v>
      </c>
      <c r="C204" t="s">
        <v>1276</v>
      </c>
      <c r="D204" s="13">
        <v>45147</v>
      </c>
      <c r="E204" s="13">
        <v>45148</v>
      </c>
      <c r="F204" s="4">
        <v>45148</v>
      </c>
      <c r="G204" s="4">
        <v>45147</v>
      </c>
      <c r="H204">
        <v>2023</v>
      </c>
      <c r="K204" t="s">
        <v>6</v>
      </c>
      <c r="L204" t="s">
        <v>564</v>
      </c>
    </row>
    <row r="205" spans="1:13" hidden="1" x14ac:dyDescent="0.25">
      <c r="A205" t="s">
        <v>960</v>
      </c>
      <c r="B205" t="s">
        <v>1277</v>
      </c>
      <c r="C205" t="s">
        <v>1278</v>
      </c>
      <c r="D205" s="13">
        <v>45157</v>
      </c>
      <c r="E205" s="13">
        <v>45165</v>
      </c>
      <c r="F205" s="4">
        <v>45165</v>
      </c>
      <c r="G205" s="4">
        <v>45157</v>
      </c>
      <c r="H205">
        <v>2023</v>
      </c>
      <c r="K205" t="s">
        <v>6</v>
      </c>
      <c r="L205" t="s">
        <v>13</v>
      </c>
    </row>
    <row r="206" spans="1:13" x14ac:dyDescent="0.25">
      <c r="A206" t="s">
        <v>943</v>
      </c>
      <c r="B206" t="s">
        <v>1279</v>
      </c>
      <c r="C206" t="s">
        <v>1280</v>
      </c>
      <c r="D206" s="13">
        <v>45166</v>
      </c>
      <c r="E206" s="13">
        <v>45167</v>
      </c>
      <c r="F206" s="4">
        <v>45167</v>
      </c>
      <c r="G206" s="4">
        <v>45166</v>
      </c>
      <c r="H206">
        <v>2023</v>
      </c>
      <c r="K206" t="s">
        <v>457</v>
      </c>
      <c r="L206" t="s">
        <v>564</v>
      </c>
      <c r="M206" t="s">
        <v>895</v>
      </c>
    </row>
    <row r="207" spans="1:13" x14ac:dyDescent="0.25">
      <c r="A207" t="s">
        <v>943</v>
      </c>
      <c r="B207" t="s">
        <v>1281</v>
      </c>
      <c r="C207" t="s">
        <v>1253</v>
      </c>
      <c r="D207" s="13">
        <v>45190</v>
      </c>
      <c r="E207" s="13">
        <v>45196</v>
      </c>
      <c r="F207" s="4">
        <v>45196</v>
      </c>
      <c r="G207" s="4">
        <v>45190</v>
      </c>
      <c r="H207">
        <v>2023</v>
      </c>
      <c r="K207" t="s">
        <v>906</v>
      </c>
      <c r="L207" t="s">
        <v>564</v>
      </c>
    </row>
    <row r="208" spans="1:13" hidden="1" x14ac:dyDescent="0.25">
      <c r="A208" t="s">
        <v>955</v>
      </c>
      <c r="B208" t="s">
        <v>1282</v>
      </c>
      <c r="C208" t="s">
        <v>1283</v>
      </c>
      <c r="D208" s="13">
        <v>45236</v>
      </c>
      <c r="E208" s="13">
        <v>45237</v>
      </c>
      <c r="F208" s="4">
        <v>45237</v>
      </c>
      <c r="G208" s="4">
        <v>45236</v>
      </c>
      <c r="H208">
        <v>2023</v>
      </c>
      <c r="K208" t="s">
        <v>895</v>
      </c>
      <c r="L208" t="s">
        <v>13</v>
      </c>
    </row>
    <row r="209" spans="1:12" x14ac:dyDescent="0.25">
      <c r="A209" t="s">
        <v>943</v>
      </c>
      <c r="B209" t="s">
        <v>1284</v>
      </c>
      <c r="C209" t="s">
        <v>1285</v>
      </c>
      <c r="D209" s="13">
        <v>45245</v>
      </c>
      <c r="E209" s="13">
        <v>45246</v>
      </c>
      <c r="F209" s="4">
        <v>45246</v>
      </c>
      <c r="G209" s="4">
        <v>45245</v>
      </c>
      <c r="H209">
        <v>2023</v>
      </c>
      <c r="K209" t="s">
        <v>457</v>
      </c>
      <c r="L209" t="s">
        <v>13</v>
      </c>
    </row>
    <row r="210" spans="1:12" x14ac:dyDescent="0.25">
      <c r="A210" t="s">
        <v>943</v>
      </c>
      <c r="B210" t="s">
        <v>1286</v>
      </c>
      <c r="C210" t="s">
        <v>1253</v>
      </c>
      <c r="D210" s="13">
        <v>45269</v>
      </c>
      <c r="E210" s="13">
        <v>45271</v>
      </c>
      <c r="F210" s="4">
        <v>45271</v>
      </c>
      <c r="G210" s="4">
        <v>45269</v>
      </c>
      <c r="H210">
        <v>2023</v>
      </c>
      <c r="K210" t="s">
        <v>906</v>
      </c>
      <c r="L210" t="s">
        <v>564</v>
      </c>
    </row>
    <row r="211" spans="1:12" x14ac:dyDescent="0.25">
      <c r="A211" t="s">
        <v>943</v>
      </c>
      <c r="B211" t="s">
        <v>1287</v>
      </c>
      <c r="C211" t="s">
        <v>1253</v>
      </c>
      <c r="D211" s="13">
        <v>45276</v>
      </c>
      <c r="E211" s="13">
        <v>45279</v>
      </c>
      <c r="F211" s="4">
        <v>45279</v>
      </c>
      <c r="G211" s="4">
        <v>45276</v>
      </c>
      <c r="H211">
        <v>2023</v>
      </c>
      <c r="K211" t="s">
        <v>906</v>
      </c>
      <c r="L211" t="s">
        <v>564</v>
      </c>
    </row>
    <row r="212" spans="1:12" x14ac:dyDescent="0.25">
      <c r="D212"/>
      <c r="E212"/>
      <c r="F212"/>
      <c r="G212"/>
    </row>
    <row r="213" spans="1:12" x14ac:dyDescent="0.25">
      <c r="D213"/>
      <c r="E213"/>
      <c r="F213"/>
      <c r="G213"/>
    </row>
    <row r="214" spans="1:12" x14ac:dyDescent="0.25">
      <c r="D214"/>
      <c r="E214"/>
      <c r="F214"/>
      <c r="G214"/>
    </row>
  </sheetData>
  <autoFilter ref="A1:M211" xr:uid="{C5DFD031-C6AB-4528-9E9D-ABC0AD8BC1E5}">
    <filterColumn colId="0">
      <filters>
        <filter val="Storm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FAAA-D2F4-4754-91C7-6194F36F760E}">
  <dimension ref="A1:M89"/>
  <sheetViews>
    <sheetView workbookViewId="0">
      <selection activeCell="C14" sqref="C14"/>
    </sheetView>
  </sheetViews>
  <sheetFormatPr defaultRowHeight="15" x14ac:dyDescent="0.25"/>
  <cols>
    <col min="1" max="1" width="28.7109375" bestFit="1" customWidth="1"/>
    <col min="3" max="3" width="30.7109375" customWidth="1"/>
    <col min="4" max="4" width="14.140625" bestFit="1" customWidth="1"/>
    <col min="12" max="12" width="14.140625" bestFit="1" customWidth="1"/>
  </cols>
  <sheetData>
    <row r="1" spans="1:13" x14ac:dyDescent="0.25">
      <c r="A1" s="1" t="s">
        <v>927</v>
      </c>
      <c r="B1" s="1" t="s">
        <v>928</v>
      </c>
      <c r="C1" s="1" t="s">
        <v>929</v>
      </c>
      <c r="L1" t="s">
        <v>1288</v>
      </c>
      <c r="M1" t="s">
        <v>1289</v>
      </c>
    </row>
    <row r="2" spans="1:13" x14ac:dyDescent="0.25">
      <c r="A2" t="s">
        <v>1290</v>
      </c>
      <c r="B2">
        <v>17043</v>
      </c>
      <c r="C2" t="s">
        <v>1291</v>
      </c>
      <c r="D2" t="s">
        <v>1292</v>
      </c>
      <c r="L2" t="s">
        <v>1292</v>
      </c>
      <c r="M2" t="s">
        <v>1291</v>
      </c>
    </row>
    <row r="3" spans="1:13" x14ac:dyDescent="0.25">
      <c r="A3" t="s">
        <v>1290</v>
      </c>
      <c r="B3">
        <v>17044</v>
      </c>
      <c r="C3" t="s">
        <v>1293</v>
      </c>
      <c r="D3" t="s">
        <v>1294</v>
      </c>
      <c r="L3" t="s">
        <v>1294</v>
      </c>
      <c r="M3" t="s">
        <v>1295</v>
      </c>
    </row>
    <row r="4" spans="1:13" x14ac:dyDescent="0.25">
      <c r="A4" t="s">
        <v>1290</v>
      </c>
      <c r="B4">
        <v>17044</v>
      </c>
      <c r="C4" t="s">
        <v>1293</v>
      </c>
      <c r="D4" t="s">
        <v>1296</v>
      </c>
      <c r="L4" t="s">
        <v>1296</v>
      </c>
      <c r="M4" t="s">
        <v>1297</v>
      </c>
    </row>
    <row r="5" spans="1:13" x14ac:dyDescent="0.25">
      <c r="A5" t="s">
        <v>1290</v>
      </c>
      <c r="B5">
        <v>17045</v>
      </c>
      <c r="C5" t="s">
        <v>1298</v>
      </c>
      <c r="D5" t="s">
        <v>1299</v>
      </c>
      <c r="L5" t="s">
        <v>1299</v>
      </c>
      <c r="M5" t="s">
        <v>1300</v>
      </c>
    </row>
    <row r="6" spans="1:13" x14ac:dyDescent="0.25">
      <c r="A6" t="s">
        <v>1290</v>
      </c>
      <c r="B6">
        <v>17045</v>
      </c>
      <c r="C6" t="s">
        <v>1298</v>
      </c>
      <c r="D6" t="s">
        <v>1296</v>
      </c>
      <c r="L6" t="s">
        <v>1301</v>
      </c>
      <c r="M6" t="s">
        <v>1302</v>
      </c>
    </row>
    <row r="7" spans="1:13" x14ac:dyDescent="0.25">
      <c r="A7" t="s">
        <v>1290</v>
      </c>
      <c r="B7">
        <v>17046</v>
      </c>
      <c r="C7" t="s">
        <v>1303</v>
      </c>
      <c r="L7" t="s">
        <v>1304</v>
      </c>
      <c r="M7" t="s">
        <v>1305</v>
      </c>
    </row>
    <row r="8" spans="1:13" x14ac:dyDescent="0.25">
      <c r="A8" t="s">
        <v>1306</v>
      </c>
      <c r="B8">
        <v>17271</v>
      </c>
      <c r="C8" t="s">
        <v>1307</v>
      </c>
      <c r="L8" t="s">
        <v>1308</v>
      </c>
      <c r="M8" t="s">
        <v>1309</v>
      </c>
    </row>
    <row r="9" spans="1:13" x14ac:dyDescent="0.25">
      <c r="A9" t="s">
        <v>1310</v>
      </c>
      <c r="B9">
        <v>17277</v>
      </c>
      <c r="C9" t="s">
        <v>1311</v>
      </c>
      <c r="L9" t="s">
        <v>1312</v>
      </c>
      <c r="M9" t="s">
        <v>1313</v>
      </c>
    </row>
    <row r="10" spans="1:13" x14ac:dyDescent="0.25">
      <c r="A10" t="s">
        <v>1290</v>
      </c>
      <c r="B10">
        <v>17283</v>
      </c>
      <c r="C10" t="s">
        <v>1314</v>
      </c>
      <c r="L10" t="s">
        <v>1315</v>
      </c>
      <c r="M10" t="s">
        <v>1316</v>
      </c>
    </row>
    <row r="11" spans="1:13" x14ac:dyDescent="0.25">
      <c r="A11" t="s">
        <v>1310</v>
      </c>
      <c r="B11">
        <v>17324</v>
      </c>
      <c r="C11" t="s">
        <v>1317</v>
      </c>
      <c r="L11" t="s">
        <v>1318</v>
      </c>
      <c r="M11" t="s">
        <v>1319</v>
      </c>
    </row>
    <row r="12" spans="1:13" x14ac:dyDescent="0.25">
      <c r="A12" t="s">
        <v>1320</v>
      </c>
      <c r="B12">
        <v>18028</v>
      </c>
      <c r="C12" t="s">
        <v>1321</v>
      </c>
      <c r="L12" t="s">
        <v>1322</v>
      </c>
      <c r="M12" t="s">
        <v>1323</v>
      </c>
    </row>
    <row r="13" spans="1:13" x14ac:dyDescent="0.25">
      <c r="A13" t="s">
        <v>1290</v>
      </c>
      <c r="B13">
        <v>18049</v>
      </c>
      <c r="C13" t="s">
        <v>1324</v>
      </c>
      <c r="L13" t="s">
        <v>1325</v>
      </c>
      <c r="M13" t="s">
        <v>1326</v>
      </c>
    </row>
    <row r="14" spans="1:13" x14ac:dyDescent="0.25">
      <c r="A14" t="s">
        <v>1320</v>
      </c>
      <c r="B14">
        <v>18051</v>
      </c>
      <c r="C14" t="s">
        <v>1327</v>
      </c>
      <c r="L14" t="s">
        <v>1328</v>
      </c>
      <c r="M14" t="s">
        <v>1329</v>
      </c>
    </row>
    <row r="15" spans="1:13" x14ac:dyDescent="0.25">
      <c r="A15" t="s">
        <v>1290</v>
      </c>
      <c r="B15">
        <v>18052</v>
      </c>
      <c r="C15" t="s">
        <v>1305</v>
      </c>
      <c r="L15" t="s">
        <v>1330</v>
      </c>
      <c r="M15" t="s">
        <v>1331</v>
      </c>
    </row>
    <row r="16" spans="1:13" x14ac:dyDescent="0.25">
      <c r="A16" t="s">
        <v>1290</v>
      </c>
      <c r="B16">
        <v>18057</v>
      </c>
      <c r="C16" t="s">
        <v>1309</v>
      </c>
      <c r="L16" t="s">
        <v>1332</v>
      </c>
      <c r="M16" t="s">
        <v>1333</v>
      </c>
    </row>
    <row r="17" spans="1:13" x14ac:dyDescent="0.25">
      <c r="A17" t="s">
        <v>1290</v>
      </c>
      <c r="B17">
        <v>18318</v>
      </c>
      <c r="C17" t="s">
        <v>1334</v>
      </c>
      <c r="L17" t="s">
        <v>1335</v>
      </c>
      <c r="M17" t="s">
        <v>1336</v>
      </c>
    </row>
    <row r="18" spans="1:13" x14ac:dyDescent="0.25">
      <c r="A18" t="s">
        <v>1310</v>
      </c>
      <c r="B18">
        <v>18321</v>
      </c>
      <c r="C18" t="s">
        <v>1337</v>
      </c>
      <c r="L18" t="s">
        <v>1338</v>
      </c>
      <c r="M18" t="s">
        <v>1339</v>
      </c>
    </row>
    <row r="19" spans="1:13" x14ac:dyDescent="0.25">
      <c r="A19" t="s">
        <v>1290</v>
      </c>
      <c r="B19">
        <v>19043</v>
      </c>
      <c r="C19" t="s">
        <v>1340</v>
      </c>
      <c r="L19" t="s">
        <v>1341</v>
      </c>
      <c r="M19" t="s">
        <v>1342</v>
      </c>
    </row>
    <row r="20" spans="1:13" x14ac:dyDescent="0.25">
      <c r="A20" t="s">
        <v>1290</v>
      </c>
      <c r="B20">
        <v>19054</v>
      </c>
      <c r="C20" t="s">
        <v>1343</v>
      </c>
      <c r="L20" t="s">
        <v>1344</v>
      </c>
      <c r="M20" t="s">
        <v>1345</v>
      </c>
    </row>
    <row r="21" spans="1:13" x14ac:dyDescent="0.25">
      <c r="A21" t="s">
        <v>1320</v>
      </c>
      <c r="B21">
        <v>19056</v>
      </c>
      <c r="C21" t="s">
        <v>1346</v>
      </c>
      <c r="L21" t="s">
        <v>1347</v>
      </c>
      <c r="M21" t="s">
        <v>1348</v>
      </c>
    </row>
    <row r="22" spans="1:13" x14ac:dyDescent="0.25">
      <c r="A22" t="s">
        <v>1320</v>
      </c>
      <c r="B22">
        <v>19060</v>
      </c>
      <c r="C22" t="s">
        <v>1349</v>
      </c>
      <c r="L22" t="s">
        <v>1350</v>
      </c>
      <c r="M22" t="s">
        <v>1351</v>
      </c>
    </row>
    <row r="23" spans="1:13" x14ac:dyDescent="0.25">
      <c r="A23" t="s">
        <v>1320</v>
      </c>
      <c r="B23">
        <v>19063</v>
      </c>
      <c r="C23" t="s">
        <v>1352</v>
      </c>
      <c r="L23" t="s">
        <v>1353</v>
      </c>
      <c r="M23" t="s">
        <v>1354</v>
      </c>
    </row>
    <row r="24" spans="1:13" x14ac:dyDescent="0.25">
      <c r="A24" t="s">
        <v>940</v>
      </c>
      <c r="B24">
        <v>20011</v>
      </c>
      <c r="C24" t="s">
        <v>1355</v>
      </c>
      <c r="L24" t="s">
        <v>1356</v>
      </c>
      <c r="M24" t="s">
        <v>1357</v>
      </c>
    </row>
    <row r="25" spans="1:13" x14ac:dyDescent="0.25">
      <c r="A25" t="s">
        <v>1310</v>
      </c>
      <c r="B25">
        <v>20037</v>
      </c>
      <c r="C25" t="s">
        <v>1358</v>
      </c>
      <c r="L25" t="s">
        <v>1359</v>
      </c>
      <c r="M25" t="s">
        <v>1360</v>
      </c>
    </row>
    <row r="26" spans="1:13" x14ac:dyDescent="0.25">
      <c r="A26" t="s">
        <v>1320</v>
      </c>
      <c r="B26">
        <v>20041</v>
      </c>
      <c r="C26" t="s">
        <v>1361</v>
      </c>
      <c r="L26" t="s">
        <v>1362</v>
      </c>
      <c r="M26" t="s">
        <v>1363</v>
      </c>
    </row>
    <row r="27" spans="1:13" x14ac:dyDescent="0.25">
      <c r="A27" t="s">
        <v>1290</v>
      </c>
      <c r="B27">
        <v>20043</v>
      </c>
      <c r="C27" t="s">
        <v>1364</v>
      </c>
      <c r="L27" t="s">
        <v>1365</v>
      </c>
      <c r="M27" t="s">
        <v>1366</v>
      </c>
    </row>
    <row r="28" spans="1:13" x14ac:dyDescent="0.25">
      <c r="A28" t="s">
        <v>1320</v>
      </c>
      <c r="B28">
        <v>20044</v>
      </c>
      <c r="C28" t="s">
        <v>1367</v>
      </c>
      <c r="L28" t="s">
        <v>1368</v>
      </c>
      <c r="M28" t="s">
        <v>1369</v>
      </c>
    </row>
    <row r="29" spans="1:13" x14ac:dyDescent="0.25">
      <c r="A29" t="s">
        <v>1370</v>
      </c>
      <c r="B29">
        <v>20048</v>
      </c>
      <c r="C29" t="s">
        <v>1371</v>
      </c>
    </row>
    <row r="30" spans="1:13" x14ac:dyDescent="0.25">
      <c r="A30" t="s">
        <v>1370</v>
      </c>
      <c r="B30">
        <v>20049</v>
      </c>
      <c r="C30" t="s">
        <v>1372</v>
      </c>
    </row>
    <row r="31" spans="1:13" x14ac:dyDescent="0.25">
      <c r="A31" t="s">
        <v>1290</v>
      </c>
      <c r="B31">
        <v>20050</v>
      </c>
      <c r="C31" t="s">
        <v>1373</v>
      </c>
    </row>
    <row r="32" spans="1:13" x14ac:dyDescent="0.25">
      <c r="A32" t="s">
        <v>1370</v>
      </c>
      <c r="B32">
        <v>20051</v>
      </c>
      <c r="C32" t="s">
        <v>1374</v>
      </c>
    </row>
    <row r="33" spans="1:3" x14ac:dyDescent="0.25">
      <c r="A33" t="s">
        <v>1370</v>
      </c>
      <c r="B33">
        <v>20054</v>
      </c>
      <c r="C33" t="s">
        <v>1375</v>
      </c>
    </row>
    <row r="34" spans="1:3" x14ac:dyDescent="0.25">
      <c r="A34" t="s">
        <v>1370</v>
      </c>
      <c r="B34">
        <v>20056</v>
      </c>
      <c r="C34" t="s">
        <v>1376</v>
      </c>
    </row>
    <row r="35" spans="1:3" x14ac:dyDescent="0.25">
      <c r="A35" t="s">
        <v>1370</v>
      </c>
      <c r="B35">
        <v>20058</v>
      </c>
      <c r="C35" t="s">
        <v>1377</v>
      </c>
    </row>
    <row r="36" spans="1:3" x14ac:dyDescent="0.25">
      <c r="A36" t="s">
        <v>1370</v>
      </c>
      <c r="B36">
        <v>20059</v>
      </c>
      <c r="C36" t="s">
        <v>1378</v>
      </c>
    </row>
    <row r="37" spans="1:3" x14ac:dyDescent="0.25">
      <c r="A37" t="s">
        <v>1370</v>
      </c>
      <c r="B37">
        <v>20060</v>
      </c>
      <c r="C37" t="s">
        <v>1379</v>
      </c>
    </row>
    <row r="38" spans="1:3" x14ac:dyDescent="0.25">
      <c r="A38" t="s">
        <v>1370</v>
      </c>
      <c r="B38">
        <v>20061</v>
      </c>
      <c r="C38" t="s">
        <v>1380</v>
      </c>
    </row>
    <row r="39" spans="1:3" x14ac:dyDescent="0.25">
      <c r="A39" t="s">
        <v>1370</v>
      </c>
      <c r="B39">
        <v>20062</v>
      </c>
      <c r="C39" t="s">
        <v>1381</v>
      </c>
    </row>
    <row r="40" spans="1:3" x14ac:dyDescent="0.25">
      <c r="A40" t="s">
        <v>1290</v>
      </c>
      <c r="B40">
        <v>20063</v>
      </c>
      <c r="C40" t="s">
        <v>1382</v>
      </c>
    </row>
    <row r="41" spans="1:3" x14ac:dyDescent="0.25">
      <c r="A41" t="s">
        <v>1370</v>
      </c>
      <c r="B41">
        <v>20064</v>
      </c>
      <c r="C41" t="s">
        <v>1383</v>
      </c>
    </row>
    <row r="42" spans="1:3" x14ac:dyDescent="0.25">
      <c r="A42" t="s">
        <v>1370</v>
      </c>
      <c r="B42">
        <v>20065</v>
      </c>
      <c r="C42" t="s">
        <v>1384</v>
      </c>
    </row>
    <row r="43" spans="1:3" x14ac:dyDescent="0.25">
      <c r="A43" t="s">
        <v>1370</v>
      </c>
      <c r="B43">
        <v>20066</v>
      </c>
      <c r="C43" t="s">
        <v>1385</v>
      </c>
    </row>
    <row r="44" spans="1:3" x14ac:dyDescent="0.25">
      <c r="A44" t="s">
        <v>1320</v>
      </c>
      <c r="B44">
        <v>20067</v>
      </c>
      <c r="C44" t="s">
        <v>1386</v>
      </c>
    </row>
    <row r="45" spans="1:3" x14ac:dyDescent="0.25">
      <c r="A45" t="s">
        <v>1370</v>
      </c>
      <c r="B45">
        <v>20068</v>
      </c>
      <c r="C45" t="s">
        <v>1387</v>
      </c>
    </row>
    <row r="46" spans="1:3" x14ac:dyDescent="0.25">
      <c r="A46" t="s">
        <v>1370</v>
      </c>
      <c r="B46">
        <v>20069</v>
      </c>
      <c r="C46" t="s">
        <v>1388</v>
      </c>
    </row>
    <row r="47" spans="1:3" x14ac:dyDescent="0.25">
      <c r="A47" t="s">
        <v>1290</v>
      </c>
      <c r="B47">
        <v>20071</v>
      </c>
      <c r="C47" t="s">
        <v>1389</v>
      </c>
    </row>
    <row r="48" spans="1:3" x14ac:dyDescent="0.25">
      <c r="A48" t="s">
        <v>1370</v>
      </c>
      <c r="B48">
        <v>20072</v>
      </c>
      <c r="C48" t="s">
        <v>1390</v>
      </c>
    </row>
    <row r="49" spans="1:3" x14ac:dyDescent="0.25">
      <c r="A49" t="s">
        <v>1370</v>
      </c>
      <c r="B49">
        <v>20073</v>
      </c>
      <c r="C49" t="s">
        <v>1391</v>
      </c>
    </row>
    <row r="50" spans="1:3" x14ac:dyDescent="0.25">
      <c r="A50" t="s">
        <v>1290</v>
      </c>
      <c r="B50">
        <v>20074</v>
      </c>
      <c r="C50" t="s">
        <v>1392</v>
      </c>
    </row>
    <row r="51" spans="1:3" x14ac:dyDescent="0.25">
      <c r="A51" t="s">
        <v>1320</v>
      </c>
      <c r="B51">
        <v>20076</v>
      </c>
      <c r="C51" t="s">
        <v>1393</v>
      </c>
    </row>
    <row r="52" spans="1:3" x14ac:dyDescent="0.25">
      <c r="A52" t="s">
        <v>1310</v>
      </c>
      <c r="B52">
        <v>20361</v>
      </c>
      <c r="C52" t="s">
        <v>1394</v>
      </c>
    </row>
    <row r="53" spans="1:3" x14ac:dyDescent="0.25">
      <c r="A53" t="s">
        <v>1320</v>
      </c>
      <c r="B53">
        <v>20371</v>
      </c>
      <c r="C53" t="s">
        <v>1395</v>
      </c>
    </row>
    <row r="54" spans="1:3" x14ac:dyDescent="0.25">
      <c r="A54" t="s">
        <v>1320</v>
      </c>
      <c r="B54">
        <v>20373</v>
      </c>
      <c r="C54" t="s">
        <v>1396</v>
      </c>
    </row>
    <row r="55" spans="1:3" x14ac:dyDescent="0.25">
      <c r="A55" t="s">
        <v>1320</v>
      </c>
      <c r="B55">
        <v>20380</v>
      </c>
      <c r="C55" t="s">
        <v>1397</v>
      </c>
    </row>
    <row r="56" spans="1:3" x14ac:dyDescent="0.25">
      <c r="A56" t="s">
        <v>1398</v>
      </c>
      <c r="B56">
        <v>20382</v>
      </c>
      <c r="C56" t="s">
        <v>1399</v>
      </c>
    </row>
    <row r="57" spans="1:3" x14ac:dyDescent="0.25">
      <c r="A57" t="s">
        <v>1320</v>
      </c>
      <c r="B57">
        <v>20383</v>
      </c>
      <c r="C57" t="s">
        <v>1400</v>
      </c>
    </row>
    <row r="58" spans="1:3" x14ac:dyDescent="0.25">
      <c r="A58" t="s">
        <v>1370</v>
      </c>
      <c r="B58">
        <v>20387</v>
      </c>
      <c r="C58" t="s">
        <v>1401</v>
      </c>
    </row>
    <row r="59" spans="1:3" x14ac:dyDescent="0.25">
      <c r="A59" t="s">
        <v>1306</v>
      </c>
      <c r="B59">
        <v>20389</v>
      </c>
      <c r="C59" t="s">
        <v>1402</v>
      </c>
    </row>
    <row r="60" spans="1:3" x14ac:dyDescent="0.25">
      <c r="A60" t="s">
        <v>1310</v>
      </c>
      <c r="B60">
        <v>21036</v>
      </c>
      <c r="C60" t="s">
        <v>1403</v>
      </c>
    </row>
    <row r="61" spans="1:3" x14ac:dyDescent="0.25">
      <c r="A61" t="s">
        <v>1320</v>
      </c>
      <c r="B61">
        <v>21038</v>
      </c>
      <c r="C61" t="s">
        <v>1404</v>
      </c>
    </row>
    <row r="62" spans="1:3" x14ac:dyDescent="0.25">
      <c r="A62" t="s">
        <v>1320</v>
      </c>
      <c r="B62">
        <v>21041</v>
      </c>
      <c r="C62" t="s">
        <v>1405</v>
      </c>
    </row>
    <row r="63" spans="1:3" x14ac:dyDescent="0.25">
      <c r="A63" t="s">
        <v>1320</v>
      </c>
      <c r="B63">
        <v>21053</v>
      </c>
      <c r="C63" t="s">
        <v>1406</v>
      </c>
    </row>
    <row r="64" spans="1:3" x14ac:dyDescent="0.25">
      <c r="A64" t="s">
        <v>1320</v>
      </c>
      <c r="B64">
        <v>21057</v>
      </c>
      <c r="C64" t="s">
        <v>1407</v>
      </c>
    </row>
    <row r="65" spans="1:3" x14ac:dyDescent="0.25">
      <c r="A65" t="s">
        <v>1310</v>
      </c>
      <c r="B65">
        <v>21058</v>
      </c>
      <c r="C65" t="s">
        <v>1408</v>
      </c>
    </row>
    <row r="66" spans="1:3" x14ac:dyDescent="0.25">
      <c r="A66" t="s">
        <v>1290</v>
      </c>
      <c r="B66">
        <v>21060</v>
      </c>
      <c r="C66" t="s">
        <v>1409</v>
      </c>
    </row>
    <row r="67" spans="1:3" x14ac:dyDescent="0.25">
      <c r="A67" t="s">
        <v>1310</v>
      </c>
      <c r="B67">
        <v>21063</v>
      </c>
      <c r="C67" t="s">
        <v>1410</v>
      </c>
    </row>
    <row r="68" spans="1:3" x14ac:dyDescent="0.25">
      <c r="A68" t="s">
        <v>1310</v>
      </c>
      <c r="B68">
        <v>21070</v>
      </c>
      <c r="C68" t="s">
        <v>1411</v>
      </c>
    </row>
    <row r="69" spans="1:3" x14ac:dyDescent="0.25">
      <c r="A69" t="s">
        <v>1310</v>
      </c>
      <c r="B69">
        <v>21074</v>
      </c>
      <c r="C69" t="s">
        <v>1412</v>
      </c>
    </row>
    <row r="70" spans="1:3" x14ac:dyDescent="0.25">
      <c r="A70" t="s">
        <v>1306</v>
      </c>
      <c r="B70">
        <v>21300</v>
      </c>
      <c r="C70" t="s">
        <v>1413</v>
      </c>
    </row>
    <row r="71" spans="1:3" x14ac:dyDescent="0.25">
      <c r="A71" t="s">
        <v>1310</v>
      </c>
      <c r="B71">
        <v>21311</v>
      </c>
      <c r="C71" t="s">
        <v>1414</v>
      </c>
    </row>
    <row r="72" spans="1:3" x14ac:dyDescent="0.25">
      <c r="A72" t="s">
        <v>1320</v>
      </c>
      <c r="B72">
        <v>21312</v>
      </c>
      <c r="C72" t="s">
        <v>1415</v>
      </c>
    </row>
    <row r="73" spans="1:3" x14ac:dyDescent="0.25">
      <c r="A73" t="s">
        <v>1290</v>
      </c>
      <c r="B73">
        <v>22059</v>
      </c>
      <c r="C73" t="s">
        <v>1416</v>
      </c>
    </row>
    <row r="74" spans="1:3" x14ac:dyDescent="0.25">
      <c r="A74" t="s">
        <v>1290</v>
      </c>
      <c r="B74">
        <v>22061</v>
      </c>
      <c r="C74" t="s">
        <v>1417</v>
      </c>
    </row>
    <row r="75" spans="1:3" x14ac:dyDescent="0.25">
      <c r="A75" t="s">
        <v>1290</v>
      </c>
      <c r="B75">
        <v>22067</v>
      </c>
      <c r="C75" t="s">
        <v>1418</v>
      </c>
    </row>
    <row r="76" spans="1:3" x14ac:dyDescent="0.25">
      <c r="A76" t="s">
        <v>1310</v>
      </c>
      <c r="B76">
        <v>22324</v>
      </c>
      <c r="C76" t="s">
        <v>1419</v>
      </c>
    </row>
    <row r="77" spans="1:3" x14ac:dyDescent="0.25">
      <c r="A77" t="s">
        <v>1320</v>
      </c>
      <c r="B77">
        <v>22329</v>
      </c>
      <c r="C77" t="s">
        <v>1420</v>
      </c>
    </row>
    <row r="78" spans="1:3" x14ac:dyDescent="0.25">
      <c r="A78" t="s">
        <v>1310</v>
      </c>
      <c r="B78">
        <v>23012</v>
      </c>
      <c r="C78" t="s">
        <v>1421</v>
      </c>
    </row>
    <row r="79" spans="1:3" x14ac:dyDescent="0.25">
      <c r="A79" t="s">
        <v>1310</v>
      </c>
      <c r="B79">
        <v>23013</v>
      </c>
      <c r="C79" t="s">
        <v>1422</v>
      </c>
    </row>
    <row r="80" spans="1:3" x14ac:dyDescent="0.25">
      <c r="A80" t="s">
        <v>1310</v>
      </c>
      <c r="B80">
        <v>23016</v>
      </c>
      <c r="C80" t="s">
        <v>1423</v>
      </c>
    </row>
    <row r="81" spans="1:3" x14ac:dyDescent="0.25">
      <c r="A81" t="s">
        <v>1310</v>
      </c>
      <c r="B81">
        <v>23020</v>
      </c>
      <c r="C81" t="s">
        <v>1424</v>
      </c>
    </row>
    <row r="82" spans="1:3" x14ac:dyDescent="0.25">
      <c r="A82" t="s">
        <v>1310</v>
      </c>
      <c r="B82">
        <v>23025</v>
      </c>
      <c r="C82" t="s">
        <v>1425</v>
      </c>
    </row>
    <row r="83" spans="1:3" x14ac:dyDescent="0.25">
      <c r="A83" t="s">
        <v>1310</v>
      </c>
      <c r="B83">
        <v>23030</v>
      </c>
      <c r="C83" t="s">
        <v>1426</v>
      </c>
    </row>
    <row r="84" spans="1:3" x14ac:dyDescent="0.25">
      <c r="A84" t="s">
        <v>1310</v>
      </c>
      <c r="B84">
        <v>23032</v>
      </c>
      <c r="C84" t="s">
        <v>1427</v>
      </c>
    </row>
    <row r="85" spans="1:3" x14ac:dyDescent="0.25">
      <c r="A85" t="s">
        <v>1310</v>
      </c>
      <c r="B85">
        <v>23033</v>
      </c>
      <c r="C85" t="s">
        <v>1428</v>
      </c>
    </row>
    <row r="86" spans="1:3" x14ac:dyDescent="0.25">
      <c r="A86" t="s">
        <v>940</v>
      </c>
      <c r="B86">
        <v>23338</v>
      </c>
      <c r="C86" t="s">
        <v>1429</v>
      </c>
    </row>
    <row r="87" spans="1:3" x14ac:dyDescent="0.25">
      <c r="A87" t="s">
        <v>1370</v>
      </c>
      <c r="B87">
        <v>23345</v>
      </c>
      <c r="C87" t="s">
        <v>1430</v>
      </c>
    </row>
    <row r="88" spans="1:3" x14ac:dyDescent="0.25">
      <c r="A88" t="s">
        <v>1320</v>
      </c>
      <c r="B88">
        <v>23347</v>
      </c>
      <c r="C88" t="s">
        <v>1431</v>
      </c>
    </row>
    <row r="89" spans="1:3" x14ac:dyDescent="0.25">
      <c r="A89" t="s">
        <v>1320</v>
      </c>
      <c r="B89">
        <v>23348</v>
      </c>
      <c r="C89" t="s">
        <v>1432</v>
      </c>
    </row>
  </sheetData>
  <sortState xmlns:xlrd2="http://schemas.microsoft.com/office/spreadsheetml/2017/richdata2" ref="A2:C30">
    <sortCondition ref="B2:B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6"/>
  <sheetViews>
    <sheetView workbookViewId="0">
      <selection activeCell="C30" sqref="C30"/>
    </sheetView>
  </sheetViews>
  <sheetFormatPr defaultRowHeight="15" x14ac:dyDescent="0.25"/>
  <cols>
    <col min="1" max="1" width="28.7109375" bestFit="1" customWidth="1"/>
    <col min="2" max="2" width="15" bestFit="1" customWidth="1"/>
    <col min="3" max="3" width="66.42578125" bestFit="1" customWidth="1"/>
    <col min="6" max="7" width="18.28515625" bestFit="1" customWidth="1"/>
  </cols>
  <sheetData>
    <row r="1" spans="1:10" x14ac:dyDescent="0.25">
      <c r="A1" s="1" t="s">
        <v>927</v>
      </c>
      <c r="B1" s="1" t="s">
        <v>928</v>
      </c>
      <c r="C1" s="1" t="s">
        <v>929</v>
      </c>
      <c r="D1" s="1" t="s">
        <v>930</v>
      </c>
      <c r="E1" s="1" t="s">
        <v>931</v>
      </c>
      <c r="F1" s="1" t="s">
        <v>932</v>
      </c>
      <c r="G1" s="1" t="s">
        <v>933</v>
      </c>
      <c r="H1" s="1" t="s">
        <v>934</v>
      </c>
      <c r="I1" s="1" t="s">
        <v>935</v>
      </c>
      <c r="J1" s="1" t="s">
        <v>936</v>
      </c>
    </row>
    <row r="2" spans="1:10" x14ac:dyDescent="0.25">
      <c r="A2" t="s">
        <v>1310</v>
      </c>
      <c r="B2">
        <v>17024</v>
      </c>
      <c r="C2" t="s">
        <v>1433</v>
      </c>
      <c r="D2" t="s">
        <v>1434</v>
      </c>
      <c r="E2" t="s">
        <v>1435</v>
      </c>
      <c r="F2" s="2">
        <v>42828</v>
      </c>
      <c r="G2" s="2">
        <v>42827</v>
      </c>
      <c r="H2">
        <v>2017</v>
      </c>
      <c r="I2">
        <v>2</v>
      </c>
      <c r="J2" t="s">
        <v>1436</v>
      </c>
    </row>
    <row r="3" spans="1:10" x14ac:dyDescent="0.25">
      <c r="A3" t="s">
        <v>1310</v>
      </c>
      <c r="B3">
        <v>17025</v>
      </c>
      <c r="C3" t="s">
        <v>1437</v>
      </c>
      <c r="D3" t="s">
        <v>1438</v>
      </c>
      <c r="E3" t="s">
        <v>1439</v>
      </c>
      <c r="F3" s="2">
        <v>42831</v>
      </c>
      <c r="G3" s="2">
        <v>42829</v>
      </c>
      <c r="H3">
        <v>2017</v>
      </c>
      <c r="I3">
        <v>2</v>
      </c>
      <c r="J3" t="s">
        <v>1440</v>
      </c>
    </row>
    <row r="4" spans="1:10" x14ac:dyDescent="0.25">
      <c r="A4" t="s">
        <v>1310</v>
      </c>
      <c r="B4">
        <v>17026</v>
      </c>
      <c r="C4" t="s">
        <v>1441</v>
      </c>
      <c r="D4" t="s">
        <v>1442</v>
      </c>
      <c r="E4" t="s">
        <v>1443</v>
      </c>
      <c r="F4" s="2">
        <v>42833</v>
      </c>
      <c r="G4" s="2">
        <v>42832</v>
      </c>
      <c r="H4">
        <v>2017</v>
      </c>
      <c r="I4">
        <v>2</v>
      </c>
      <c r="J4" t="s">
        <v>1444</v>
      </c>
    </row>
    <row r="5" spans="1:10" x14ac:dyDescent="0.25">
      <c r="A5" t="s">
        <v>1310</v>
      </c>
      <c r="B5">
        <v>17027</v>
      </c>
      <c r="C5" t="s">
        <v>1445</v>
      </c>
      <c r="D5" t="s">
        <v>1446</v>
      </c>
      <c r="E5" t="s">
        <v>1447</v>
      </c>
      <c r="F5" s="2">
        <v>42836</v>
      </c>
      <c r="G5" s="2">
        <v>42835</v>
      </c>
      <c r="H5">
        <v>2017</v>
      </c>
      <c r="I5">
        <v>2</v>
      </c>
      <c r="J5" t="s">
        <v>1448</v>
      </c>
    </row>
    <row r="6" spans="1:10" x14ac:dyDescent="0.25">
      <c r="A6" t="s">
        <v>1310</v>
      </c>
      <c r="B6">
        <v>17028</v>
      </c>
      <c r="C6" t="s">
        <v>1449</v>
      </c>
      <c r="D6" t="s">
        <v>1450</v>
      </c>
      <c r="E6" t="s">
        <v>1451</v>
      </c>
      <c r="F6" s="2">
        <v>42850</v>
      </c>
      <c r="G6" s="2">
        <v>42846</v>
      </c>
      <c r="H6">
        <v>2017</v>
      </c>
      <c r="I6">
        <v>2</v>
      </c>
      <c r="J6" t="s">
        <v>1452</v>
      </c>
    </row>
    <row r="7" spans="1:10" x14ac:dyDescent="0.25">
      <c r="A7" t="s">
        <v>1310</v>
      </c>
      <c r="B7">
        <v>17029</v>
      </c>
      <c r="C7" t="s">
        <v>1453</v>
      </c>
      <c r="D7" t="s">
        <v>1454</v>
      </c>
      <c r="E7" t="s">
        <v>1454</v>
      </c>
      <c r="F7" s="2">
        <v>42851</v>
      </c>
      <c r="G7" s="2">
        <v>42851</v>
      </c>
      <c r="H7">
        <v>2017</v>
      </c>
      <c r="I7">
        <v>2</v>
      </c>
      <c r="J7" t="s">
        <v>1455</v>
      </c>
    </row>
    <row r="8" spans="1:10" x14ac:dyDescent="0.25">
      <c r="A8" t="s">
        <v>1310</v>
      </c>
      <c r="B8">
        <v>17030</v>
      </c>
      <c r="C8" t="s">
        <v>1456</v>
      </c>
      <c r="D8" t="s">
        <v>1457</v>
      </c>
      <c r="E8" t="s">
        <v>1458</v>
      </c>
      <c r="F8" s="2">
        <v>42856</v>
      </c>
      <c r="G8" s="2">
        <v>42853</v>
      </c>
      <c r="H8">
        <v>2017</v>
      </c>
      <c r="I8">
        <v>2</v>
      </c>
      <c r="J8" t="s">
        <v>1459</v>
      </c>
    </row>
    <row r="9" spans="1:10" x14ac:dyDescent="0.25">
      <c r="A9" t="s">
        <v>1310</v>
      </c>
      <c r="B9">
        <v>17031</v>
      </c>
      <c r="C9" t="s">
        <v>1460</v>
      </c>
      <c r="D9" t="s">
        <v>1461</v>
      </c>
      <c r="E9" t="s">
        <v>1462</v>
      </c>
      <c r="F9" s="2">
        <v>42860</v>
      </c>
      <c r="G9" s="2">
        <v>42858</v>
      </c>
      <c r="H9">
        <v>2017</v>
      </c>
      <c r="I9">
        <v>2</v>
      </c>
      <c r="J9" t="s">
        <v>1463</v>
      </c>
    </row>
    <row r="10" spans="1:10" x14ac:dyDescent="0.25">
      <c r="A10" t="s">
        <v>1310</v>
      </c>
      <c r="B10">
        <v>17032</v>
      </c>
      <c r="C10" t="s">
        <v>1464</v>
      </c>
      <c r="D10" t="s">
        <v>1465</v>
      </c>
      <c r="E10" t="s">
        <v>1466</v>
      </c>
      <c r="F10" s="2">
        <v>42864</v>
      </c>
      <c r="G10" s="2">
        <v>42863</v>
      </c>
      <c r="H10">
        <v>2017</v>
      </c>
      <c r="I10">
        <v>2</v>
      </c>
      <c r="J10" t="s">
        <v>1467</v>
      </c>
    </row>
    <row r="11" spans="1:10" x14ac:dyDescent="0.25">
      <c r="A11" t="s">
        <v>1310</v>
      </c>
      <c r="B11">
        <v>17033</v>
      </c>
      <c r="C11" t="s">
        <v>1468</v>
      </c>
      <c r="D11" t="s">
        <v>1469</v>
      </c>
      <c r="E11" t="s">
        <v>1470</v>
      </c>
      <c r="F11" s="2">
        <v>42873</v>
      </c>
      <c r="G11" s="2">
        <v>42870</v>
      </c>
      <c r="H11">
        <v>2017</v>
      </c>
      <c r="I11">
        <v>2</v>
      </c>
      <c r="J11" t="s">
        <v>1471</v>
      </c>
    </row>
    <row r="12" spans="1:10" x14ac:dyDescent="0.25">
      <c r="A12" t="s">
        <v>1310</v>
      </c>
      <c r="B12">
        <v>17034</v>
      </c>
      <c r="C12" t="s">
        <v>1472</v>
      </c>
      <c r="D12" t="s">
        <v>1473</v>
      </c>
      <c r="E12" t="s">
        <v>1474</v>
      </c>
      <c r="F12" s="2">
        <v>42883</v>
      </c>
      <c r="G12" s="2">
        <v>42882</v>
      </c>
      <c r="H12">
        <v>2017</v>
      </c>
      <c r="I12">
        <v>2</v>
      </c>
      <c r="J12" t="s">
        <v>1475</v>
      </c>
    </row>
    <row r="13" spans="1:10" x14ac:dyDescent="0.25">
      <c r="A13" t="s">
        <v>1310</v>
      </c>
      <c r="B13">
        <v>17035</v>
      </c>
      <c r="C13" t="s">
        <v>1476</v>
      </c>
      <c r="D13" t="s">
        <v>1477</v>
      </c>
      <c r="E13" t="s">
        <v>1478</v>
      </c>
      <c r="F13" s="2">
        <v>42890</v>
      </c>
      <c r="G13" s="2">
        <v>42888</v>
      </c>
      <c r="H13">
        <v>2017</v>
      </c>
      <c r="I13">
        <v>2</v>
      </c>
      <c r="J13" t="s">
        <v>1479</v>
      </c>
    </row>
    <row r="14" spans="1:10" x14ac:dyDescent="0.25">
      <c r="A14" t="s">
        <v>1310</v>
      </c>
      <c r="B14">
        <v>17036</v>
      </c>
      <c r="C14" t="s">
        <v>1480</v>
      </c>
      <c r="D14" t="s">
        <v>1481</v>
      </c>
      <c r="E14" t="s">
        <v>1481</v>
      </c>
      <c r="F14" s="2">
        <v>42897</v>
      </c>
      <c r="G14" s="2">
        <v>42897</v>
      </c>
      <c r="H14">
        <v>2017</v>
      </c>
      <c r="I14">
        <v>2</v>
      </c>
      <c r="J14" t="s">
        <v>1482</v>
      </c>
    </row>
    <row r="15" spans="1:10" x14ac:dyDescent="0.25">
      <c r="A15" t="s">
        <v>1310</v>
      </c>
      <c r="B15">
        <v>17037</v>
      </c>
      <c r="C15" t="s">
        <v>1483</v>
      </c>
      <c r="D15" t="s">
        <v>1484</v>
      </c>
      <c r="E15" t="s">
        <v>1485</v>
      </c>
      <c r="F15" s="2">
        <v>42900</v>
      </c>
      <c r="G15" s="2">
        <v>42898</v>
      </c>
      <c r="H15">
        <v>2017</v>
      </c>
      <c r="I15">
        <v>2</v>
      </c>
      <c r="J15" t="s">
        <v>1486</v>
      </c>
    </row>
    <row r="16" spans="1:10" x14ac:dyDescent="0.25">
      <c r="A16" t="s">
        <v>1310</v>
      </c>
      <c r="B16">
        <v>17038</v>
      </c>
      <c r="C16" t="s">
        <v>1487</v>
      </c>
      <c r="D16" t="s">
        <v>1488</v>
      </c>
      <c r="E16" t="s">
        <v>1489</v>
      </c>
      <c r="F16" s="2">
        <v>42905</v>
      </c>
      <c r="G16" s="2">
        <v>42902</v>
      </c>
      <c r="H16">
        <v>2017</v>
      </c>
      <c r="I16">
        <v>2</v>
      </c>
      <c r="J16" t="s">
        <v>1490</v>
      </c>
    </row>
    <row r="17" spans="1:10" x14ac:dyDescent="0.25">
      <c r="A17" t="s">
        <v>1310</v>
      </c>
      <c r="B17">
        <v>17039</v>
      </c>
      <c r="C17" t="s">
        <v>1491</v>
      </c>
      <c r="D17" t="s">
        <v>1492</v>
      </c>
      <c r="E17" t="s">
        <v>1493</v>
      </c>
      <c r="F17" s="2">
        <v>42915</v>
      </c>
      <c r="G17" s="2">
        <v>42913</v>
      </c>
      <c r="H17">
        <v>2017</v>
      </c>
      <c r="I17">
        <v>2</v>
      </c>
      <c r="J17" t="s">
        <v>1494</v>
      </c>
    </row>
    <row r="18" spans="1:10" x14ac:dyDescent="0.25">
      <c r="A18" t="s">
        <v>1310</v>
      </c>
      <c r="B18">
        <v>17286</v>
      </c>
      <c r="C18" t="s">
        <v>1495</v>
      </c>
      <c r="D18" t="s">
        <v>1496</v>
      </c>
      <c r="E18" t="s">
        <v>1496</v>
      </c>
      <c r="F18" s="2">
        <v>42894</v>
      </c>
      <c r="G18" s="2">
        <v>42894</v>
      </c>
      <c r="H18">
        <v>2017</v>
      </c>
      <c r="I18">
        <v>2</v>
      </c>
      <c r="J18" t="s">
        <v>1497</v>
      </c>
    </row>
    <row r="19" spans="1:10" x14ac:dyDescent="0.25">
      <c r="A19" t="s">
        <v>1310</v>
      </c>
      <c r="B19">
        <v>18018</v>
      </c>
      <c r="C19" t="s">
        <v>1498</v>
      </c>
      <c r="D19" t="s">
        <v>1499</v>
      </c>
      <c r="E19" t="s">
        <v>1500</v>
      </c>
      <c r="F19" s="2">
        <v>43195</v>
      </c>
      <c r="G19" s="2">
        <v>43193</v>
      </c>
      <c r="H19">
        <v>2018</v>
      </c>
      <c r="I19">
        <v>2</v>
      </c>
      <c r="J19" t="s">
        <v>1501</v>
      </c>
    </row>
    <row r="20" spans="1:10" x14ac:dyDescent="0.25">
      <c r="A20" t="s">
        <v>1310</v>
      </c>
      <c r="B20">
        <v>18019</v>
      </c>
      <c r="C20" t="s">
        <v>1502</v>
      </c>
      <c r="D20" t="s">
        <v>1503</v>
      </c>
      <c r="E20" t="s">
        <v>1504</v>
      </c>
      <c r="F20" s="2">
        <v>43197</v>
      </c>
      <c r="G20" s="2">
        <v>43196</v>
      </c>
      <c r="H20">
        <v>2018</v>
      </c>
      <c r="I20">
        <v>2</v>
      </c>
      <c r="J20" t="s">
        <v>1505</v>
      </c>
    </row>
    <row r="21" spans="1:10" x14ac:dyDescent="0.25">
      <c r="A21" t="s">
        <v>1310</v>
      </c>
      <c r="B21">
        <v>18020</v>
      </c>
      <c r="C21" t="s">
        <v>1506</v>
      </c>
      <c r="D21" t="s">
        <v>1507</v>
      </c>
      <c r="E21" t="s">
        <v>1504</v>
      </c>
      <c r="F21" s="2">
        <v>43197</v>
      </c>
      <c r="G21" s="2">
        <v>43197</v>
      </c>
      <c r="H21">
        <v>2018</v>
      </c>
      <c r="I21">
        <v>2</v>
      </c>
      <c r="J21" t="s">
        <v>1508</v>
      </c>
    </row>
    <row r="22" spans="1:10" x14ac:dyDescent="0.25">
      <c r="A22" t="s">
        <v>1310</v>
      </c>
      <c r="B22">
        <v>18021</v>
      </c>
      <c r="C22" t="s">
        <v>1509</v>
      </c>
      <c r="D22" t="s">
        <v>1510</v>
      </c>
      <c r="E22" t="s">
        <v>1511</v>
      </c>
      <c r="F22" s="2">
        <v>43207</v>
      </c>
      <c r="G22" s="2">
        <v>43203</v>
      </c>
      <c r="H22">
        <v>2018</v>
      </c>
      <c r="I22">
        <v>2</v>
      </c>
      <c r="J22" t="s">
        <v>1512</v>
      </c>
    </row>
    <row r="23" spans="1:10" x14ac:dyDescent="0.25">
      <c r="A23" t="s">
        <v>1310</v>
      </c>
      <c r="B23">
        <v>18022</v>
      </c>
      <c r="C23" t="s">
        <v>1513</v>
      </c>
      <c r="D23" t="s">
        <v>1514</v>
      </c>
      <c r="E23" t="s">
        <v>1515</v>
      </c>
      <c r="F23" s="2">
        <v>43208</v>
      </c>
      <c r="G23" s="2">
        <v>43207</v>
      </c>
      <c r="H23">
        <v>2018</v>
      </c>
      <c r="I23">
        <v>2</v>
      </c>
      <c r="J23" t="s">
        <v>1516</v>
      </c>
    </row>
    <row r="24" spans="1:10" x14ac:dyDescent="0.25">
      <c r="A24" t="s">
        <v>1310</v>
      </c>
      <c r="B24">
        <v>18023</v>
      </c>
      <c r="C24" t="s">
        <v>1517</v>
      </c>
      <c r="D24" t="s">
        <v>1518</v>
      </c>
      <c r="E24" t="s">
        <v>1519</v>
      </c>
      <c r="F24" s="2">
        <v>43225</v>
      </c>
      <c r="G24" s="2">
        <v>43218</v>
      </c>
      <c r="H24">
        <v>2018</v>
      </c>
      <c r="I24">
        <v>2</v>
      </c>
      <c r="J24" t="s">
        <v>1520</v>
      </c>
    </row>
    <row r="25" spans="1:10" x14ac:dyDescent="0.25">
      <c r="A25" t="s">
        <v>1310</v>
      </c>
      <c r="B25">
        <v>18024</v>
      </c>
      <c r="C25" t="s">
        <v>1521</v>
      </c>
      <c r="D25" t="s">
        <v>1522</v>
      </c>
      <c r="E25" t="s">
        <v>1523</v>
      </c>
      <c r="F25" s="2">
        <v>43236</v>
      </c>
      <c r="G25" s="2">
        <v>43232</v>
      </c>
      <c r="H25">
        <v>2018</v>
      </c>
      <c r="I25">
        <v>2</v>
      </c>
      <c r="J25" t="s">
        <v>1524</v>
      </c>
    </row>
    <row r="26" spans="1:10" x14ac:dyDescent="0.25">
      <c r="A26" t="s">
        <v>1310</v>
      </c>
      <c r="B26">
        <v>18025</v>
      </c>
      <c r="C26" t="s">
        <v>1525</v>
      </c>
      <c r="D26" t="s">
        <v>1526</v>
      </c>
      <c r="E26" t="s">
        <v>1527</v>
      </c>
      <c r="F26" s="2">
        <v>43240</v>
      </c>
      <c r="G26" s="2">
        <v>43239</v>
      </c>
      <c r="H26">
        <v>2018</v>
      </c>
      <c r="I26">
        <v>2</v>
      </c>
      <c r="J26" t="s">
        <v>1528</v>
      </c>
    </row>
    <row r="27" spans="1:10" x14ac:dyDescent="0.25">
      <c r="A27" t="s">
        <v>1310</v>
      </c>
      <c r="B27">
        <v>18026</v>
      </c>
      <c r="C27" t="s">
        <v>1529</v>
      </c>
      <c r="D27" t="s">
        <v>1530</v>
      </c>
      <c r="E27" t="s">
        <v>1531</v>
      </c>
      <c r="F27" s="2">
        <v>43248</v>
      </c>
      <c r="G27" s="2">
        <v>43247</v>
      </c>
      <c r="H27">
        <v>2018</v>
      </c>
      <c r="I27">
        <v>2</v>
      </c>
      <c r="J27" t="s">
        <v>1532</v>
      </c>
    </row>
    <row r="28" spans="1:10" x14ac:dyDescent="0.25">
      <c r="A28" t="s">
        <v>1310</v>
      </c>
      <c r="B28">
        <v>18027</v>
      </c>
      <c r="C28" t="s">
        <v>1533</v>
      </c>
      <c r="D28" t="s">
        <v>1534</v>
      </c>
      <c r="E28" t="s">
        <v>1535</v>
      </c>
      <c r="F28" s="2">
        <v>43252</v>
      </c>
      <c r="G28" s="2">
        <v>43249</v>
      </c>
      <c r="H28">
        <v>2018</v>
      </c>
      <c r="I28">
        <v>2</v>
      </c>
      <c r="J28" t="s">
        <v>1536</v>
      </c>
    </row>
    <row r="29" spans="1:10" x14ac:dyDescent="0.25">
      <c r="A29" t="s">
        <v>1310</v>
      </c>
      <c r="B29">
        <v>18030</v>
      </c>
      <c r="C29" t="s">
        <v>1537</v>
      </c>
      <c r="D29" t="s">
        <v>1538</v>
      </c>
      <c r="E29" t="s">
        <v>1539</v>
      </c>
      <c r="F29" s="2">
        <v>43257</v>
      </c>
      <c r="G29" s="2">
        <v>43254</v>
      </c>
      <c r="H29">
        <v>2018</v>
      </c>
      <c r="I29">
        <v>2</v>
      </c>
      <c r="J29" t="s">
        <v>1540</v>
      </c>
    </row>
    <row r="30" spans="1:10" x14ac:dyDescent="0.25">
      <c r="A30" t="s">
        <v>1310</v>
      </c>
      <c r="B30">
        <v>18031</v>
      </c>
      <c r="C30" t="s">
        <v>1541</v>
      </c>
      <c r="D30" t="s">
        <v>1542</v>
      </c>
      <c r="E30" t="s">
        <v>1543</v>
      </c>
      <c r="F30" s="2">
        <v>43264</v>
      </c>
      <c r="G30" s="2">
        <v>43263</v>
      </c>
      <c r="H30">
        <v>2018</v>
      </c>
      <c r="I30">
        <v>2</v>
      </c>
      <c r="J30" t="s">
        <v>1544</v>
      </c>
    </row>
    <row r="31" spans="1:10" x14ac:dyDescent="0.25">
      <c r="A31" t="s">
        <v>1310</v>
      </c>
      <c r="B31">
        <v>18032</v>
      </c>
      <c r="C31" t="s">
        <v>1545</v>
      </c>
      <c r="D31" t="s">
        <v>1546</v>
      </c>
      <c r="E31" t="s">
        <v>1547</v>
      </c>
      <c r="F31" s="2">
        <v>43265</v>
      </c>
      <c r="G31" s="2">
        <v>43264</v>
      </c>
      <c r="H31">
        <v>2018</v>
      </c>
      <c r="I31">
        <v>2</v>
      </c>
      <c r="J31" t="s">
        <v>1548</v>
      </c>
    </row>
    <row r="32" spans="1:10" x14ac:dyDescent="0.25">
      <c r="A32" t="s">
        <v>1310</v>
      </c>
      <c r="B32">
        <v>18033</v>
      </c>
      <c r="C32" t="s">
        <v>1549</v>
      </c>
      <c r="D32" t="s">
        <v>1550</v>
      </c>
      <c r="E32" t="s">
        <v>1551</v>
      </c>
      <c r="F32" s="2">
        <v>43271</v>
      </c>
      <c r="G32" s="2">
        <v>43269</v>
      </c>
      <c r="H32">
        <v>2018</v>
      </c>
      <c r="I32">
        <v>2</v>
      </c>
      <c r="J32" t="s">
        <v>1552</v>
      </c>
    </row>
    <row r="33" spans="1:10" x14ac:dyDescent="0.25">
      <c r="A33" t="s">
        <v>1310</v>
      </c>
      <c r="B33">
        <v>18034</v>
      </c>
      <c r="C33" t="s">
        <v>1553</v>
      </c>
      <c r="D33" t="s">
        <v>1554</v>
      </c>
      <c r="E33" t="s">
        <v>1555</v>
      </c>
      <c r="F33" s="2">
        <v>43272</v>
      </c>
      <c r="G33" s="2">
        <v>43270</v>
      </c>
      <c r="H33">
        <v>2018</v>
      </c>
      <c r="I33">
        <v>2</v>
      </c>
      <c r="J33" t="s">
        <v>1556</v>
      </c>
    </row>
    <row r="34" spans="1:10" x14ac:dyDescent="0.25">
      <c r="A34" t="s">
        <v>1310</v>
      </c>
      <c r="B34">
        <v>18035</v>
      </c>
      <c r="C34" t="s">
        <v>1557</v>
      </c>
      <c r="D34" t="s">
        <v>1558</v>
      </c>
      <c r="E34" t="s">
        <v>1559</v>
      </c>
      <c r="F34" s="2">
        <v>43277</v>
      </c>
      <c r="G34" s="2">
        <v>43275</v>
      </c>
      <c r="H34">
        <v>2018</v>
      </c>
      <c r="I34">
        <v>2</v>
      </c>
      <c r="J34" t="s">
        <v>1560</v>
      </c>
    </row>
    <row r="35" spans="1:10" x14ac:dyDescent="0.25">
      <c r="A35" t="s">
        <v>1310</v>
      </c>
      <c r="B35">
        <v>18036</v>
      </c>
      <c r="C35" t="s">
        <v>1561</v>
      </c>
      <c r="D35" t="s">
        <v>1562</v>
      </c>
      <c r="E35" t="s">
        <v>1563</v>
      </c>
      <c r="F35" s="2">
        <v>43279</v>
      </c>
      <c r="G35" s="2">
        <v>43279</v>
      </c>
      <c r="H35">
        <v>2018</v>
      </c>
      <c r="I35">
        <v>2</v>
      </c>
      <c r="J35" t="s">
        <v>1564</v>
      </c>
    </row>
    <row r="36" spans="1:10" x14ac:dyDescent="0.25">
      <c r="A36" t="s">
        <v>1310</v>
      </c>
      <c r="B36">
        <v>18037</v>
      </c>
      <c r="C36" t="s">
        <v>1565</v>
      </c>
      <c r="D36" t="s">
        <v>1566</v>
      </c>
      <c r="E36" t="s">
        <v>1567</v>
      </c>
      <c r="F36" s="2">
        <v>43282</v>
      </c>
      <c r="G36" s="2">
        <v>43280</v>
      </c>
      <c r="H36">
        <v>2018</v>
      </c>
      <c r="I36">
        <v>3</v>
      </c>
      <c r="J36" t="s">
        <v>1568</v>
      </c>
    </row>
    <row r="37" spans="1:10" x14ac:dyDescent="0.25">
      <c r="A37" t="s">
        <v>1310</v>
      </c>
      <c r="B37">
        <v>18297</v>
      </c>
      <c r="C37" t="s">
        <v>1569</v>
      </c>
      <c r="D37" t="s">
        <v>1534</v>
      </c>
      <c r="E37" t="s">
        <v>1570</v>
      </c>
      <c r="F37" s="2">
        <v>43251</v>
      </c>
      <c r="G37" s="2">
        <v>43249</v>
      </c>
      <c r="H37">
        <v>2018</v>
      </c>
      <c r="I37">
        <v>2</v>
      </c>
      <c r="J37" t="s">
        <v>1571</v>
      </c>
    </row>
    <row r="38" spans="1:10" x14ac:dyDescent="0.25">
      <c r="A38" t="s">
        <v>1310</v>
      </c>
      <c r="B38">
        <v>19022</v>
      </c>
      <c r="C38" t="s">
        <v>1537</v>
      </c>
      <c r="D38" t="s">
        <v>1572</v>
      </c>
      <c r="E38" t="s">
        <v>1573</v>
      </c>
      <c r="F38" s="2">
        <v>43562</v>
      </c>
      <c r="G38" s="2">
        <v>43559</v>
      </c>
      <c r="H38">
        <v>2019</v>
      </c>
      <c r="I38">
        <v>2</v>
      </c>
      <c r="J38" t="s">
        <v>1574</v>
      </c>
    </row>
    <row r="39" spans="1:10" x14ac:dyDescent="0.25">
      <c r="A39" t="s">
        <v>1310</v>
      </c>
      <c r="B39">
        <v>19023</v>
      </c>
      <c r="C39" t="s">
        <v>1575</v>
      </c>
      <c r="D39" t="s">
        <v>1576</v>
      </c>
      <c r="E39" t="s">
        <v>1577</v>
      </c>
      <c r="F39" s="2">
        <v>43570</v>
      </c>
      <c r="G39" s="2">
        <v>43567</v>
      </c>
      <c r="H39">
        <v>2019</v>
      </c>
      <c r="I39">
        <v>2</v>
      </c>
      <c r="J39" t="s">
        <v>1578</v>
      </c>
    </row>
    <row r="40" spans="1:10" x14ac:dyDescent="0.25">
      <c r="A40" t="s">
        <v>1310</v>
      </c>
      <c r="B40">
        <v>19024</v>
      </c>
      <c r="C40" t="s">
        <v>1579</v>
      </c>
      <c r="D40" t="s">
        <v>1580</v>
      </c>
      <c r="E40" t="s">
        <v>1581</v>
      </c>
      <c r="F40" s="2">
        <v>43575</v>
      </c>
      <c r="G40" s="2">
        <v>43572</v>
      </c>
      <c r="H40">
        <v>2019</v>
      </c>
      <c r="I40">
        <v>2</v>
      </c>
      <c r="J40" t="s">
        <v>1582</v>
      </c>
    </row>
    <row r="41" spans="1:10" x14ac:dyDescent="0.25">
      <c r="A41" t="s">
        <v>1310</v>
      </c>
      <c r="B41">
        <v>19025</v>
      </c>
      <c r="C41" t="s">
        <v>1583</v>
      </c>
      <c r="D41" t="s">
        <v>1584</v>
      </c>
      <c r="E41" t="s">
        <v>1585</v>
      </c>
      <c r="F41" s="2">
        <v>43580</v>
      </c>
      <c r="G41" s="2">
        <v>43578</v>
      </c>
      <c r="H41">
        <v>2019</v>
      </c>
      <c r="I41">
        <v>2</v>
      </c>
      <c r="J41" t="s">
        <v>1586</v>
      </c>
    </row>
    <row r="42" spans="1:10" x14ac:dyDescent="0.25">
      <c r="A42" t="s">
        <v>1310</v>
      </c>
      <c r="B42">
        <v>19026</v>
      </c>
      <c r="C42" t="s">
        <v>1587</v>
      </c>
      <c r="D42" t="s">
        <v>1588</v>
      </c>
      <c r="E42" t="s">
        <v>1589</v>
      </c>
      <c r="F42" s="2">
        <v>43587</v>
      </c>
      <c r="G42" s="2">
        <v>43585</v>
      </c>
      <c r="H42">
        <v>2019</v>
      </c>
      <c r="I42">
        <v>2</v>
      </c>
      <c r="J42" t="s">
        <v>1590</v>
      </c>
    </row>
    <row r="43" spans="1:10" x14ac:dyDescent="0.25">
      <c r="A43" t="s">
        <v>1310</v>
      </c>
      <c r="B43">
        <v>19027</v>
      </c>
      <c r="C43" t="s">
        <v>1591</v>
      </c>
      <c r="D43" t="s">
        <v>1592</v>
      </c>
      <c r="E43" t="s">
        <v>1593</v>
      </c>
      <c r="F43" s="2">
        <v>43595</v>
      </c>
      <c r="G43" s="2">
        <v>43592</v>
      </c>
      <c r="H43">
        <v>2019</v>
      </c>
      <c r="I43">
        <v>2</v>
      </c>
      <c r="J43" t="s">
        <v>1594</v>
      </c>
    </row>
    <row r="44" spans="1:10" x14ac:dyDescent="0.25">
      <c r="A44" t="s">
        <v>1310</v>
      </c>
      <c r="B44">
        <v>19028</v>
      </c>
      <c r="C44" t="s">
        <v>1595</v>
      </c>
      <c r="D44" t="s">
        <v>1596</v>
      </c>
      <c r="E44" t="s">
        <v>1597</v>
      </c>
      <c r="F44" s="2">
        <v>43598</v>
      </c>
      <c r="G44" s="2">
        <v>43598</v>
      </c>
      <c r="H44">
        <v>2019</v>
      </c>
      <c r="I44">
        <v>2</v>
      </c>
      <c r="J44" t="s">
        <v>1598</v>
      </c>
    </row>
    <row r="45" spans="1:10" x14ac:dyDescent="0.25">
      <c r="A45" t="s">
        <v>1310</v>
      </c>
      <c r="B45">
        <v>19029</v>
      </c>
      <c r="C45" t="s">
        <v>1599</v>
      </c>
      <c r="D45" t="s">
        <v>1600</v>
      </c>
      <c r="E45" t="s">
        <v>1601</v>
      </c>
      <c r="F45" s="2">
        <v>43602</v>
      </c>
      <c r="G45" s="2">
        <v>43601</v>
      </c>
      <c r="H45">
        <v>2019</v>
      </c>
      <c r="I45">
        <v>2</v>
      </c>
      <c r="J45" t="s">
        <v>1602</v>
      </c>
    </row>
    <row r="46" spans="1:10" x14ac:dyDescent="0.25">
      <c r="A46" t="s">
        <v>1310</v>
      </c>
      <c r="B46">
        <v>19030</v>
      </c>
      <c r="C46" t="s">
        <v>1603</v>
      </c>
      <c r="D46" t="s">
        <v>1604</v>
      </c>
      <c r="E46" t="s">
        <v>1605</v>
      </c>
      <c r="F46" s="2">
        <v>43603</v>
      </c>
      <c r="G46" s="2">
        <v>43602</v>
      </c>
      <c r="H46">
        <v>2019</v>
      </c>
      <c r="I46">
        <v>2</v>
      </c>
      <c r="J46" t="s">
        <v>1606</v>
      </c>
    </row>
    <row r="47" spans="1:10" x14ac:dyDescent="0.25">
      <c r="A47" t="s">
        <v>1310</v>
      </c>
      <c r="B47">
        <v>19031</v>
      </c>
      <c r="C47" t="s">
        <v>1607</v>
      </c>
      <c r="D47" t="s">
        <v>1608</v>
      </c>
      <c r="E47" t="s">
        <v>1609</v>
      </c>
      <c r="F47" s="2">
        <v>43607</v>
      </c>
      <c r="G47" s="2">
        <v>43605</v>
      </c>
      <c r="H47">
        <v>2019</v>
      </c>
      <c r="I47">
        <v>2</v>
      </c>
      <c r="J47" t="s">
        <v>1610</v>
      </c>
    </row>
    <row r="48" spans="1:10" x14ac:dyDescent="0.25">
      <c r="A48" t="s">
        <v>1310</v>
      </c>
      <c r="B48">
        <v>19032</v>
      </c>
      <c r="C48" t="s">
        <v>1611</v>
      </c>
      <c r="D48" t="s">
        <v>1612</v>
      </c>
      <c r="E48" t="s">
        <v>1613</v>
      </c>
      <c r="F48" s="2">
        <v>43610</v>
      </c>
      <c r="G48" s="2">
        <v>43609</v>
      </c>
      <c r="H48">
        <v>2019</v>
      </c>
      <c r="I48">
        <v>2</v>
      </c>
      <c r="J48" t="s">
        <v>1614</v>
      </c>
    </row>
    <row r="49" spans="1:10" x14ac:dyDescent="0.25">
      <c r="A49" t="s">
        <v>1310</v>
      </c>
      <c r="B49">
        <v>19033</v>
      </c>
      <c r="C49" t="s">
        <v>1615</v>
      </c>
      <c r="D49" t="s">
        <v>1616</v>
      </c>
      <c r="E49" t="s">
        <v>1617</v>
      </c>
      <c r="F49" s="2">
        <v>43614</v>
      </c>
      <c r="G49" s="2">
        <v>43611</v>
      </c>
      <c r="H49">
        <v>2019</v>
      </c>
      <c r="I49">
        <v>2</v>
      </c>
      <c r="J49" t="s">
        <v>1618</v>
      </c>
    </row>
    <row r="50" spans="1:10" x14ac:dyDescent="0.25">
      <c r="A50" t="s">
        <v>1310</v>
      </c>
      <c r="B50">
        <v>19034</v>
      </c>
      <c r="C50" t="s">
        <v>1619</v>
      </c>
      <c r="D50" t="s">
        <v>1620</v>
      </c>
      <c r="E50" t="s">
        <v>1621</v>
      </c>
      <c r="F50" s="2">
        <v>43626</v>
      </c>
      <c r="G50" s="2">
        <v>43625</v>
      </c>
      <c r="H50">
        <v>2019</v>
      </c>
      <c r="I50">
        <v>2</v>
      </c>
      <c r="J50" t="s">
        <v>1622</v>
      </c>
    </row>
    <row r="51" spans="1:10" x14ac:dyDescent="0.25">
      <c r="A51" t="s">
        <v>1310</v>
      </c>
      <c r="B51">
        <v>19035</v>
      </c>
      <c r="C51" t="s">
        <v>1623</v>
      </c>
      <c r="D51" t="s">
        <v>1624</v>
      </c>
      <c r="E51" t="s">
        <v>1625</v>
      </c>
      <c r="F51" s="2">
        <v>43632</v>
      </c>
      <c r="G51" s="2">
        <v>43631</v>
      </c>
      <c r="H51">
        <v>2019</v>
      </c>
      <c r="I51">
        <v>2</v>
      </c>
      <c r="J51" t="s">
        <v>1626</v>
      </c>
    </row>
    <row r="52" spans="1:10" x14ac:dyDescent="0.25">
      <c r="A52" t="s">
        <v>1310</v>
      </c>
      <c r="B52">
        <v>19036</v>
      </c>
      <c r="C52" t="s">
        <v>1627</v>
      </c>
      <c r="D52" t="s">
        <v>1628</v>
      </c>
      <c r="E52" t="s">
        <v>1629</v>
      </c>
      <c r="F52" s="2">
        <v>43633</v>
      </c>
      <c r="G52" s="2">
        <v>43632</v>
      </c>
      <c r="H52">
        <v>2019</v>
      </c>
      <c r="I52">
        <v>2</v>
      </c>
      <c r="J52" t="s">
        <v>1630</v>
      </c>
    </row>
    <row r="53" spans="1:10" x14ac:dyDescent="0.25">
      <c r="A53" t="s">
        <v>1310</v>
      </c>
      <c r="B53">
        <v>19037</v>
      </c>
      <c r="C53" t="s">
        <v>1631</v>
      </c>
      <c r="D53" t="s">
        <v>1632</v>
      </c>
      <c r="E53" t="s">
        <v>1633</v>
      </c>
      <c r="F53" s="2">
        <v>43640</v>
      </c>
      <c r="G53" s="2">
        <v>43639</v>
      </c>
      <c r="H53">
        <v>2019</v>
      </c>
      <c r="I53">
        <v>2</v>
      </c>
      <c r="J53" t="s">
        <v>1634</v>
      </c>
    </row>
    <row r="54" spans="1:10" x14ac:dyDescent="0.25">
      <c r="A54" t="s">
        <v>1310</v>
      </c>
      <c r="B54">
        <v>19038</v>
      </c>
      <c r="C54" t="s">
        <v>1635</v>
      </c>
      <c r="D54" t="s">
        <v>1636</v>
      </c>
      <c r="E54" t="s">
        <v>1637</v>
      </c>
      <c r="F54" s="2">
        <v>43646</v>
      </c>
      <c r="G54" s="2">
        <v>43645</v>
      </c>
      <c r="H54">
        <v>2019</v>
      </c>
      <c r="I54">
        <v>2</v>
      </c>
      <c r="J54" t="s">
        <v>1638</v>
      </c>
    </row>
    <row r="55" spans="1:10" x14ac:dyDescent="0.25">
      <c r="A55" t="s">
        <v>1310</v>
      </c>
      <c r="B55">
        <v>19039</v>
      </c>
      <c r="C55" t="s">
        <v>1639</v>
      </c>
      <c r="D55" t="s">
        <v>1636</v>
      </c>
      <c r="E55" t="s">
        <v>1637</v>
      </c>
      <c r="F55" s="2">
        <v>43646</v>
      </c>
      <c r="G55" s="2">
        <v>43645</v>
      </c>
      <c r="H55">
        <v>2019</v>
      </c>
      <c r="I55">
        <v>2</v>
      </c>
      <c r="J55" t="s">
        <v>1640</v>
      </c>
    </row>
    <row r="56" spans="1:10" x14ac:dyDescent="0.25">
      <c r="A56" t="s">
        <v>1310</v>
      </c>
      <c r="B56">
        <v>19053</v>
      </c>
      <c r="C56" t="s">
        <v>1641</v>
      </c>
      <c r="D56" t="s">
        <v>1642</v>
      </c>
      <c r="E56" t="s">
        <v>1643</v>
      </c>
      <c r="F56" s="2">
        <v>43622</v>
      </c>
      <c r="G56" s="2">
        <v>43620</v>
      </c>
      <c r="H56">
        <v>2019</v>
      </c>
      <c r="I56">
        <v>2</v>
      </c>
      <c r="J56" t="s">
        <v>1644</v>
      </c>
    </row>
    <row r="57" spans="1:10" x14ac:dyDescent="0.25">
      <c r="A57" t="s">
        <v>1310</v>
      </c>
      <c r="B57">
        <v>20019</v>
      </c>
      <c r="C57" t="s">
        <v>1645</v>
      </c>
      <c r="D57" t="s">
        <v>1646</v>
      </c>
      <c r="E57" t="s">
        <v>1647</v>
      </c>
      <c r="F57" s="2">
        <v>43930</v>
      </c>
      <c r="G57" s="2">
        <v>43928</v>
      </c>
      <c r="H57">
        <v>2020</v>
      </c>
      <c r="I57">
        <v>2</v>
      </c>
      <c r="J57" t="s">
        <v>1648</v>
      </c>
    </row>
    <row r="58" spans="1:10" x14ac:dyDescent="0.25">
      <c r="A58" t="s">
        <v>1310</v>
      </c>
      <c r="B58">
        <v>20020</v>
      </c>
      <c r="C58" t="s">
        <v>1649</v>
      </c>
      <c r="D58" t="s">
        <v>1650</v>
      </c>
      <c r="E58" t="s">
        <v>1651</v>
      </c>
      <c r="F58" s="2">
        <v>43935</v>
      </c>
      <c r="G58" s="2">
        <v>43931</v>
      </c>
      <c r="H58">
        <v>2020</v>
      </c>
      <c r="I58">
        <v>2</v>
      </c>
      <c r="J58" t="s">
        <v>1652</v>
      </c>
    </row>
    <row r="59" spans="1:10" x14ac:dyDescent="0.25">
      <c r="A59" t="s">
        <v>1310</v>
      </c>
      <c r="B59">
        <v>20021</v>
      </c>
      <c r="C59" t="s">
        <v>1653</v>
      </c>
      <c r="D59" t="s">
        <v>1654</v>
      </c>
      <c r="E59" t="s">
        <v>1655</v>
      </c>
      <c r="F59" s="2">
        <v>43941</v>
      </c>
      <c r="G59" s="2">
        <v>43939</v>
      </c>
      <c r="H59">
        <v>2020</v>
      </c>
      <c r="I59">
        <v>2</v>
      </c>
      <c r="J59" t="s">
        <v>1656</v>
      </c>
    </row>
    <row r="60" spans="1:10" x14ac:dyDescent="0.25">
      <c r="A60" t="s">
        <v>1310</v>
      </c>
      <c r="B60">
        <v>20022</v>
      </c>
      <c r="C60" t="s">
        <v>1657</v>
      </c>
      <c r="D60" t="s">
        <v>1658</v>
      </c>
      <c r="E60" t="s">
        <v>1659</v>
      </c>
      <c r="F60" s="2">
        <v>43944</v>
      </c>
      <c r="G60" s="2">
        <v>43942</v>
      </c>
      <c r="H60">
        <v>2020</v>
      </c>
      <c r="I60">
        <v>2</v>
      </c>
      <c r="J60" t="s">
        <v>1660</v>
      </c>
    </row>
    <row r="61" spans="1:10" x14ac:dyDescent="0.25">
      <c r="A61" t="s">
        <v>1310</v>
      </c>
      <c r="B61">
        <v>20023</v>
      </c>
      <c r="C61" t="s">
        <v>1661</v>
      </c>
      <c r="D61" t="s">
        <v>1662</v>
      </c>
      <c r="E61" t="s">
        <v>1663</v>
      </c>
      <c r="F61" s="2">
        <v>43947</v>
      </c>
      <c r="G61" s="2">
        <v>43945</v>
      </c>
      <c r="H61">
        <v>2020</v>
      </c>
      <c r="I61">
        <v>2</v>
      </c>
      <c r="J61" t="s">
        <v>1664</v>
      </c>
    </row>
    <row r="62" spans="1:10" x14ac:dyDescent="0.25">
      <c r="A62" t="s">
        <v>1310</v>
      </c>
      <c r="B62">
        <v>20024</v>
      </c>
      <c r="C62" t="s">
        <v>1665</v>
      </c>
      <c r="D62" t="s">
        <v>1666</v>
      </c>
      <c r="E62" t="s">
        <v>1667</v>
      </c>
      <c r="F62" s="2">
        <v>43950</v>
      </c>
      <c r="G62" s="2">
        <v>43948</v>
      </c>
      <c r="H62">
        <v>2020</v>
      </c>
      <c r="I62">
        <v>2</v>
      </c>
      <c r="J62" t="s">
        <v>1668</v>
      </c>
    </row>
    <row r="63" spans="1:10" x14ac:dyDescent="0.25">
      <c r="A63" t="s">
        <v>1310</v>
      </c>
      <c r="B63">
        <v>20025</v>
      </c>
      <c r="C63" t="s">
        <v>1669</v>
      </c>
      <c r="D63" t="s">
        <v>1670</v>
      </c>
      <c r="E63" t="s">
        <v>1671</v>
      </c>
      <c r="F63" s="2">
        <v>43954</v>
      </c>
      <c r="G63" s="2">
        <v>43953</v>
      </c>
      <c r="H63">
        <v>2020</v>
      </c>
      <c r="I63">
        <v>2</v>
      </c>
      <c r="J63" t="s">
        <v>1672</v>
      </c>
    </row>
    <row r="64" spans="1:10" x14ac:dyDescent="0.25">
      <c r="A64" t="s">
        <v>1310</v>
      </c>
      <c r="B64">
        <v>20026</v>
      </c>
      <c r="C64" t="s">
        <v>1673</v>
      </c>
      <c r="D64" t="s">
        <v>1674</v>
      </c>
      <c r="E64" t="s">
        <v>1675</v>
      </c>
      <c r="F64" s="2">
        <v>43956</v>
      </c>
      <c r="G64" s="2">
        <v>43955</v>
      </c>
      <c r="H64">
        <v>2020</v>
      </c>
      <c r="I64">
        <v>2</v>
      </c>
      <c r="J64" t="s">
        <v>1676</v>
      </c>
    </row>
    <row r="65" spans="1:10" x14ac:dyDescent="0.25">
      <c r="A65" t="s">
        <v>1310</v>
      </c>
      <c r="B65">
        <v>20027</v>
      </c>
      <c r="C65" t="s">
        <v>1677</v>
      </c>
      <c r="D65" t="s">
        <v>1678</v>
      </c>
      <c r="E65" t="s">
        <v>1679</v>
      </c>
      <c r="F65" s="2">
        <v>43959</v>
      </c>
      <c r="G65" s="2">
        <v>43958</v>
      </c>
      <c r="H65">
        <v>2020</v>
      </c>
      <c r="I65">
        <v>2</v>
      </c>
      <c r="J65" t="s">
        <v>1680</v>
      </c>
    </row>
    <row r="66" spans="1:10" x14ac:dyDescent="0.25">
      <c r="A66" t="s">
        <v>1310</v>
      </c>
      <c r="B66">
        <v>20028</v>
      </c>
      <c r="C66" t="s">
        <v>1681</v>
      </c>
      <c r="D66" t="s">
        <v>1682</v>
      </c>
      <c r="E66" t="s">
        <v>1683</v>
      </c>
      <c r="F66" s="2">
        <v>43966</v>
      </c>
      <c r="G66" s="2">
        <v>43964</v>
      </c>
      <c r="H66">
        <v>2020</v>
      </c>
      <c r="I66">
        <v>2</v>
      </c>
      <c r="J66" t="s">
        <v>1684</v>
      </c>
    </row>
    <row r="67" spans="1:10" x14ac:dyDescent="0.25">
      <c r="A67" t="s">
        <v>1310</v>
      </c>
      <c r="B67">
        <v>20029</v>
      </c>
      <c r="C67" t="s">
        <v>1685</v>
      </c>
      <c r="D67" t="s">
        <v>1686</v>
      </c>
      <c r="E67" t="s">
        <v>1687</v>
      </c>
      <c r="F67" s="2">
        <v>43972</v>
      </c>
      <c r="G67" s="2">
        <v>43967</v>
      </c>
      <c r="H67">
        <v>2020</v>
      </c>
      <c r="I67">
        <v>2</v>
      </c>
      <c r="J67" t="s">
        <v>1688</v>
      </c>
    </row>
    <row r="68" spans="1:10" x14ac:dyDescent="0.25">
      <c r="A68" t="s">
        <v>1310</v>
      </c>
      <c r="B68">
        <v>20030</v>
      </c>
      <c r="C68" t="s">
        <v>1689</v>
      </c>
      <c r="D68" t="s">
        <v>1690</v>
      </c>
      <c r="E68" t="s">
        <v>1691</v>
      </c>
      <c r="F68" s="2">
        <v>43975</v>
      </c>
      <c r="G68" s="2">
        <v>43971</v>
      </c>
      <c r="H68">
        <v>2020</v>
      </c>
      <c r="I68">
        <v>2</v>
      </c>
      <c r="J68" t="s">
        <v>1692</v>
      </c>
    </row>
    <row r="69" spans="1:10" x14ac:dyDescent="0.25">
      <c r="A69" t="s">
        <v>1310</v>
      </c>
      <c r="B69">
        <v>20031</v>
      </c>
      <c r="C69" t="s">
        <v>1693</v>
      </c>
      <c r="D69" t="s">
        <v>1694</v>
      </c>
      <c r="E69" t="s">
        <v>1695</v>
      </c>
      <c r="F69" s="2">
        <v>43977</v>
      </c>
      <c r="G69" s="2">
        <v>43976</v>
      </c>
      <c r="H69">
        <v>2020</v>
      </c>
      <c r="I69">
        <v>2</v>
      </c>
      <c r="J69" t="s">
        <v>1696</v>
      </c>
    </row>
    <row r="70" spans="1:10" x14ac:dyDescent="0.25">
      <c r="A70" t="s">
        <v>1310</v>
      </c>
      <c r="B70">
        <v>20032</v>
      </c>
      <c r="C70" t="s">
        <v>1697</v>
      </c>
      <c r="D70" t="s">
        <v>1698</v>
      </c>
      <c r="E70" t="s">
        <v>1699</v>
      </c>
      <c r="F70" s="2">
        <v>43979</v>
      </c>
      <c r="G70" s="2">
        <v>43978</v>
      </c>
      <c r="H70">
        <v>2020</v>
      </c>
      <c r="I70">
        <v>2</v>
      </c>
      <c r="J70" t="s">
        <v>1700</v>
      </c>
    </row>
    <row r="71" spans="1:10" x14ac:dyDescent="0.25">
      <c r="A71" t="s">
        <v>1310</v>
      </c>
      <c r="B71">
        <v>20034</v>
      </c>
      <c r="C71" t="s">
        <v>1701</v>
      </c>
      <c r="D71" t="s">
        <v>1702</v>
      </c>
      <c r="E71" t="s">
        <v>1703</v>
      </c>
      <c r="F71" s="2">
        <v>43985</v>
      </c>
      <c r="G71" s="2">
        <v>43984</v>
      </c>
      <c r="H71">
        <v>2020</v>
      </c>
      <c r="I71">
        <v>2</v>
      </c>
      <c r="J71" t="s">
        <v>1704</v>
      </c>
    </row>
    <row r="72" spans="1:10" x14ac:dyDescent="0.25">
      <c r="A72" t="s">
        <v>1310</v>
      </c>
      <c r="B72">
        <v>20035</v>
      </c>
      <c r="C72" t="s">
        <v>1705</v>
      </c>
      <c r="D72" t="s">
        <v>1706</v>
      </c>
      <c r="E72" t="s">
        <v>1707</v>
      </c>
      <c r="F72" s="2">
        <v>43993</v>
      </c>
      <c r="G72" s="2">
        <v>43987</v>
      </c>
      <c r="H72">
        <v>2020</v>
      </c>
      <c r="I72">
        <v>2</v>
      </c>
      <c r="J72" t="s">
        <v>1708</v>
      </c>
    </row>
    <row r="73" spans="1:10" x14ac:dyDescent="0.25">
      <c r="A73" t="s">
        <v>1310</v>
      </c>
      <c r="B73">
        <v>20036</v>
      </c>
      <c r="C73" t="s">
        <v>1709</v>
      </c>
      <c r="D73" t="s">
        <v>1710</v>
      </c>
      <c r="E73" t="s">
        <v>1711</v>
      </c>
      <c r="F73" s="2">
        <v>43986</v>
      </c>
      <c r="G73" s="2">
        <v>43986</v>
      </c>
      <c r="H73">
        <v>2020</v>
      </c>
      <c r="I73">
        <v>2</v>
      </c>
      <c r="J73" t="s">
        <v>1712</v>
      </c>
    </row>
    <row r="74" spans="1:10" x14ac:dyDescent="0.25">
      <c r="A74" t="s">
        <v>1310</v>
      </c>
      <c r="B74">
        <v>20038</v>
      </c>
      <c r="C74" t="s">
        <v>1713</v>
      </c>
      <c r="D74" t="s">
        <v>1714</v>
      </c>
      <c r="E74" t="s">
        <v>1715</v>
      </c>
      <c r="F74" s="2">
        <v>44003</v>
      </c>
      <c r="G74" s="2">
        <v>44001</v>
      </c>
      <c r="H74">
        <v>2020</v>
      </c>
      <c r="I74">
        <v>2</v>
      </c>
      <c r="J74" t="s">
        <v>1716</v>
      </c>
    </row>
    <row r="75" spans="1:10" x14ac:dyDescent="0.25">
      <c r="A75" t="s">
        <v>1310</v>
      </c>
      <c r="B75">
        <v>21024</v>
      </c>
      <c r="C75" t="s">
        <v>1717</v>
      </c>
      <c r="D75" t="s">
        <v>1718</v>
      </c>
      <c r="E75" t="s">
        <v>1719</v>
      </c>
      <c r="F75" s="2">
        <v>44294</v>
      </c>
      <c r="G75" s="2">
        <v>44292</v>
      </c>
      <c r="H75">
        <v>2021</v>
      </c>
      <c r="I75">
        <v>2</v>
      </c>
      <c r="J75" t="s">
        <v>1720</v>
      </c>
    </row>
    <row r="76" spans="1:10" x14ac:dyDescent="0.25">
      <c r="A76" t="s">
        <v>1310</v>
      </c>
      <c r="B76">
        <v>21025</v>
      </c>
      <c r="C76" t="s">
        <v>1721</v>
      </c>
      <c r="D76" t="s">
        <v>1722</v>
      </c>
      <c r="E76" t="s">
        <v>1723</v>
      </c>
      <c r="F76" s="2">
        <v>44297</v>
      </c>
      <c r="G76" s="2">
        <v>44295</v>
      </c>
      <c r="H76">
        <v>2021</v>
      </c>
      <c r="I76">
        <v>2</v>
      </c>
      <c r="J76" t="s">
        <v>1724</v>
      </c>
    </row>
    <row r="77" spans="1:10" x14ac:dyDescent="0.25">
      <c r="A77" t="s">
        <v>1310</v>
      </c>
      <c r="B77">
        <v>21026</v>
      </c>
      <c r="C77" t="s">
        <v>1725</v>
      </c>
      <c r="D77" t="s">
        <v>1726</v>
      </c>
      <c r="E77" t="s">
        <v>1727</v>
      </c>
      <c r="F77" s="2">
        <v>44300</v>
      </c>
      <c r="G77" s="2">
        <v>44298</v>
      </c>
      <c r="H77">
        <v>2021</v>
      </c>
      <c r="I77">
        <v>2</v>
      </c>
      <c r="J77" t="s">
        <v>1728</v>
      </c>
    </row>
    <row r="78" spans="1:10" x14ac:dyDescent="0.25">
      <c r="A78" t="s">
        <v>1310</v>
      </c>
      <c r="B78">
        <v>21027</v>
      </c>
      <c r="C78" t="s">
        <v>1729</v>
      </c>
      <c r="D78" t="s">
        <v>1730</v>
      </c>
      <c r="E78" t="s">
        <v>1731</v>
      </c>
      <c r="F78" s="2">
        <v>44302</v>
      </c>
      <c r="G78" s="2">
        <v>44301</v>
      </c>
      <c r="H78">
        <v>2021</v>
      </c>
      <c r="I78">
        <v>2</v>
      </c>
      <c r="J78" t="s">
        <v>1732</v>
      </c>
    </row>
    <row r="79" spans="1:10" x14ac:dyDescent="0.25">
      <c r="A79" t="s">
        <v>1310</v>
      </c>
      <c r="B79">
        <v>21028</v>
      </c>
      <c r="C79" t="s">
        <v>1733</v>
      </c>
      <c r="D79" t="s">
        <v>1734</v>
      </c>
      <c r="E79" t="s">
        <v>1735</v>
      </c>
      <c r="F79" s="2">
        <v>44311</v>
      </c>
      <c r="G79" s="2">
        <v>44309</v>
      </c>
      <c r="H79">
        <v>2021</v>
      </c>
      <c r="I79">
        <v>2</v>
      </c>
      <c r="J79" t="s">
        <v>1736</v>
      </c>
    </row>
    <row r="80" spans="1:10" x14ac:dyDescent="0.25">
      <c r="A80" t="s">
        <v>1310</v>
      </c>
      <c r="B80">
        <v>21029</v>
      </c>
      <c r="C80" t="s">
        <v>1737</v>
      </c>
      <c r="D80" t="s">
        <v>1738</v>
      </c>
      <c r="E80" t="s">
        <v>1739</v>
      </c>
      <c r="F80" s="2">
        <v>44318</v>
      </c>
      <c r="G80" s="2">
        <v>44313</v>
      </c>
      <c r="H80">
        <v>2021</v>
      </c>
      <c r="I80">
        <v>2</v>
      </c>
      <c r="J80" t="s">
        <v>1740</v>
      </c>
    </row>
    <row r="81" spans="1:10" x14ac:dyDescent="0.25">
      <c r="A81" t="s">
        <v>1310</v>
      </c>
      <c r="B81">
        <v>21030</v>
      </c>
      <c r="C81" t="s">
        <v>1741</v>
      </c>
      <c r="D81" t="s">
        <v>1742</v>
      </c>
      <c r="E81" t="s">
        <v>1743</v>
      </c>
      <c r="F81" s="2">
        <v>44320</v>
      </c>
      <c r="G81" s="2">
        <v>44319</v>
      </c>
      <c r="H81">
        <v>2021</v>
      </c>
      <c r="I81">
        <v>2</v>
      </c>
      <c r="J81" t="s">
        <v>1744</v>
      </c>
    </row>
    <row r="82" spans="1:10" x14ac:dyDescent="0.25">
      <c r="A82" t="s">
        <v>1310</v>
      </c>
      <c r="B82">
        <v>21031</v>
      </c>
      <c r="C82" t="s">
        <v>1745</v>
      </c>
      <c r="D82" t="s">
        <v>1746</v>
      </c>
      <c r="E82" t="s">
        <v>1747</v>
      </c>
      <c r="F82" s="2">
        <v>44327</v>
      </c>
      <c r="G82" s="2">
        <v>44323</v>
      </c>
      <c r="H82">
        <v>2021</v>
      </c>
      <c r="I82">
        <v>2</v>
      </c>
      <c r="J82" t="s">
        <v>1748</v>
      </c>
    </row>
    <row r="83" spans="1:10" x14ac:dyDescent="0.25">
      <c r="A83" t="s">
        <v>1310</v>
      </c>
      <c r="B83">
        <v>21032</v>
      </c>
      <c r="C83" t="s">
        <v>1749</v>
      </c>
      <c r="D83" t="s">
        <v>1750</v>
      </c>
      <c r="E83" t="s">
        <v>1751</v>
      </c>
      <c r="F83" s="2">
        <v>44335</v>
      </c>
      <c r="G83" s="2">
        <v>44330</v>
      </c>
      <c r="H83">
        <v>2021</v>
      </c>
      <c r="I83">
        <v>2</v>
      </c>
      <c r="J83" t="s">
        <v>1752</v>
      </c>
    </row>
    <row r="84" spans="1:10" x14ac:dyDescent="0.25">
      <c r="A84" t="s">
        <v>1310</v>
      </c>
      <c r="B84">
        <v>21033</v>
      </c>
      <c r="C84" t="s">
        <v>1753</v>
      </c>
      <c r="D84" t="s">
        <v>1754</v>
      </c>
      <c r="E84" t="s">
        <v>1755</v>
      </c>
      <c r="F84" s="2">
        <v>44344</v>
      </c>
      <c r="G84" s="2">
        <v>44342</v>
      </c>
      <c r="H84">
        <v>2021</v>
      </c>
      <c r="I84">
        <v>2</v>
      </c>
      <c r="J84" t="s">
        <v>1756</v>
      </c>
    </row>
    <row r="85" spans="1:10" x14ac:dyDescent="0.25">
      <c r="A85" t="s">
        <v>1310</v>
      </c>
      <c r="B85">
        <v>21034</v>
      </c>
      <c r="C85" t="s">
        <v>1757</v>
      </c>
      <c r="D85" t="s">
        <v>1758</v>
      </c>
      <c r="E85" t="s">
        <v>1759</v>
      </c>
      <c r="F85" s="2">
        <v>44342</v>
      </c>
      <c r="G85" s="2">
        <v>44341</v>
      </c>
      <c r="H85">
        <v>2021</v>
      </c>
      <c r="I85">
        <v>2</v>
      </c>
      <c r="J85" t="s">
        <v>1760</v>
      </c>
    </row>
    <row r="86" spans="1:10" x14ac:dyDescent="0.25">
      <c r="A86" t="s">
        <v>1310</v>
      </c>
      <c r="B86">
        <v>21035</v>
      </c>
      <c r="C86" t="s">
        <v>1761</v>
      </c>
      <c r="D86" t="s">
        <v>1762</v>
      </c>
      <c r="E86" t="s">
        <v>1763</v>
      </c>
      <c r="F86" s="2">
        <v>44347</v>
      </c>
      <c r="G86" s="2">
        <v>44345</v>
      </c>
      <c r="H86">
        <v>2021</v>
      </c>
      <c r="I86">
        <v>2</v>
      </c>
      <c r="J86" t="s">
        <v>1764</v>
      </c>
    </row>
    <row r="87" spans="1:10" x14ac:dyDescent="0.25">
      <c r="A87" t="s">
        <v>1310</v>
      </c>
      <c r="B87">
        <v>21037</v>
      </c>
      <c r="C87" t="s">
        <v>1765</v>
      </c>
      <c r="D87" t="s">
        <v>1766</v>
      </c>
      <c r="E87" t="s">
        <v>1767</v>
      </c>
      <c r="F87" s="2">
        <v>44360</v>
      </c>
      <c r="G87" s="2">
        <v>44358</v>
      </c>
      <c r="H87">
        <v>2021</v>
      </c>
      <c r="I87">
        <v>2</v>
      </c>
      <c r="J87" t="s">
        <v>1768</v>
      </c>
    </row>
    <row r="88" spans="1:10" x14ac:dyDescent="0.25">
      <c r="A88" t="s">
        <v>1310</v>
      </c>
      <c r="B88">
        <v>21039</v>
      </c>
      <c r="C88" t="s">
        <v>1769</v>
      </c>
      <c r="D88" t="s">
        <v>1770</v>
      </c>
      <c r="E88" t="s">
        <v>1771</v>
      </c>
      <c r="F88" s="2">
        <v>44367</v>
      </c>
      <c r="G88" s="2">
        <v>44364</v>
      </c>
      <c r="H88">
        <v>2021</v>
      </c>
      <c r="I88">
        <v>2</v>
      </c>
      <c r="J88" t="s">
        <v>1772</v>
      </c>
    </row>
    <row r="89" spans="1:10" x14ac:dyDescent="0.25">
      <c r="A89" t="s">
        <v>1310</v>
      </c>
      <c r="B89">
        <v>21040</v>
      </c>
      <c r="C89" t="s">
        <v>1773</v>
      </c>
      <c r="D89" t="s">
        <v>1774</v>
      </c>
      <c r="E89" t="s">
        <v>1775</v>
      </c>
      <c r="F89" s="2">
        <v>44375</v>
      </c>
      <c r="G89" s="2">
        <v>44371</v>
      </c>
      <c r="H89">
        <v>2021</v>
      </c>
      <c r="I89">
        <v>2</v>
      </c>
      <c r="J89" t="s">
        <v>1776</v>
      </c>
    </row>
    <row r="90" spans="1:10" x14ac:dyDescent="0.25">
      <c r="A90" t="s">
        <v>1310</v>
      </c>
      <c r="B90">
        <v>22022</v>
      </c>
      <c r="C90" t="s">
        <v>1777</v>
      </c>
      <c r="D90" t="s">
        <v>1778</v>
      </c>
      <c r="E90" t="s">
        <v>1779</v>
      </c>
      <c r="F90" s="2">
        <v>44655</v>
      </c>
      <c r="G90" s="2">
        <v>44653</v>
      </c>
      <c r="H90">
        <v>2022</v>
      </c>
      <c r="I90">
        <v>2</v>
      </c>
      <c r="J90" t="s">
        <v>1780</v>
      </c>
    </row>
    <row r="91" spans="1:10" x14ac:dyDescent="0.25">
      <c r="A91" t="s">
        <v>1310</v>
      </c>
      <c r="B91">
        <v>22023</v>
      </c>
      <c r="C91" t="s">
        <v>1781</v>
      </c>
      <c r="D91" t="s">
        <v>1782</v>
      </c>
      <c r="E91" t="s">
        <v>1783</v>
      </c>
      <c r="F91" s="2">
        <v>44658</v>
      </c>
      <c r="G91" s="2">
        <v>44654</v>
      </c>
      <c r="H91">
        <v>2022</v>
      </c>
      <c r="I91">
        <v>2</v>
      </c>
      <c r="J91" t="s">
        <v>1784</v>
      </c>
    </row>
    <row r="92" spans="1:10" x14ac:dyDescent="0.25">
      <c r="A92" t="s">
        <v>1310</v>
      </c>
      <c r="B92">
        <v>22025</v>
      </c>
      <c r="C92" t="s">
        <v>1785</v>
      </c>
      <c r="D92" t="s">
        <v>1786</v>
      </c>
      <c r="E92" t="s">
        <v>1787</v>
      </c>
      <c r="F92" s="2">
        <v>44663</v>
      </c>
      <c r="G92" s="2">
        <v>44661</v>
      </c>
      <c r="H92">
        <v>2022</v>
      </c>
      <c r="I92">
        <v>2</v>
      </c>
      <c r="J92" t="s">
        <v>1788</v>
      </c>
    </row>
    <row r="93" spans="1:10" x14ac:dyDescent="0.25">
      <c r="A93" t="s">
        <v>1310</v>
      </c>
      <c r="B93">
        <v>22026</v>
      </c>
      <c r="C93" t="s">
        <v>1789</v>
      </c>
      <c r="D93" t="s">
        <v>1790</v>
      </c>
      <c r="E93" t="s">
        <v>1791</v>
      </c>
      <c r="F93" s="2">
        <v>44670</v>
      </c>
      <c r="G93" s="2">
        <v>44666</v>
      </c>
      <c r="H93">
        <v>2022</v>
      </c>
      <c r="I93">
        <v>2</v>
      </c>
      <c r="J93" t="s">
        <v>1792</v>
      </c>
    </row>
    <row r="94" spans="1:10" x14ac:dyDescent="0.25">
      <c r="A94" t="s">
        <v>1310</v>
      </c>
      <c r="B94">
        <v>22027</v>
      </c>
      <c r="C94" t="s">
        <v>1793</v>
      </c>
      <c r="D94" t="s">
        <v>1794</v>
      </c>
      <c r="E94" t="s">
        <v>1795</v>
      </c>
      <c r="F94" s="2">
        <v>44675</v>
      </c>
      <c r="G94" s="2">
        <v>44672</v>
      </c>
      <c r="H94">
        <v>2022</v>
      </c>
      <c r="I94">
        <v>2</v>
      </c>
      <c r="J94" t="s">
        <v>1796</v>
      </c>
    </row>
    <row r="95" spans="1:10" x14ac:dyDescent="0.25">
      <c r="A95" t="s">
        <v>1310</v>
      </c>
      <c r="B95">
        <v>22028</v>
      </c>
      <c r="C95" t="s">
        <v>1797</v>
      </c>
      <c r="D95" t="s">
        <v>1798</v>
      </c>
      <c r="E95" t="s">
        <v>1799</v>
      </c>
      <c r="F95" s="2">
        <v>44681</v>
      </c>
      <c r="G95" s="2">
        <v>44677</v>
      </c>
      <c r="H95">
        <v>2022</v>
      </c>
      <c r="I95">
        <v>2</v>
      </c>
      <c r="J95" t="s">
        <v>1800</v>
      </c>
    </row>
    <row r="96" spans="1:10" x14ac:dyDescent="0.25">
      <c r="A96" t="s">
        <v>1310</v>
      </c>
      <c r="B96">
        <v>22029</v>
      </c>
      <c r="C96" t="s">
        <v>1801</v>
      </c>
      <c r="D96" t="s">
        <v>1802</v>
      </c>
      <c r="E96" t="s">
        <v>1803</v>
      </c>
      <c r="F96" s="2">
        <v>44684</v>
      </c>
      <c r="G96" s="2">
        <v>44682</v>
      </c>
      <c r="H96">
        <v>2022</v>
      </c>
      <c r="I96">
        <v>2</v>
      </c>
      <c r="J96" t="s">
        <v>1804</v>
      </c>
    </row>
    <row r="97" spans="1:10" x14ac:dyDescent="0.25">
      <c r="A97" t="s">
        <v>1310</v>
      </c>
      <c r="B97">
        <v>22031</v>
      </c>
      <c r="C97" t="s">
        <v>1805</v>
      </c>
      <c r="D97" t="s">
        <v>1806</v>
      </c>
      <c r="E97" t="s">
        <v>1807</v>
      </c>
      <c r="F97" s="2">
        <v>44689</v>
      </c>
      <c r="G97" s="2">
        <v>44685</v>
      </c>
      <c r="H97">
        <v>2022</v>
      </c>
      <c r="I97">
        <v>2</v>
      </c>
      <c r="J97" t="s">
        <v>1808</v>
      </c>
    </row>
    <row r="98" spans="1:10" x14ac:dyDescent="0.25">
      <c r="A98" t="s">
        <v>1310</v>
      </c>
      <c r="B98">
        <v>22032</v>
      </c>
      <c r="C98" t="s">
        <v>1809</v>
      </c>
      <c r="D98" t="s">
        <v>1810</v>
      </c>
      <c r="E98" t="s">
        <v>1811</v>
      </c>
      <c r="F98" s="2">
        <v>44691</v>
      </c>
      <c r="G98" s="2">
        <v>44690</v>
      </c>
      <c r="H98">
        <v>2022</v>
      </c>
      <c r="I98">
        <v>2</v>
      </c>
      <c r="J98" t="s">
        <v>1812</v>
      </c>
    </row>
    <row r="99" spans="1:10" x14ac:dyDescent="0.25">
      <c r="A99" t="s">
        <v>1310</v>
      </c>
      <c r="B99">
        <v>22033</v>
      </c>
      <c r="C99" t="s">
        <v>1745</v>
      </c>
      <c r="D99" t="s">
        <v>1813</v>
      </c>
      <c r="E99" t="s">
        <v>1814</v>
      </c>
      <c r="F99" s="2">
        <v>44693</v>
      </c>
      <c r="G99" s="2">
        <v>44692</v>
      </c>
      <c r="H99">
        <v>2022</v>
      </c>
      <c r="I99">
        <v>2</v>
      </c>
      <c r="J99" t="s">
        <v>1815</v>
      </c>
    </row>
    <row r="100" spans="1:10" x14ac:dyDescent="0.25">
      <c r="A100" t="s">
        <v>1310</v>
      </c>
      <c r="B100">
        <v>22034</v>
      </c>
      <c r="C100" t="s">
        <v>1816</v>
      </c>
      <c r="D100" t="s">
        <v>1817</v>
      </c>
      <c r="E100" t="s">
        <v>1818</v>
      </c>
      <c r="F100" s="2">
        <v>44697</v>
      </c>
      <c r="G100" s="2">
        <v>44694</v>
      </c>
      <c r="H100">
        <v>2022</v>
      </c>
      <c r="I100">
        <v>2</v>
      </c>
      <c r="J100" t="s">
        <v>1819</v>
      </c>
    </row>
    <row r="101" spans="1:10" x14ac:dyDescent="0.25">
      <c r="A101" t="s">
        <v>1310</v>
      </c>
      <c r="B101">
        <v>22035</v>
      </c>
      <c r="C101" t="s">
        <v>1820</v>
      </c>
      <c r="D101" t="s">
        <v>1821</v>
      </c>
      <c r="E101" t="s">
        <v>1822</v>
      </c>
      <c r="F101" s="2">
        <v>44703</v>
      </c>
      <c r="G101" s="2">
        <v>44700</v>
      </c>
      <c r="H101">
        <v>2022</v>
      </c>
      <c r="I101">
        <v>2</v>
      </c>
      <c r="J101" t="s">
        <v>1823</v>
      </c>
    </row>
    <row r="102" spans="1:10" x14ac:dyDescent="0.25">
      <c r="A102" t="s">
        <v>1310</v>
      </c>
      <c r="B102">
        <v>22036</v>
      </c>
      <c r="C102" t="s">
        <v>1824</v>
      </c>
      <c r="D102" t="s">
        <v>1825</v>
      </c>
      <c r="E102" t="s">
        <v>1821</v>
      </c>
      <c r="F102" s="2">
        <v>44700</v>
      </c>
      <c r="G102" s="2">
        <v>44698</v>
      </c>
      <c r="H102">
        <v>2022</v>
      </c>
      <c r="I102">
        <v>2</v>
      </c>
      <c r="J102" t="s">
        <v>1826</v>
      </c>
    </row>
    <row r="103" spans="1:10" x14ac:dyDescent="0.25">
      <c r="A103" t="s">
        <v>1310</v>
      </c>
      <c r="B103">
        <v>22037</v>
      </c>
      <c r="C103" t="s">
        <v>1827</v>
      </c>
      <c r="D103" t="s">
        <v>1828</v>
      </c>
      <c r="E103" t="s">
        <v>1829</v>
      </c>
      <c r="F103" s="2">
        <v>44706</v>
      </c>
      <c r="G103" s="2">
        <v>44704</v>
      </c>
      <c r="H103">
        <v>2022</v>
      </c>
      <c r="I103">
        <v>2</v>
      </c>
      <c r="J103" t="s">
        <v>1830</v>
      </c>
    </row>
    <row r="104" spans="1:10" x14ac:dyDescent="0.25">
      <c r="A104" t="s">
        <v>1310</v>
      </c>
      <c r="B104">
        <v>22038</v>
      </c>
      <c r="C104" t="s">
        <v>1831</v>
      </c>
      <c r="D104" t="s">
        <v>1832</v>
      </c>
      <c r="E104" t="s">
        <v>1833</v>
      </c>
      <c r="F104" s="2">
        <v>44710</v>
      </c>
      <c r="G104" s="2">
        <v>44710</v>
      </c>
      <c r="H104">
        <v>2022</v>
      </c>
      <c r="I104">
        <v>2</v>
      </c>
      <c r="J104" t="s">
        <v>1834</v>
      </c>
    </row>
    <row r="105" spans="1:10" x14ac:dyDescent="0.25">
      <c r="A105" t="s">
        <v>1310</v>
      </c>
      <c r="B105">
        <v>22039</v>
      </c>
      <c r="C105" t="s">
        <v>1835</v>
      </c>
      <c r="D105" t="s">
        <v>1836</v>
      </c>
      <c r="E105" t="s">
        <v>1837</v>
      </c>
      <c r="F105" s="2">
        <v>44712</v>
      </c>
      <c r="G105" s="2">
        <v>44711</v>
      </c>
      <c r="H105">
        <v>2022</v>
      </c>
      <c r="I105">
        <v>2</v>
      </c>
      <c r="J105" t="s">
        <v>1838</v>
      </c>
    </row>
    <row r="106" spans="1:10" x14ac:dyDescent="0.25">
      <c r="A106" t="s">
        <v>1310</v>
      </c>
      <c r="B106">
        <v>22040</v>
      </c>
      <c r="C106" t="s">
        <v>1839</v>
      </c>
      <c r="D106" t="s">
        <v>1840</v>
      </c>
      <c r="E106" t="s">
        <v>1841</v>
      </c>
      <c r="F106" s="2">
        <v>44718</v>
      </c>
      <c r="G106" s="2">
        <v>44715</v>
      </c>
      <c r="H106">
        <v>2022</v>
      </c>
      <c r="I106">
        <v>2</v>
      </c>
      <c r="J106" t="s">
        <v>1842</v>
      </c>
    </row>
    <row r="107" spans="1:10" x14ac:dyDescent="0.25">
      <c r="A107" t="s">
        <v>1310</v>
      </c>
      <c r="B107">
        <v>22041</v>
      </c>
      <c r="C107" t="s">
        <v>1843</v>
      </c>
      <c r="D107" t="s">
        <v>1844</v>
      </c>
      <c r="E107" t="s">
        <v>1845</v>
      </c>
      <c r="F107" s="2">
        <v>44715</v>
      </c>
      <c r="G107" s="2">
        <v>44713</v>
      </c>
      <c r="H107">
        <v>2022</v>
      </c>
      <c r="I107">
        <v>2</v>
      </c>
      <c r="J107" t="s">
        <v>1846</v>
      </c>
    </row>
    <row r="108" spans="1:10" x14ac:dyDescent="0.25">
      <c r="A108" t="s">
        <v>1310</v>
      </c>
      <c r="B108">
        <v>22042</v>
      </c>
      <c r="C108" t="s">
        <v>1773</v>
      </c>
      <c r="D108" t="s">
        <v>1847</v>
      </c>
      <c r="E108" t="s">
        <v>1848</v>
      </c>
      <c r="F108" s="2">
        <v>44720</v>
      </c>
      <c r="G108" s="2">
        <v>44716</v>
      </c>
      <c r="H108">
        <v>2022</v>
      </c>
      <c r="I108">
        <v>2</v>
      </c>
      <c r="J108" t="s">
        <v>1849</v>
      </c>
    </row>
    <row r="109" spans="1:10" x14ac:dyDescent="0.25">
      <c r="A109" t="s">
        <v>1310</v>
      </c>
      <c r="B109">
        <v>22043</v>
      </c>
      <c r="C109" t="s">
        <v>1850</v>
      </c>
      <c r="D109" t="s">
        <v>1851</v>
      </c>
      <c r="E109" t="s">
        <v>1852</v>
      </c>
      <c r="F109" s="2">
        <v>44729</v>
      </c>
      <c r="G109" s="2">
        <v>44723</v>
      </c>
      <c r="H109">
        <v>2022</v>
      </c>
      <c r="I109">
        <v>2</v>
      </c>
      <c r="J109" t="s">
        <v>1853</v>
      </c>
    </row>
    <row r="110" spans="1:10" x14ac:dyDescent="0.25">
      <c r="A110" t="s">
        <v>1310</v>
      </c>
      <c r="B110">
        <v>22044</v>
      </c>
      <c r="C110" t="s">
        <v>1854</v>
      </c>
      <c r="D110" t="s">
        <v>1855</v>
      </c>
      <c r="E110" t="s">
        <v>1856</v>
      </c>
      <c r="F110" s="2">
        <v>44735</v>
      </c>
      <c r="G110" s="2">
        <v>44734</v>
      </c>
      <c r="H110">
        <v>2022</v>
      </c>
      <c r="I110">
        <v>2</v>
      </c>
      <c r="J110" t="s">
        <v>1857</v>
      </c>
    </row>
    <row r="111" spans="1:10" x14ac:dyDescent="0.25">
      <c r="A111" t="s">
        <v>1310</v>
      </c>
      <c r="B111">
        <v>23034</v>
      </c>
      <c r="C111" t="s">
        <v>1858</v>
      </c>
      <c r="D111" t="s">
        <v>1859</v>
      </c>
      <c r="E111" t="s">
        <v>1860</v>
      </c>
      <c r="F111" s="2">
        <v>45018</v>
      </c>
      <c r="G111" s="2">
        <v>45018</v>
      </c>
      <c r="H111">
        <v>2023</v>
      </c>
      <c r="I111">
        <v>2</v>
      </c>
      <c r="J111" t="s">
        <v>1861</v>
      </c>
    </row>
    <row r="112" spans="1:10" x14ac:dyDescent="0.25">
      <c r="A112" t="s">
        <v>1310</v>
      </c>
      <c r="B112">
        <v>23035</v>
      </c>
      <c r="C112" t="s">
        <v>1862</v>
      </c>
      <c r="D112" t="s">
        <v>1863</v>
      </c>
      <c r="E112" t="s">
        <v>1864</v>
      </c>
      <c r="F112" s="2">
        <v>45023</v>
      </c>
      <c r="G112" s="2">
        <v>45019</v>
      </c>
      <c r="H112">
        <v>2023</v>
      </c>
      <c r="I112">
        <v>2</v>
      </c>
      <c r="J112" t="s">
        <v>1865</v>
      </c>
    </row>
    <row r="113" spans="1:10" x14ac:dyDescent="0.25">
      <c r="A113" t="s">
        <v>1310</v>
      </c>
      <c r="B113">
        <v>23036</v>
      </c>
      <c r="C113" t="s">
        <v>1866</v>
      </c>
      <c r="D113" t="s">
        <v>1867</v>
      </c>
      <c r="E113" t="s">
        <v>1868</v>
      </c>
      <c r="F113" s="2">
        <v>45029</v>
      </c>
      <c r="G113" s="2">
        <v>45026</v>
      </c>
      <c r="H113">
        <v>2023</v>
      </c>
      <c r="I113">
        <v>2</v>
      </c>
      <c r="J113" t="s">
        <v>1869</v>
      </c>
    </row>
    <row r="114" spans="1:10" x14ac:dyDescent="0.25">
      <c r="A114" t="s">
        <v>1310</v>
      </c>
      <c r="B114">
        <v>23037</v>
      </c>
      <c r="C114" t="s">
        <v>1870</v>
      </c>
      <c r="D114" t="s">
        <v>1871</v>
      </c>
      <c r="E114" t="s">
        <v>1872</v>
      </c>
      <c r="F114" s="2">
        <v>45032</v>
      </c>
      <c r="G114" s="2">
        <v>45030</v>
      </c>
      <c r="H114">
        <v>2023</v>
      </c>
      <c r="I114">
        <v>2</v>
      </c>
      <c r="J114" t="s">
        <v>1873</v>
      </c>
    </row>
    <row r="115" spans="1:10" x14ac:dyDescent="0.25">
      <c r="A115" t="s">
        <v>1310</v>
      </c>
      <c r="B115">
        <v>23038</v>
      </c>
      <c r="C115" t="s">
        <v>1874</v>
      </c>
      <c r="D115" t="s">
        <v>1875</v>
      </c>
      <c r="E115" t="s">
        <v>1876</v>
      </c>
      <c r="F115" s="2">
        <v>45038</v>
      </c>
      <c r="G115" s="2">
        <v>45034</v>
      </c>
      <c r="H115">
        <v>2023</v>
      </c>
      <c r="I115">
        <v>2</v>
      </c>
      <c r="J115" t="s">
        <v>1877</v>
      </c>
    </row>
    <row r="116" spans="1:10" x14ac:dyDescent="0.25">
      <c r="A116" t="s">
        <v>1310</v>
      </c>
      <c r="B116">
        <v>23039</v>
      </c>
      <c r="C116" t="s">
        <v>1878</v>
      </c>
      <c r="D116" t="s">
        <v>1879</v>
      </c>
      <c r="E116" t="s">
        <v>1880</v>
      </c>
      <c r="F116" s="2">
        <v>45043</v>
      </c>
      <c r="G116" s="2">
        <v>45039</v>
      </c>
      <c r="H116">
        <v>2023</v>
      </c>
      <c r="I116">
        <v>2</v>
      </c>
      <c r="J116" t="s">
        <v>1881</v>
      </c>
    </row>
    <row r="117" spans="1:10" x14ac:dyDescent="0.25">
      <c r="A117" t="s">
        <v>1310</v>
      </c>
      <c r="B117">
        <v>23040</v>
      </c>
      <c r="C117" t="s">
        <v>1882</v>
      </c>
      <c r="D117" t="s">
        <v>1883</v>
      </c>
      <c r="E117" t="s">
        <v>1884</v>
      </c>
      <c r="F117" s="2">
        <v>45047</v>
      </c>
      <c r="G117" s="2">
        <v>45044</v>
      </c>
      <c r="H117">
        <v>2023</v>
      </c>
      <c r="I117">
        <v>2</v>
      </c>
      <c r="J117" t="s">
        <v>1885</v>
      </c>
    </row>
    <row r="118" spans="1:10" x14ac:dyDescent="0.25">
      <c r="A118" t="s">
        <v>1310</v>
      </c>
      <c r="B118">
        <v>23041</v>
      </c>
      <c r="C118" t="s">
        <v>1886</v>
      </c>
      <c r="D118" t="s">
        <v>1887</v>
      </c>
      <c r="E118" t="s">
        <v>1888</v>
      </c>
      <c r="F118" s="2">
        <v>45055</v>
      </c>
      <c r="G118" s="2">
        <v>45048</v>
      </c>
      <c r="H118">
        <v>2023</v>
      </c>
      <c r="I118">
        <v>2</v>
      </c>
      <c r="J118" t="s">
        <v>1889</v>
      </c>
    </row>
    <row r="119" spans="1:10" x14ac:dyDescent="0.25">
      <c r="A119" t="s">
        <v>1310</v>
      </c>
      <c r="B119">
        <v>23043</v>
      </c>
      <c r="C119" t="s">
        <v>1890</v>
      </c>
      <c r="D119" t="s">
        <v>1891</v>
      </c>
      <c r="E119" t="s">
        <v>1892</v>
      </c>
      <c r="F119" s="2">
        <v>45066</v>
      </c>
      <c r="G119" s="2">
        <v>45063</v>
      </c>
      <c r="H119">
        <v>2023</v>
      </c>
      <c r="I119">
        <v>2</v>
      </c>
      <c r="J119" t="s">
        <v>1893</v>
      </c>
    </row>
    <row r="120" spans="1:10" x14ac:dyDescent="0.25">
      <c r="A120" t="s">
        <v>1310</v>
      </c>
      <c r="B120">
        <v>23042</v>
      </c>
      <c r="C120" t="s">
        <v>1894</v>
      </c>
      <c r="D120" t="s">
        <v>1895</v>
      </c>
      <c r="E120" t="s">
        <v>1896</v>
      </c>
      <c r="F120" s="2">
        <v>45062</v>
      </c>
      <c r="G120" s="2">
        <v>45055</v>
      </c>
      <c r="H120">
        <v>2023</v>
      </c>
      <c r="I120">
        <v>2</v>
      </c>
      <c r="J120" t="s">
        <v>1897</v>
      </c>
    </row>
    <row r="121" spans="1:10" x14ac:dyDescent="0.25">
      <c r="A121" t="s">
        <v>1310</v>
      </c>
      <c r="B121">
        <v>23044</v>
      </c>
      <c r="C121" t="s">
        <v>1898</v>
      </c>
      <c r="D121" t="s">
        <v>1899</v>
      </c>
      <c r="E121" t="s">
        <v>1900</v>
      </c>
      <c r="F121" s="2">
        <v>45072</v>
      </c>
      <c r="G121" s="2">
        <v>45068</v>
      </c>
      <c r="H121">
        <v>2023</v>
      </c>
      <c r="I121">
        <v>2</v>
      </c>
      <c r="J121" t="s">
        <v>1901</v>
      </c>
    </row>
    <row r="122" spans="1:10" x14ac:dyDescent="0.25">
      <c r="A122" t="s">
        <v>1310</v>
      </c>
      <c r="B122">
        <v>23046</v>
      </c>
      <c r="C122" t="s">
        <v>1902</v>
      </c>
      <c r="D122" t="s">
        <v>1903</v>
      </c>
      <c r="E122" t="s">
        <v>1904</v>
      </c>
      <c r="F122" s="2">
        <v>45081</v>
      </c>
      <c r="G122" s="2">
        <v>45077</v>
      </c>
      <c r="H122">
        <v>2023</v>
      </c>
      <c r="I122">
        <v>2</v>
      </c>
      <c r="J122" t="s">
        <v>1905</v>
      </c>
    </row>
    <row r="123" spans="1:10" x14ac:dyDescent="0.25">
      <c r="A123" t="s">
        <v>1310</v>
      </c>
      <c r="B123">
        <v>23047</v>
      </c>
      <c r="C123" t="s">
        <v>1906</v>
      </c>
      <c r="D123" t="s">
        <v>1907</v>
      </c>
      <c r="E123" t="s">
        <v>1908</v>
      </c>
      <c r="F123" s="2">
        <v>45085</v>
      </c>
      <c r="G123" s="2">
        <v>45082</v>
      </c>
      <c r="H123">
        <v>2023</v>
      </c>
      <c r="I123">
        <v>2</v>
      </c>
      <c r="J123" t="s">
        <v>1909</v>
      </c>
    </row>
    <row r="124" spans="1:10" x14ac:dyDescent="0.25">
      <c r="A124" t="s">
        <v>1310</v>
      </c>
      <c r="B124">
        <v>23048</v>
      </c>
      <c r="C124" t="s">
        <v>1910</v>
      </c>
      <c r="D124" t="s">
        <v>1911</v>
      </c>
      <c r="E124" t="s">
        <v>1912</v>
      </c>
      <c r="F124" s="2">
        <v>45091</v>
      </c>
      <c r="G124" s="2">
        <v>45086</v>
      </c>
      <c r="H124">
        <v>2023</v>
      </c>
      <c r="I124">
        <v>2</v>
      </c>
      <c r="J124" t="s">
        <v>1913</v>
      </c>
    </row>
    <row r="125" spans="1:10" x14ac:dyDescent="0.25">
      <c r="A125" t="s">
        <v>1310</v>
      </c>
      <c r="B125">
        <v>23049</v>
      </c>
      <c r="C125" t="s">
        <v>1914</v>
      </c>
      <c r="D125" t="s">
        <v>1915</v>
      </c>
      <c r="E125" t="s">
        <v>1916</v>
      </c>
      <c r="F125" s="2">
        <v>45097</v>
      </c>
      <c r="G125" s="2">
        <v>45092</v>
      </c>
      <c r="H125">
        <v>2023</v>
      </c>
      <c r="I125">
        <v>2</v>
      </c>
      <c r="J125" t="s">
        <v>1917</v>
      </c>
    </row>
    <row r="126" spans="1:10" x14ac:dyDescent="0.25">
      <c r="A126" t="s">
        <v>1310</v>
      </c>
      <c r="B126">
        <v>23050</v>
      </c>
      <c r="C126" t="s">
        <v>1918</v>
      </c>
      <c r="D126" t="s">
        <v>1919</v>
      </c>
      <c r="E126" t="s">
        <v>1920</v>
      </c>
      <c r="F126" s="2">
        <v>45093</v>
      </c>
      <c r="G126" s="2">
        <v>45092</v>
      </c>
      <c r="H126">
        <v>2023</v>
      </c>
      <c r="I126">
        <v>2</v>
      </c>
      <c r="J126" t="s">
        <v>1921</v>
      </c>
    </row>
    <row r="127" spans="1:10" x14ac:dyDescent="0.25">
      <c r="A127" t="s">
        <v>1310</v>
      </c>
      <c r="B127">
        <v>23051</v>
      </c>
      <c r="C127" t="s">
        <v>1922</v>
      </c>
      <c r="D127" t="s">
        <v>1923</v>
      </c>
      <c r="E127" t="s">
        <v>1924</v>
      </c>
      <c r="F127" s="2">
        <v>45104</v>
      </c>
      <c r="G127" s="2">
        <v>45098</v>
      </c>
      <c r="H127">
        <v>2023</v>
      </c>
      <c r="I127">
        <v>2</v>
      </c>
      <c r="J127" t="s">
        <v>1925</v>
      </c>
    </row>
    <row r="128" spans="1:10" x14ac:dyDescent="0.25">
      <c r="A128" t="s">
        <v>1310</v>
      </c>
      <c r="B128">
        <v>17040</v>
      </c>
      <c r="C128" t="s">
        <v>1926</v>
      </c>
      <c r="D128" t="s">
        <v>1927</v>
      </c>
      <c r="E128" t="s">
        <v>1928</v>
      </c>
      <c r="F128" s="2">
        <v>42928</v>
      </c>
      <c r="G128" s="2">
        <v>42927</v>
      </c>
      <c r="H128">
        <v>2017</v>
      </c>
      <c r="I128">
        <v>3</v>
      </c>
      <c r="J128" t="s">
        <v>1929</v>
      </c>
    </row>
    <row r="129" spans="1:10" x14ac:dyDescent="0.25">
      <c r="A129" t="s">
        <v>1310</v>
      </c>
      <c r="B129">
        <v>17041</v>
      </c>
      <c r="C129" t="s">
        <v>1930</v>
      </c>
      <c r="D129" t="s">
        <v>1931</v>
      </c>
      <c r="E129" t="s">
        <v>1932</v>
      </c>
      <c r="F129" s="2">
        <v>42939</v>
      </c>
      <c r="G129" s="2">
        <v>42937</v>
      </c>
      <c r="H129">
        <v>2017</v>
      </c>
      <c r="I129">
        <v>3</v>
      </c>
      <c r="J129" t="s">
        <v>1933</v>
      </c>
    </row>
    <row r="130" spans="1:10" x14ac:dyDescent="0.25">
      <c r="A130" t="s">
        <v>1310</v>
      </c>
      <c r="B130">
        <v>17042</v>
      </c>
      <c r="C130" t="s">
        <v>1934</v>
      </c>
      <c r="D130" t="s">
        <v>1935</v>
      </c>
      <c r="E130" t="s">
        <v>1936</v>
      </c>
      <c r="F130" s="2">
        <v>42955</v>
      </c>
      <c r="G130" s="2">
        <v>42952</v>
      </c>
      <c r="H130">
        <v>2017</v>
      </c>
      <c r="I130">
        <v>3</v>
      </c>
      <c r="J130" t="s">
        <v>1937</v>
      </c>
    </row>
    <row r="131" spans="1:10" x14ac:dyDescent="0.25">
      <c r="A131" t="s">
        <v>1310</v>
      </c>
      <c r="B131">
        <v>17276</v>
      </c>
      <c r="C131" t="s">
        <v>1938</v>
      </c>
      <c r="D131" t="s">
        <v>1939</v>
      </c>
      <c r="E131" t="s">
        <v>1940</v>
      </c>
      <c r="F131" s="2">
        <v>42932</v>
      </c>
      <c r="G131" s="2">
        <v>42931</v>
      </c>
      <c r="H131">
        <v>2017</v>
      </c>
      <c r="I131">
        <v>3</v>
      </c>
      <c r="J131" t="s">
        <v>1941</v>
      </c>
    </row>
    <row r="132" spans="1:10" x14ac:dyDescent="0.25">
      <c r="A132" t="s">
        <v>1310</v>
      </c>
      <c r="B132">
        <v>18039</v>
      </c>
      <c r="C132" t="s">
        <v>1942</v>
      </c>
      <c r="D132" t="s">
        <v>1943</v>
      </c>
      <c r="E132" t="s">
        <v>1944</v>
      </c>
      <c r="F132" s="2">
        <v>43291</v>
      </c>
      <c r="G132" s="2">
        <v>43289</v>
      </c>
      <c r="H132">
        <v>2018</v>
      </c>
      <c r="I132">
        <v>3</v>
      </c>
      <c r="J132" t="s">
        <v>1945</v>
      </c>
    </row>
    <row r="133" spans="1:10" x14ac:dyDescent="0.25">
      <c r="A133" t="s">
        <v>1310</v>
      </c>
      <c r="B133">
        <v>18040</v>
      </c>
      <c r="C133" t="s">
        <v>1946</v>
      </c>
      <c r="D133" t="s">
        <v>1947</v>
      </c>
      <c r="E133" t="s">
        <v>1948</v>
      </c>
      <c r="F133" s="2">
        <v>43303</v>
      </c>
      <c r="G133" s="2">
        <v>43300</v>
      </c>
      <c r="H133">
        <v>2018</v>
      </c>
      <c r="I133">
        <v>3</v>
      </c>
      <c r="J133" t="s">
        <v>1949</v>
      </c>
    </row>
    <row r="134" spans="1:10" x14ac:dyDescent="0.25">
      <c r="A134" t="s">
        <v>1310</v>
      </c>
      <c r="B134">
        <v>18041</v>
      </c>
      <c r="C134" t="s">
        <v>1950</v>
      </c>
      <c r="D134" t="s">
        <v>1951</v>
      </c>
      <c r="E134" t="s">
        <v>1952</v>
      </c>
      <c r="F134" s="2">
        <v>43307</v>
      </c>
      <c r="G134" s="2">
        <v>43302</v>
      </c>
      <c r="H134">
        <v>2018</v>
      </c>
      <c r="I134">
        <v>3</v>
      </c>
      <c r="J134" t="s">
        <v>1953</v>
      </c>
    </row>
    <row r="135" spans="1:10" x14ac:dyDescent="0.25">
      <c r="A135" t="s">
        <v>1310</v>
      </c>
      <c r="B135">
        <v>18042</v>
      </c>
      <c r="C135" t="s">
        <v>1954</v>
      </c>
      <c r="D135" t="s">
        <v>1955</v>
      </c>
      <c r="E135" t="s">
        <v>1956</v>
      </c>
      <c r="F135" s="2">
        <v>43305</v>
      </c>
      <c r="G135" s="2">
        <v>43303</v>
      </c>
      <c r="H135">
        <v>2018</v>
      </c>
      <c r="I135">
        <v>3</v>
      </c>
      <c r="J135" t="s">
        <v>1957</v>
      </c>
    </row>
    <row r="136" spans="1:10" x14ac:dyDescent="0.25">
      <c r="A136" t="s">
        <v>1310</v>
      </c>
      <c r="B136">
        <v>18044</v>
      </c>
      <c r="C136" t="s">
        <v>1958</v>
      </c>
      <c r="D136" t="s">
        <v>1959</v>
      </c>
      <c r="E136" t="s">
        <v>1960</v>
      </c>
      <c r="F136" s="2">
        <v>43310</v>
      </c>
      <c r="G136" s="2">
        <v>43307</v>
      </c>
      <c r="H136">
        <v>2018</v>
      </c>
      <c r="I136">
        <v>3</v>
      </c>
      <c r="J136" t="s">
        <v>1961</v>
      </c>
    </row>
    <row r="137" spans="1:10" x14ac:dyDescent="0.25">
      <c r="A137" t="s">
        <v>1310</v>
      </c>
      <c r="B137">
        <v>18045</v>
      </c>
      <c r="C137" t="s">
        <v>1962</v>
      </c>
      <c r="D137" t="s">
        <v>1963</v>
      </c>
      <c r="E137" t="s">
        <v>1964</v>
      </c>
      <c r="F137" s="2">
        <v>43312</v>
      </c>
      <c r="G137" s="2">
        <v>43311</v>
      </c>
      <c r="H137">
        <v>2018</v>
      </c>
      <c r="I137">
        <v>3</v>
      </c>
      <c r="J137" t="s">
        <v>1965</v>
      </c>
    </row>
    <row r="138" spans="1:10" x14ac:dyDescent="0.25">
      <c r="A138" t="s">
        <v>1310</v>
      </c>
      <c r="B138">
        <v>18047</v>
      </c>
      <c r="C138" t="s">
        <v>1966</v>
      </c>
      <c r="D138" t="s">
        <v>1967</v>
      </c>
      <c r="E138" t="s">
        <v>1968</v>
      </c>
      <c r="F138" s="2">
        <v>43319</v>
      </c>
      <c r="G138" s="2">
        <v>43318</v>
      </c>
      <c r="H138">
        <v>2018</v>
      </c>
      <c r="I138">
        <v>3</v>
      </c>
      <c r="J138" t="s">
        <v>1969</v>
      </c>
    </row>
    <row r="139" spans="1:10" x14ac:dyDescent="0.25">
      <c r="A139" t="s">
        <v>1310</v>
      </c>
      <c r="B139">
        <v>18048</v>
      </c>
      <c r="C139" t="s">
        <v>1970</v>
      </c>
      <c r="D139" t="s">
        <v>1971</v>
      </c>
      <c r="E139" t="s">
        <v>1972</v>
      </c>
      <c r="F139" s="2">
        <v>43326</v>
      </c>
      <c r="G139" s="2">
        <v>43323</v>
      </c>
      <c r="H139">
        <v>2018</v>
      </c>
      <c r="I139">
        <v>3</v>
      </c>
      <c r="J139" t="s">
        <v>1973</v>
      </c>
    </row>
    <row r="140" spans="1:10" x14ac:dyDescent="0.25">
      <c r="A140" t="s">
        <v>1310</v>
      </c>
      <c r="B140">
        <v>18050</v>
      </c>
      <c r="C140" t="s">
        <v>1974</v>
      </c>
      <c r="D140" t="s">
        <v>1975</v>
      </c>
      <c r="E140" t="s">
        <v>1976</v>
      </c>
      <c r="F140" s="2">
        <v>43340</v>
      </c>
      <c r="G140" s="2">
        <v>43339</v>
      </c>
      <c r="H140">
        <v>2018</v>
      </c>
      <c r="I140">
        <v>3</v>
      </c>
      <c r="J140" t="s">
        <v>1977</v>
      </c>
    </row>
    <row r="141" spans="1:10" x14ac:dyDescent="0.25">
      <c r="A141" t="s">
        <v>1310</v>
      </c>
      <c r="B141">
        <v>18054</v>
      </c>
      <c r="C141" t="s">
        <v>1978</v>
      </c>
      <c r="D141" t="s">
        <v>1979</v>
      </c>
      <c r="E141" t="s">
        <v>1980</v>
      </c>
      <c r="F141" s="2">
        <v>43364</v>
      </c>
      <c r="G141" s="2">
        <v>43363</v>
      </c>
      <c r="H141">
        <v>2018</v>
      </c>
      <c r="I141">
        <v>3</v>
      </c>
      <c r="J141" t="s">
        <v>1981</v>
      </c>
    </row>
    <row r="142" spans="1:10" x14ac:dyDescent="0.25">
      <c r="A142" t="s">
        <v>1310</v>
      </c>
      <c r="B142">
        <v>18055</v>
      </c>
      <c r="C142" t="s">
        <v>1982</v>
      </c>
      <c r="D142" t="s">
        <v>1983</v>
      </c>
      <c r="E142" t="s">
        <v>1984</v>
      </c>
      <c r="F142" s="2">
        <v>43367</v>
      </c>
      <c r="G142" s="2">
        <v>43364</v>
      </c>
      <c r="H142">
        <v>2018</v>
      </c>
      <c r="I142">
        <v>3</v>
      </c>
      <c r="J142" t="s">
        <v>1985</v>
      </c>
    </row>
    <row r="143" spans="1:10" x14ac:dyDescent="0.25">
      <c r="A143" t="s">
        <v>1310</v>
      </c>
      <c r="B143">
        <v>18056</v>
      </c>
      <c r="C143" t="s">
        <v>1986</v>
      </c>
      <c r="D143" t="s">
        <v>1987</v>
      </c>
      <c r="E143" t="s">
        <v>1988</v>
      </c>
      <c r="F143" s="2">
        <v>43369</v>
      </c>
      <c r="G143" s="2">
        <v>43368</v>
      </c>
      <c r="H143">
        <v>2018</v>
      </c>
      <c r="I143">
        <v>3</v>
      </c>
      <c r="J143" t="s">
        <v>1989</v>
      </c>
    </row>
    <row r="144" spans="1:10" x14ac:dyDescent="0.25">
      <c r="A144" t="s">
        <v>1310</v>
      </c>
      <c r="B144">
        <v>18307</v>
      </c>
      <c r="C144" t="s">
        <v>1990</v>
      </c>
      <c r="D144" t="s">
        <v>1991</v>
      </c>
      <c r="E144" t="s">
        <v>1960</v>
      </c>
      <c r="F144" s="2">
        <v>43310</v>
      </c>
      <c r="G144" s="2">
        <v>43310</v>
      </c>
      <c r="H144">
        <v>2018</v>
      </c>
      <c r="I144">
        <v>3</v>
      </c>
      <c r="J144" t="s">
        <v>1992</v>
      </c>
    </row>
    <row r="145" spans="1:10" x14ac:dyDescent="0.25">
      <c r="A145" t="s">
        <v>1310</v>
      </c>
      <c r="B145">
        <v>18310</v>
      </c>
      <c r="C145" t="s">
        <v>1993</v>
      </c>
      <c r="D145" t="s">
        <v>1971</v>
      </c>
      <c r="E145" t="s">
        <v>1994</v>
      </c>
      <c r="F145" s="2">
        <v>43323</v>
      </c>
      <c r="G145" s="2">
        <v>43323</v>
      </c>
      <c r="H145">
        <v>2018</v>
      </c>
      <c r="I145">
        <v>3</v>
      </c>
      <c r="J145" t="s">
        <v>1995</v>
      </c>
    </row>
    <row r="146" spans="1:10" x14ac:dyDescent="0.25">
      <c r="A146" t="s">
        <v>1310</v>
      </c>
      <c r="B146">
        <v>19040</v>
      </c>
      <c r="C146" t="s">
        <v>1996</v>
      </c>
      <c r="D146" t="s">
        <v>1997</v>
      </c>
      <c r="E146" t="s">
        <v>1998</v>
      </c>
      <c r="F146" s="2">
        <v>43651</v>
      </c>
      <c r="G146" s="2">
        <v>43650</v>
      </c>
      <c r="H146">
        <v>2019</v>
      </c>
      <c r="I146">
        <v>3</v>
      </c>
      <c r="J146" t="s">
        <v>1999</v>
      </c>
    </row>
    <row r="147" spans="1:10" x14ac:dyDescent="0.25">
      <c r="A147" t="s">
        <v>1310</v>
      </c>
      <c r="B147">
        <v>19042</v>
      </c>
      <c r="C147" t="s">
        <v>2000</v>
      </c>
      <c r="D147" t="s">
        <v>2001</v>
      </c>
      <c r="E147" t="s">
        <v>2002</v>
      </c>
      <c r="F147" s="2">
        <v>43654</v>
      </c>
      <c r="G147" s="2">
        <v>43653</v>
      </c>
      <c r="H147">
        <v>2019</v>
      </c>
      <c r="I147">
        <v>3</v>
      </c>
      <c r="J147" t="s">
        <v>2003</v>
      </c>
    </row>
    <row r="148" spans="1:10" x14ac:dyDescent="0.25">
      <c r="A148" t="s">
        <v>1310</v>
      </c>
      <c r="B148">
        <v>19044</v>
      </c>
      <c r="C148" t="s">
        <v>2004</v>
      </c>
      <c r="D148" t="s">
        <v>2005</v>
      </c>
      <c r="E148" t="s">
        <v>2006</v>
      </c>
      <c r="F148" s="2">
        <v>43664</v>
      </c>
      <c r="G148" s="2">
        <v>43663</v>
      </c>
      <c r="H148">
        <v>2019</v>
      </c>
      <c r="I148">
        <v>3</v>
      </c>
      <c r="J148" t="s">
        <v>2007</v>
      </c>
    </row>
    <row r="149" spans="1:10" x14ac:dyDescent="0.25">
      <c r="A149" t="s">
        <v>1310</v>
      </c>
      <c r="B149">
        <v>19045</v>
      </c>
      <c r="C149" t="s">
        <v>2008</v>
      </c>
      <c r="D149" t="s">
        <v>2009</v>
      </c>
      <c r="E149" t="s">
        <v>2010</v>
      </c>
      <c r="F149" s="2">
        <v>43669</v>
      </c>
      <c r="G149" s="2">
        <v>43665</v>
      </c>
      <c r="H149">
        <v>2019</v>
      </c>
      <c r="I149">
        <v>3</v>
      </c>
      <c r="J149" t="s">
        <v>2011</v>
      </c>
    </row>
    <row r="150" spans="1:10" x14ac:dyDescent="0.25">
      <c r="A150" t="s">
        <v>1310</v>
      </c>
      <c r="B150">
        <v>19046</v>
      </c>
      <c r="C150" t="s">
        <v>2012</v>
      </c>
      <c r="D150" t="s">
        <v>2013</v>
      </c>
      <c r="E150" t="s">
        <v>2014</v>
      </c>
      <c r="F150" s="2">
        <v>43673</v>
      </c>
      <c r="G150" s="2">
        <v>43672</v>
      </c>
      <c r="H150">
        <v>2019</v>
      </c>
      <c r="I150">
        <v>3</v>
      </c>
      <c r="J150" t="s">
        <v>2015</v>
      </c>
    </row>
    <row r="151" spans="1:10" x14ac:dyDescent="0.25">
      <c r="A151" t="s">
        <v>1310</v>
      </c>
      <c r="B151">
        <v>19047</v>
      </c>
      <c r="C151" t="s">
        <v>2016</v>
      </c>
      <c r="D151" t="s">
        <v>2017</v>
      </c>
      <c r="E151" t="s">
        <v>2018</v>
      </c>
      <c r="F151" s="2">
        <v>43682</v>
      </c>
      <c r="G151" s="2">
        <v>43681</v>
      </c>
      <c r="H151">
        <v>2019</v>
      </c>
      <c r="I151">
        <v>3</v>
      </c>
      <c r="J151" t="s">
        <v>2019</v>
      </c>
    </row>
    <row r="152" spans="1:10" x14ac:dyDescent="0.25">
      <c r="A152" t="s">
        <v>1310</v>
      </c>
      <c r="B152">
        <v>19048</v>
      </c>
      <c r="C152" t="s">
        <v>2020</v>
      </c>
      <c r="D152" t="s">
        <v>2021</v>
      </c>
      <c r="E152" t="s">
        <v>2022</v>
      </c>
      <c r="F152" s="2">
        <v>43683</v>
      </c>
      <c r="G152" s="2">
        <v>43683</v>
      </c>
      <c r="H152">
        <v>2019</v>
      </c>
      <c r="I152">
        <v>3</v>
      </c>
      <c r="J152" t="s">
        <v>2023</v>
      </c>
    </row>
    <row r="153" spans="1:10" x14ac:dyDescent="0.25">
      <c r="A153" t="s">
        <v>1310</v>
      </c>
      <c r="B153">
        <v>19049</v>
      </c>
      <c r="C153" t="s">
        <v>2024</v>
      </c>
      <c r="D153" t="s">
        <v>2025</v>
      </c>
      <c r="E153" t="s">
        <v>2026</v>
      </c>
      <c r="F153" s="2">
        <v>43688</v>
      </c>
      <c r="G153" s="2">
        <v>43687</v>
      </c>
      <c r="H153">
        <v>2019</v>
      </c>
      <c r="I153">
        <v>3</v>
      </c>
      <c r="J153" t="s">
        <v>2027</v>
      </c>
    </row>
    <row r="154" spans="1:10" x14ac:dyDescent="0.25">
      <c r="A154" t="s">
        <v>1310</v>
      </c>
      <c r="B154">
        <v>19050</v>
      </c>
      <c r="C154" t="s">
        <v>2028</v>
      </c>
      <c r="D154" t="s">
        <v>2029</v>
      </c>
      <c r="E154" t="s">
        <v>2030</v>
      </c>
      <c r="F154" s="2">
        <v>43693</v>
      </c>
      <c r="G154" s="2">
        <v>43691</v>
      </c>
      <c r="H154">
        <v>2019</v>
      </c>
      <c r="I154">
        <v>3</v>
      </c>
      <c r="J154" t="s">
        <v>2031</v>
      </c>
    </row>
    <row r="155" spans="1:10" x14ac:dyDescent="0.25">
      <c r="A155" t="s">
        <v>1310</v>
      </c>
      <c r="B155">
        <v>19051</v>
      </c>
      <c r="C155" t="s">
        <v>2032</v>
      </c>
      <c r="D155" t="s">
        <v>2033</v>
      </c>
      <c r="E155" t="s">
        <v>2034</v>
      </c>
      <c r="F155" s="2">
        <v>43695</v>
      </c>
      <c r="G155" s="2">
        <v>43694</v>
      </c>
      <c r="H155">
        <v>2019</v>
      </c>
      <c r="I155">
        <v>3</v>
      </c>
      <c r="J155" t="s">
        <v>2035</v>
      </c>
    </row>
    <row r="156" spans="1:10" x14ac:dyDescent="0.25">
      <c r="A156" t="s">
        <v>1310</v>
      </c>
      <c r="B156">
        <v>19052</v>
      </c>
      <c r="C156" t="s">
        <v>2036</v>
      </c>
      <c r="D156" t="s">
        <v>2037</v>
      </c>
      <c r="E156" t="s">
        <v>2038</v>
      </c>
      <c r="F156" s="2">
        <v>43703</v>
      </c>
      <c r="G156" s="2">
        <v>43702</v>
      </c>
      <c r="H156">
        <v>2019</v>
      </c>
      <c r="I156">
        <v>3</v>
      </c>
      <c r="J156" t="s">
        <v>2039</v>
      </c>
    </row>
    <row r="157" spans="1:10" x14ac:dyDescent="0.25">
      <c r="A157" t="s">
        <v>1310</v>
      </c>
      <c r="B157">
        <v>19055</v>
      </c>
      <c r="C157" t="s">
        <v>2040</v>
      </c>
      <c r="D157" t="s">
        <v>2041</v>
      </c>
      <c r="E157" t="s">
        <v>2042</v>
      </c>
      <c r="F157" s="2">
        <v>43719</v>
      </c>
      <c r="G157" s="2">
        <v>43718</v>
      </c>
      <c r="H157">
        <v>2019</v>
      </c>
      <c r="I157">
        <v>3</v>
      </c>
      <c r="J157" t="s">
        <v>2043</v>
      </c>
    </row>
    <row r="158" spans="1:10" x14ac:dyDescent="0.25">
      <c r="A158" t="s">
        <v>1310</v>
      </c>
      <c r="B158">
        <v>19057</v>
      </c>
      <c r="C158" t="s">
        <v>2044</v>
      </c>
      <c r="D158" t="s">
        <v>2045</v>
      </c>
      <c r="E158" t="s">
        <v>2046</v>
      </c>
      <c r="F158" s="2">
        <v>43736</v>
      </c>
      <c r="G158" s="2">
        <v>43735</v>
      </c>
      <c r="H158">
        <v>2019</v>
      </c>
      <c r="I158">
        <v>3</v>
      </c>
      <c r="J158" t="s">
        <v>2047</v>
      </c>
    </row>
    <row r="159" spans="1:10" x14ac:dyDescent="0.25">
      <c r="A159" t="s">
        <v>1310</v>
      </c>
      <c r="B159">
        <v>20039</v>
      </c>
      <c r="C159" t="s">
        <v>2048</v>
      </c>
      <c r="D159" t="s">
        <v>2049</v>
      </c>
      <c r="E159" t="s">
        <v>2050</v>
      </c>
      <c r="F159" s="2">
        <v>44019</v>
      </c>
      <c r="G159" s="2">
        <v>44017</v>
      </c>
      <c r="H159">
        <v>2020</v>
      </c>
      <c r="I159">
        <v>3</v>
      </c>
      <c r="J159" t="s">
        <v>2051</v>
      </c>
    </row>
    <row r="160" spans="1:10" x14ac:dyDescent="0.25">
      <c r="A160" t="s">
        <v>1310</v>
      </c>
      <c r="B160">
        <v>20040</v>
      </c>
      <c r="C160" t="s">
        <v>2052</v>
      </c>
      <c r="D160" t="s">
        <v>2053</v>
      </c>
      <c r="E160" t="s">
        <v>2054</v>
      </c>
      <c r="F160" s="2">
        <v>44024</v>
      </c>
      <c r="G160" s="2">
        <v>44022</v>
      </c>
      <c r="H160">
        <v>2020</v>
      </c>
      <c r="I160">
        <v>3</v>
      </c>
      <c r="J160" t="s">
        <v>2055</v>
      </c>
    </row>
    <row r="161" spans="1:10" x14ac:dyDescent="0.25">
      <c r="A161" t="s">
        <v>1310</v>
      </c>
      <c r="B161">
        <v>20042</v>
      </c>
      <c r="C161" t="s">
        <v>2056</v>
      </c>
      <c r="D161" t="s">
        <v>2057</v>
      </c>
      <c r="E161" t="s">
        <v>2058</v>
      </c>
      <c r="F161" s="2">
        <v>44031</v>
      </c>
      <c r="G161" s="2">
        <v>44029</v>
      </c>
      <c r="H161">
        <v>2020</v>
      </c>
      <c r="I161">
        <v>3</v>
      </c>
      <c r="J161" t="s">
        <v>2059</v>
      </c>
    </row>
    <row r="162" spans="1:10" x14ac:dyDescent="0.25">
      <c r="A162" t="s">
        <v>1310</v>
      </c>
      <c r="B162">
        <v>20045</v>
      </c>
      <c r="C162" t="s">
        <v>2060</v>
      </c>
      <c r="D162" t="s">
        <v>2061</v>
      </c>
      <c r="E162" t="s">
        <v>2062</v>
      </c>
      <c r="F162" s="2">
        <v>44048</v>
      </c>
      <c r="G162" s="2">
        <v>44047</v>
      </c>
      <c r="H162">
        <v>2020</v>
      </c>
      <c r="I162">
        <v>3</v>
      </c>
      <c r="J162" t="s">
        <v>2063</v>
      </c>
    </row>
    <row r="163" spans="1:10" x14ac:dyDescent="0.25">
      <c r="A163" t="s">
        <v>1310</v>
      </c>
      <c r="B163">
        <v>20046</v>
      </c>
      <c r="C163" t="s">
        <v>2064</v>
      </c>
      <c r="D163" t="s">
        <v>2065</v>
      </c>
      <c r="E163" t="s">
        <v>2066</v>
      </c>
      <c r="F163" s="2">
        <v>44054</v>
      </c>
      <c r="G163" s="2">
        <v>44051</v>
      </c>
      <c r="H163">
        <v>2020</v>
      </c>
      <c r="I163">
        <v>3</v>
      </c>
      <c r="J163" t="s">
        <v>2067</v>
      </c>
    </row>
    <row r="164" spans="1:10" x14ac:dyDescent="0.25">
      <c r="A164" t="s">
        <v>1310</v>
      </c>
      <c r="B164">
        <v>20047</v>
      </c>
      <c r="C164" t="s">
        <v>2068</v>
      </c>
      <c r="D164" t="s">
        <v>2069</v>
      </c>
      <c r="E164" t="s">
        <v>2070</v>
      </c>
      <c r="F164" s="2">
        <v>44060</v>
      </c>
      <c r="G164" s="2">
        <v>44056</v>
      </c>
      <c r="H164">
        <v>2020</v>
      </c>
      <c r="I164">
        <v>3</v>
      </c>
      <c r="J164" t="s">
        <v>2071</v>
      </c>
    </row>
    <row r="165" spans="1:10" x14ac:dyDescent="0.25">
      <c r="A165" t="s">
        <v>1310</v>
      </c>
      <c r="B165">
        <v>20052</v>
      </c>
      <c r="C165" t="s">
        <v>2072</v>
      </c>
      <c r="D165" t="s">
        <v>2073</v>
      </c>
      <c r="E165" t="s">
        <v>2074</v>
      </c>
      <c r="F165" s="2">
        <v>44071</v>
      </c>
      <c r="G165" s="2">
        <v>44069</v>
      </c>
      <c r="H165">
        <v>2020</v>
      </c>
      <c r="I165">
        <v>3</v>
      </c>
      <c r="J165" t="s">
        <v>2075</v>
      </c>
    </row>
    <row r="166" spans="1:10" x14ac:dyDescent="0.25">
      <c r="A166" t="s">
        <v>1310</v>
      </c>
      <c r="B166">
        <v>20053</v>
      </c>
      <c r="C166" t="s">
        <v>2076</v>
      </c>
      <c r="D166" t="s">
        <v>2077</v>
      </c>
      <c r="E166" t="s">
        <v>2078</v>
      </c>
      <c r="F166" s="2">
        <v>-619966</v>
      </c>
      <c r="G166" s="2">
        <v>2667216</v>
      </c>
      <c r="H166">
        <v>202</v>
      </c>
      <c r="I166">
        <v>3</v>
      </c>
      <c r="J166" t="s">
        <v>2079</v>
      </c>
    </row>
    <row r="167" spans="1:10" x14ac:dyDescent="0.25">
      <c r="A167" t="s">
        <v>1310</v>
      </c>
      <c r="B167">
        <v>20055</v>
      </c>
      <c r="C167" t="s">
        <v>2080</v>
      </c>
      <c r="D167" t="s">
        <v>2081</v>
      </c>
      <c r="E167" t="s">
        <v>2082</v>
      </c>
      <c r="F167" s="2">
        <v>44080</v>
      </c>
      <c r="G167" s="2">
        <v>44079</v>
      </c>
      <c r="H167">
        <v>2020</v>
      </c>
      <c r="I167">
        <v>3</v>
      </c>
      <c r="J167" t="s">
        <v>2083</v>
      </c>
    </row>
    <row r="168" spans="1:10" x14ac:dyDescent="0.25">
      <c r="A168" t="s">
        <v>1310</v>
      </c>
      <c r="B168">
        <v>20057</v>
      </c>
      <c r="C168" t="s">
        <v>2084</v>
      </c>
      <c r="D168" t="s">
        <v>2085</v>
      </c>
      <c r="E168" t="s">
        <v>2086</v>
      </c>
      <c r="F168" s="2">
        <v>44083</v>
      </c>
      <c r="G168" s="2">
        <v>44081</v>
      </c>
      <c r="H168">
        <v>2020</v>
      </c>
      <c r="I168">
        <v>3</v>
      </c>
      <c r="J168" t="s">
        <v>2087</v>
      </c>
    </row>
    <row r="169" spans="1:10" x14ac:dyDescent="0.25">
      <c r="A169" t="s">
        <v>1310</v>
      </c>
      <c r="B169">
        <v>21042</v>
      </c>
      <c r="C169" t="s">
        <v>2088</v>
      </c>
      <c r="D169" t="s">
        <v>2089</v>
      </c>
      <c r="E169" t="s">
        <v>2090</v>
      </c>
      <c r="F169" s="2">
        <v>44387</v>
      </c>
      <c r="G169" s="2">
        <v>44385</v>
      </c>
      <c r="H169">
        <v>2021</v>
      </c>
      <c r="I169">
        <v>3</v>
      </c>
      <c r="J169" t="s">
        <v>2091</v>
      </c>
    </row>
    <row r="170" spans="1:10" x14ac:dyDescent="0.25">
      <c r="A170" t="s">
        <v>1310</v>
      </c>
      <c r="B170">
        <v>21043</v>
      </c>
      <c r="C170" t="s">
        <v>2092</v>
      </c>
      <c r="D170" t="s">
        <v>2093</v>
      </c>
      <c r="E170" t="s">
        <v>2094</v>
      </c>
      <c r="F170" s="2">
        <v>44388</v>
      </c>
      <c r="G170" s="2">
        <v>44386</v>
      </c>
      <c r="H170">
        <v>2021</v>
      </c>
      <c r="I170">
        <v>3</v>
      </c>
      <c r="J170" t="s">
        <v>2095</v>
      </c>
    </row>
    <row r="171" spans="1:10" x14ac:dyDescent="0.25">
      <c r="A171" t="s">
        <v>1310</v>
      </c>
      <c r="B171">
        <v>21045</v>
      </c>
      <c r="C171" t="s">
        <v>2096</v>
      </c>
      <c r="D171" t="s">
        <v>2097</v>
      </c>
      <c r="E171" t="s">
        <v>2098</v>
      </c>
      <c r="F171" s="2">
        <v>44400</v>
      </c>
      <c r="G171" s="2">
        <v>44399</v>
      </c>
      <c r="H171">
        <v>2021</v>
      </c>
      <c r="I171">
        <v>3</v>
      </c>
      <c r="J171" t="s">
        <v>2099</v>
      </c>
    </row>
    <row r="172" spans="1:10" x14ac:dyDescent="0.25">
      <c r="A172" t="s">
        <v>1310</v>
      </c>
      <c r="B172">
        <v>21046</v>
      </c>
      <c r="C172" t="s">
        <v>2100</v>
      </c>
      <c r="D172" t="s">
        <v>2101</v>
      </c>
      <c r="E172" t="s">
        <v>2102</v>
      </c>
      <c r="F172" s="2">
        <v>44401</v>
      </c>
      <c r="G172" s="2">
        <v>44401</v>
      </c>
      <c r="H172">
        <v>2021</v>
      </c>
      <c r="I172">
        <v>3</v>
      </c>
      <c r="J172" t="s">
        <v>2103</v>
      </c>
    </row>
    <row r="173" spans="1:10" x14ac:dyDescent="0.25">
      <c r="A173" t="s">
        <v>1310</v>
      </c>
      <c r="B173">
        <v>21048</v>
      </c>
      <c r="C173" t="s">
        <v>2104</v>
      </c>
      <c r="D173" t="s">
        <v>2105</v>
      </c>
      <c r="E173" t="s">
        <v>2106</v>
      </c>
      <c r="F173" s="2">
        <v>44406</v>
      </c>
      <c r="G173" s="2">
        <v>44405</v>
      </c>
      <c r="H173">
        <v>2021</v>
      </c>
      <c r="I173">
        <v>3</v>
      </c>
      <c r="J173" t="s">
        <v>2107</v>
      </c>
    </row>
    <row r="174" spans="1:10" x14ac:dyDescent="0.25">
      <c r="A174" t="s">
        <v>1310</v>
      </c>
      <c r="B174">
        <v>21050</v>
      </c>
      <c r="C174" t="s">
        <v>2108</v>
      </c>
      <c r="D174" t="s">
        <v>2109</v>
      </c>
      <c r="E174" t="s">
        <v>2110</v>
      </c>
      <c r="F174" s="2">
        <v>44409</v>
      </c>
      <c r="G174" s="2">
        <v>44409</v>
      </c>
      <c r="H174">
        <v>2021</v>
      </c>
      <c r="I174">
        <v>3</v>
      </c>
      <c r="J174" t="s">
        <v>2111</v>
      </c>
    </row>
    <row r="175" spans="1:10" x14ac:dyDescent="0.25">
      <c r="A175" t="s">
        <v>1310</v>
      </c>
      <c r="B175">
        <v>21051</v>
      </c>
      <c r="C175" t="s">
        <v>2112</v>
      </c>
      <c r="D175" t="s">
        <v>2113</v>
      </c>
      <c r="E175" t="s">
        <v>2114</v>
      </c>
      <c r="F175" s="2">
        <v>44417</v>
      </c>
      <c r="G175" s="2">
        <v>44415</v>
      </c>
      <c r="H175">
        <v>2021</v>
      </c>
      <c r="I175">
        <v>3</v>
      </c>
      <c r="J175" t="s">
        <v>2115</v>
      </c>
    </row>
    <row r="176" spans="1:10" x14ac:dyDescent="0.25">
      <c r="A176" t="s">
        <v>1310</v>
      </c>
      <c r="B176">
        <v>21052</v>
      </c>
      <c r="C176" t="s">
        <v>2116</v>
      </c>
      <c r="D176" t="s">
        <v>2117</v>
      </c>
      <c r="E176" t="s">
        <v>2118</v>
      </c>
      <c r="F176" s="2">
        <v>44421</v>
      </c>
      <c r="G176" s="2">
        <v>44418</v>
      </c>
      <c r="H176">
        <v>2021</v>
      </c>
      <c r="I176">
        <v>3</v>
      </c>
      <c r="J176" t="s">
        <v>2119</v>
      </c>
    </row>
    <row r="177" spans="1:10" x14ac:dyDescent="0.25">
      <c r="A177" t="s">
        <v>1310</v>
      </c>
      <c r="B177">
        <v>21055</v>
      </c>
      <c r="C177" t="s">
        <v>2120</v>
      </c>
      <c r="D177" t="s">
        <v>2117</v>
      </c>
      <c r="E177" t="s">
        <v>2121</v>
      </c>
      <c r="F177" s="2">
        <v>44424</v>
      </c>
      <c r="G177" s="2">
        <v>44418</v>
      </c>
      <c r="H177">
        <v>2021</v>
      </c>
      <c r="I177">
        <v>3</v>
      </c>
      <c r="J177" t="s">
        <v>2122</v>
      </c>
    </row>
    <row r="178" spans="1:10" x14ac:dyDescent="0.25">
      <c r="A178" t="s">
        <v>1310</v>
      </c>
      <c r="B178">
        <v>21056</v>
      </c>
      <c r="C178" t="s">
        <v>2123</v>
      </c>
      <c r="D178" t="s">
        <v>2124</v>
      </c>
      <c r="E178" t="s">
        <v>2125</v>
      </c>
      <c r="F178" s="2">
        <v>44427</v>
      </c>
      <c r="G178" s="2">
        <v>44425</v>
      </c>
      <c r="H178">
        <v>2021</v>
      </c>
      <c r="I178">
        <v>3</v>
      </c>
      <c r="J178" t="s">
        <v>2126</v>
      </c>
    </row>
    <row r="179" spans="1:10" x14ac:dyDescent="0.25">
      <c r="A179" t="s">
        <v>1310</v>
      </c>
      <c r="B179">
        <v>21061</v>
      </c>
      <c r="C179" t="s">
        <v>2127</v>
      </c>
      <c r="D179" t="s">
        <v>2128</v>
      </c>
      <c r="E179" t="s">
        <v>2129</v>
      </c>
      <c r="F179" s="2">
        <v>44436</v>
      </c>
      <c r="G179" s="2">
        <v>44434</v>
      </c>
      <c r="H179">
        <v>2021</v>
      </c>
      <c r="I179">
        <v>3</v>
      </c>
      <c r="J179" t="s">
        <v>2130</v>
      </c>
    </row>
    <row r="180" spans="1:10" x14ac:dyDescent="0.25">
      <c r="A180" t="s">
        <v>1310</v>
      </c>
      <c r="B180">
        <v>21062</v>
      </c>
      <c r="C180" t="s">
        <v>2131</v>
      </c>
      <c r="D180" t="s">
        <v>2132</v>
      </c>
      <c r="E180" t="s">
        <v>2133</v>
      </c>
      <c r="F180" s="2">
        <v>44446</v>
      </c>
      <c r="G180" s="2">
        <v>44445</v>
      </c>
      <c r="H180">
        <v>2021</v>
      </c>
      <c r="I180">
        <v>3</v>
      </c>
      <c r="J180" t="s">
        <v>2134</v>
      </c>
    </row>
    <row r="181" spans="1:10" x14ac:dyDescent="0.25">
      <c r="A181" t="s">
        <v>1310</v>
      </c>
      <c r="B181">
        <v>21064</v>
      </c>
      <c r="C181" t="s">
        <v>2135</v>
      </c>
      <c r="D181" t="s">
        <v>2136</v>
      </c>
      <c r="E181" t="s">
        <v>2137</v>
      </c>
      <c r="F181" s="2">
        <v>44456</v>
      </c>
      <c r="G181" s="2">
        <v>44454</v>
      </c>
      <c r="H181">
        <v>2021</v>
      </c>
      <c r="I181">
        <v>3</v>
      </c>
      <c r="J181" t="s">
        <v>2138</v>
      </c>
    </row>
    <row r="182" spans="1:10" x14ac:dyDescent="0.25">
      <c r="A182" t="s">
        <v>1310</v>
      </c>
      <c r="B182">
        <v>21065</v>
      </c>
      <c r="C182" t="s">
        <v>2139</v>
      </c>
      <c r="D182" t="s">
        <v>2140</v>
      </c>
      <c r="E182" t="s">
        <v>2141</v>
      </c>
      <c r="F182" s="2">
        <v>44468</v>
      </c>
      <c r="G182" s="2">
        <v>44463</v>
      </c>
      <c r="H182">
        <v>2021</v>
      </c>
      <c r="I182">
        <v>3</v>
      </c>
      <c r="J182" t="s">
        <v>2142</v>
      </c>
    </row>
    <row r="183" spans="1:10" x14ac:dyDescent="0.25">
      <c r="A183" t="s">
        <v>1310</v>
      </c>
      <c r="B183">
        <v>22045</v>
      </c>
      <c r="C183" t="s">
        <v>2143</v>
      </c>
      <c r="D183" t="s">
        <v>2144</v>
      </c>
      <c r="E183" t="s">
        <v>2145</v>
      </c>
      <c r="F183" s="2">
        <v>44748</v>
      </c>
      <c r="G183" s="2">
        <v>44744</v>
      </c>
      <c r="H183">
        <v>2022</v>
      </c>
      <c r="I183">
        <v>3</v>
      </c>
      <c r="J183" t="s">
        <v>2146</v>
      </c>
    </row>
    <row r="184" spans="1:10" x14ac:dyDescent="0.25">
      <c r="A184" t="s">
        <v>1310</v>
      </c>
      <c r="B184">
        <v>22046</v>
      </c>
      <c r="C184" t="s">
        <v>2147</v>
      </c>
      <c r="D184" t="s">
        <v>2148</v>
      </c>
      <c r="E184" t="s">
        <v>2149</v>
      </c>
      <c r="F184" s="2">
        <v>44755</v>
      </c>
      <c r="G184" s="2">
        <v>44749</v>
      </c>
      <c r="H184">
        <v>2022</v>
      </c>
      <c r="I184">
        <v>3</v>
      </c>
      <c r="J184" t="s">
        <v>2150</v>
      </c>
    </row>
    <row r="185" spans="1:10" x14ac:dyDescent="0.25">
      <c r="A185" t="s">
        <v>1310</v>
      </c>
      <c r="B185">
        <v>22047</v>
      </c>
      <c r="C185" t="s">
        <v>2151</v>
      </c>
      <c r="D185" t="s">
        <v>2152</v>
      </c>
      <c r="E185" t="s">
        <v>2153</v>
      </c>
      <c r="F185" s="2">
        <v>44759</v>
      </c>
      <c r="G185" s="2">
        <v>44758</v>
      </c>
      <c r="H185">
        <v>2022</v>
      </c>
      <c r="I185">
        <v>3</v>
      </c>
      <c r="J185" t="s">
        <v>2154</v>
      </c>
    </row>
    <row r="186" spans="1:10" x14ac:dyDescent="0.25">
      <c r="A186" t="s">
        <v>1310</v>
      </c>
      <c r="B186">
        <v>22048</v>
      </c>
      <c r="C186" t="s">
        <v>2088</v>
      </c>
      <c r="D186" t="s">
        <v>2155</v>
      </c>
      <c r="E186" t="s">
        <v>2156</v>
      </c>
      <c r="F186" s="2">
        <v>44767</v>
      </c>
      <c r="G186" s="2">
        <v>44763</v>
      </c>
      <c r="H186">
        <v>2022</v>
      </c>
      <c r="I186">
        <v>3</v>
      </c>
      <c r="J186" t="s">
        <v>2157</v>
      </c>
    </row>
    <row r="187" spans="1:10" x14ac:dyDescent="0.25">
      <c r="A187" t="s">
        <v>1310</v>
      </c>
      <c r="B187">
        <v>22049</v>
      </c>
      <c r="C187" t="s">
        <v>2158</v>
      </c>
      <c r="D187" t="s">
        <v>2159</v>
      </c>
      <c r="E187" t="s">
        <v>2160</v>
      </c>
      <c r="F187" s="2">
        <v>44770</v>
      </c>
      <c r="G187" s="2">
        <v>44767</v>
      </c>
      <c r="H187">
        <v>2022</v>
      </c>
      <c r="I187">
        <v>3</v>
      </c>
      <c r="J187" t="s">
        <v>2161</v>
      </c>
    </row>
    <row r="188" spans="1:10" x14ac:dyDescent="0.25">
      <c r="A188" t="s">
        <v>1310</v>
      </c>
      <c r="B188">
        <v>22050</v>
      </c>
      <c r="C188" t="s">
        <v>2162</v>
      </c>
      <c r="D188" t="s">
        <v>2163</v>
      </c>
      <c r="E188" t="s">
        <v>2160</v>
      </c>
      <c r="F188" s="2">
        <v>44770</v>
      </c>
      <c r="G188" s="2">
        <v>44768</v>
      </c>
      <c r="H188">
        <v>2022</v>
      </c>
      <c r="I188">
        <v>3</v>
      </c>
      <c r="J188" t="s">
        <v>2164</v>
      </c>
    </row>
    <row r="189" spans="1:10" x14ac:dyDescent="0.25">
      <c r="A189" t="s">
        <v>1310</v>
      </c>
      <c r="B189">
        <v>22051</v>
      </c>
      <c r="C189" t="s">
        <v>2165</v>
      </c>
      <c r="D189" t="s">
        <v>2166</v>
      </c>
      <c r="E189" t="s">
        <v>2167</v>
      </c>
      <c r="F189" s="2">
        <v>44785</v>
      </c>
      <c r="G189" s="2">
        <v>44784</v>
      </c>
      <c r="H189">
        <v>2022</v>
      </c>
      <c r="I189">
        <v>3</v>
      </c>
      <c r="J189" t="s">
        <v>2168</v>
      </c>
    </row>
    <row r="190" spans="1:10" x14ac:dyDescent="0.25">
      <c r="A190" t="s">
        <v>1310</v>
      </c>
      <c r="B190">
        <v>22052</v>
      </c>
      <c r="C190" t="s">
        <v>2169</v>
      </c>
      <c r="D190" t="s">
        <v>2166</v>
      </c>
      <c r="E190" t="s">
        <v>2170</v>
      </c>
      <c r="F190" s="2">
        <v>44787</v>
      </c>
      <c r="G190" s="2">
        <v>44784</v>
      </c>
      <c r="H190">
        <v>2022</v>
      </c>
      <c r="I190">
        <v>3</v>
      </c>
      <c r="J190" t="s">
        <v>2171</v>
      </c>
    </row>
    <row r="191" spans="1:10" x14ac:dyDescent="0.25">
      <c r="A191" t="s">
        <v>1310</v>
      </c>
      <c r="B191">
        <v>22053</v>
      </c>
      <c r="C191" t="s">
        <v>2172</v>
      </c>
      <c r="D191" t="s">
        <v>2173</v>
      </c>
      <c r="E191" t="s">
        <v>2174</v>
      </c>
      <c r="F191" s="2">
        <v>44793</v>
      </c>
      <c r="G191" s="2">
        <v>44791</v>
      </c>
      <c r="H191">
        <v>2022</v>
      </c>
      <c r="I191">
        <v>3</v>
      </c>
      <c r="J191" t="s">
        <v>2175</v>
      </c>
    </row>
    <row r="192" spans="1:10" x14ac:dyDescent="0.25">
      <c r="A192" t="s">
        <v>1310</v>
      </c>
      <c r="B192">
        <v>22054</v>
      </c>
      <c r="C192" t="s">
        <v>2176</v>
      </c>
      <c r="D192" t="s">
        <v>2173</v>
      </c>
      <c r="E192" t="s">
        <v>2177</v>
      </c>
      <c r="F192" s="2">
        <v>44795</v>
      </c>
      <c r="G192" s="2">
        <v>44791</v>
      </c>
      <c r="H192">
        <v>2022</v>
      </c>
      <c r="I192">
        <v>3</v>
      </c>
      <c r="J192" t="s">
        <v>2178</v>
      </c>
    </row>
    <row r="193" spans="1:10" x14ac:dyDescent="0.25">
      <c r="A193" t="s">
        <v>1310</v>
      </c>
      <c r="B193">
        <v>22055</v>
      </c>
      <c r="C193" t="s">
        <v>2179</v>
      </c>
      <c r="D193" t="s">
        <v>2180</v>
      </c>
      <c r="E193" t="s">
        <v>2181</v>
      </c>
      <c r="F193" s="2">
        <v>44802</v>
      </c>
      <c r="G193" s="2">
        <v>44800</v>
      </c>
      <c r="H193">
        <v>2022</v>
      </c>
      <c r="I193">
        <v>3</v>
      </c>
      <c r="J193" t="s">
        <v>2182</v>
      </c>
    </row>
    <row r="194" spans="1:10" x14ac:dyDescent="0.25">
      <c r="A194" t="s">
        <v>1310</v>
      </c>
      <c r="B194">
        <v>22056</v>
      </c>
      <c r="C194" t="s">
        <v>2183</v>
      </c>
      <c r="D194" t="s">
        <v>2184</v>
      </c>
      <c r="E194" t="s">
        <v>2185</v>
      </c>
      <c r="F194" s="2">
        <v>44809</v>
      </c>
      <c r="G194" s="2">
        <v>44801</v>
      </c>
      <c r="H194">
        <v>2022</v>
      </c>
      <c r="I194">
        <v>3</v>
      </c>
      <c r="J194" t="s">
        <v>2186</v>
      </c>
    </row>
    <row r="195" spans="1:10" x14ac:dyDescent="0.25">
      <c r="A195" t="s">
        <v>1310</v>
      </c>
      <c r="B195">
        <v>22058</v>
      </c>
      <c r="C195" t="s">
        <v>2187</v>
      </c>
      <c r="D195" t="s">
        <v>2188</v>
      </c>
      <c r="E195" t="s">
        <v>2189</v>
      </c>
      <c r="F195" s="2">
        <v>44816</v>
      </c>
      <c r="G195" s="2">
        <v>44815</v>
      </c>
      <c r="H195">
        <v>2022</v>
      </c>
      <c r="I195">
        <v>3</v>
      </c>
      <c r="J195" t="s">
        <v>2190</v>
      </c>
    </row>
    <row r="196" spans="1:10" x14ac:dyDescent="0.25">
      <c r="A196" t="s">
        <v>1310</v>
      </c>
      <c r="B196">
        <v>22060</v>
      </c>
      <c r="C196" t="s">
        <v>2191</v>
      </c>
      <c r="D196" t="s">
        <v>2192</v>
      </c>
      <c r="E196" t="s">
        <v>2193</v>
      </c>
      <c r="F196" s="2">
        <v>44825</v>
      </c>
      <c r="G196" s="2">
        <v>44822</v>
      </c>
      <c r="H196">
        <v>2022</v>
      </c>
      <c r="I196">
        <v>3</v>
      </c>
      <c r="J196" t="s">
        <v>2194</v>
      </c>
    </row>
    <row r="197" spans="1:10" x14ac:dyDescent="0.25">
      <c r="A197" t="s">
        <v>1310</v>
      </c>
      <c r="B197">
        <v>17014</v>
      </c>
      <c r="C197" t="s">
        <v>2195</v>
      </c>
      <c r="D197" t="s">
        <v>2196</v>
      </c>
      <c r="E197" t="s">
        <v>2196</v>
      </c>
      <c r="F197" s="2">
        <v>42773</v>
      </c>
      <c r="G197" s="2">
        <v>42773</v>
      </c>
      <c r="H197">
        <v>2017</v>
      </c>
      <c r="I197">
        <v>1</v>
      </c>
      <c r="J197" t="s">
        <v>2197</v>
      </c>
    </row>
    <row r="198" spans="1:10" x14ac:dyDescent="0.25">
      <c r="A198" t="s">
        <v>1310</v>
      </c>
      <c r="B198">
        <v>17015</v>
      </c>
      <c r="C198" t="s">
        <v>2198</v>
      </c>
      <c r="D198" t="s">
        <v>2199</v>
      </c>
      <c r="E198" t="s">
        <v>2200</v>
      </c>
      <c r="F198" s="2">
        <v>42784</v>
      </c>
      <c r="G198" s="2">
        <v>42782</v>
      </c>
      <c r="H198">
        <v>2017</v>
      </c>
      <c r="I198">
        <v>1</v>
      </c>
      <c r="J198" t="s">
        <v>2201</v>
      </c>
    </row>
    <row r="199" spans="1:10" x14ac:dyDescent="0.25">
      <c r="A199" t="s">
        <v>1310</v>
      </c>
      <c r="B199">
        <v>17016</v>
      </c>
      <c r="C199" t="s">
        <v>2202</v>
      </c>
      <c r="D199" t="s">
        <v>2203</v>
      </c>
      <c r="E199" t="s">
        <v>2204</v>
      </c>
      <c r="F199" s="2">
        <v>42786</v>
      </c>
      <c r="G199" s="2">
        <v>42785</v>
      </c>
      <c r="H199">
        <v>2017</v>
      </c>
      <c r="I199">
        <v>1</v>
      </c>
      <c r="J199" t="s">
        <v>2205</v>
      </c>
    </row>
    <row r="200" spans="1:10" x14ac:dyDescent="0.25">
      <c r="A200" t="s">
        <v>1310</v>
      </c>
      <c r="B200">
        <v>17017</v>
      </c>
      <c r="C200" t="s">
        <v>2206</v>
      </c>
      <c r="D200" t="s">
        <v>2203</v>
      </c>
      <c r="E200" t="s">
        <v>2207</v>
      </c>
      <c r="F200" s="2">
        <v>42787</v>
      </c>
      <c r="G200" s="2">
        <v>42785</v>
      </c>
      <c r="H200">
        <v>2017</v>
      </c>
      <c r="I200">
        <v>1</v>
      </c>
      <c r="J200" t="s">
        <v>2208</v>
      </c>
    </row>
    <row r="201" spans="1:10" x14ac:dyDescent="0.25">
      <c r="A201" t="s">
        <v>1310</v>
      </c>
      <c r="B201">
        <v>17018</v>
      </c>
      <c r="C201" t="s">
        <v>2209</v>
      </c>
      <c r="D201" t="s">
        <v>2210</v>
      </c>
      <c r="E201" t="s">
        <v>2210</v>
      </c>
      <c r="F201" s="2">
        <v>42791</v>
      </c>
      <c r="G201" s="2">
        <v>42791</v>
      </c>
      <c r="H201">
        <v>2017</v>
      </c>
      <c r="I201">
        <v>1</v>
      </c>
      <c r="J201" t="s">
        <v>2211</v>
      </c>
    </row>
    <row r="202" spans="1:10" x14ac:dyDescent="0.25">
      <c r="A202" t="s">
        <v>1310</v>
      </c>
      <c r="B202">
        <v>17019</v>
      </c>
      <c r="C202" t="s">
        <v>2212</v>
      </c>
      <c r="D202" t="s">
        <v>2213</v>
      </c>
      <c r="E202" t="s">
        <v>2214</v>
      </c>
      <c r="F202" s="2">
        <v>42796</v>
      </c>
      <c r="G202" s="2">
        <v>42794</v>
      </c>
      <c r="H202">
        <v>2017</v>
      </c>
      <c r="I202">
        <v>1</v>
      </c>
      <c r="J202" t="s">
        <v>2215</v>
      </c>
    </row>
    <row r="203" spans="1:10" x14ac:dyDescent="0.25">
      <c r="A203" t="s">
        <v>1310</v>
      </c>
      <c r="B203">
        <v>17020</v>
      </c>
      <c r="C203" t="s">
        <v>2216</v>
      </c>
      <c r="D203" t="s">
        <v>2217</v>
      </c>
      <c r="E203" t="s">
        <v>2218</v>
      </c>
      <c r="F203" s="2">
        <v>42803</v>
      </c>
      <c r="G203" s="2">
        <v>42800</v>
      </c>
      <c r="H203">
        <v>2017</v>
      </c>
      <c r="I203">
        <v>1</v>
      </c>
      <c r="J203" t="s">
        <v>2219</v>
      </c>
    </row>
    <row r="204" spans="1:10" x14ac:dyDescent="0.25">
      <c r="A204" t="s">
        <v>1310</v>
      </c>
      <c r="B204">
        <v>17021</v>
      </c>
      <c r="C204" t="s">
        <v>2220</v>
      </c>
      <c r="D204" t="s">
        <v>2221</v>
      </c>
      <c r="E204" t="s">
        <v>2222</v>
      </c>
      <c r="F204" s="2">
        <v>42816</v>
      </c>
      <c r="G204" s="2">
        <v>42815</v>
      </c>
      <c r="H204">
        <v>2017</v>
      </c>
      <c r="I204">
        <v>1</v>
      </c>
      <c r="J204" t="s">
        <v>2223</v>
      </c>
    </row>
    <row r="205" spans="1:10" x14ac:dyDescent="0.25">
      <c r="A205" t="s">
        <v>1310</v>
      </c>
      <c r="B205">
        <v>17022</v>
      </c>
      <c r="C205" t="s">
        <v>2224</v>
      </c>
      <c r="D205" t="s">
        <v>2225</v>
      </c>
      <c r="E205" t="s">
        <v>2226</v>
      </c>
      <c r="F205" s="2">
        <v>42822</v>
      </c>
      <c r="G205" s="2">
        <v>42820</v>
      </c>
      <c r="H205">
        <v>2017</v>
      </c>
      <c r="I205">
        <v>1</v>
      </c>
      <c r="J205" t="s">
        <v>2227</v>
      </c>
    </row>
    <row r="206" spans="1:10" x14ac:dyDescent="0.25">
      <c r="A206" t="s">
        <v>1310</v>
      </c>
      <c r="B206">
        <v>17023</v>
      </c>
      <c r="C206" t="s">
        <v>2228</v>
      </c>
      <c r="D206" t="s">
        <v>2229</v>
      </c>
      <c r="E206" t="s">
        <v>2230</v>
      </c>
      <c r="F206" s="2">
        <v>42825</v>
      </c>
      <c r="G206" s="2">
        <v>42822</v>
      </c>
      <c r="H206">
        <v>2017</v>
      </c>
      <c r="I206">
        <v>1</v>
      </c>
      <c r="J206" t="s">
        <v>2231</v>
      </c>
    </row>
    <row r="207" spans="1:10" x14ac:dyDescent="0.25">
      <c r="A207" t="s">
        <v>1310</v>
      </c>
      <c r="B207">
        <v>17050</v>
      </c>
      <c r="C207" t="s">
        <v>2232</v>
      </c>
      <c r="D207" t="s">
        <v>2233</v>
      </c>
      <c r="E207" t="s">
        <v>2234</v>
      </c>
      <c r="F207" s="2">
        <v>43023</v>
      </c>
      <c r="G207" s="2">
        <v>43022</v>
      </c>
      <c r="H207">
        <v>2017</v>
      </c>
      <c r="I207">
        <v>4</v>
      </c>
      <c r="J207" t="s">
        <v>2235</v>
      </c>
    </row>
    <row r="208" spans="1:10" x14ac:dyDescent="0.25">
      <c r="A208" t="s">
        <v>1310</v>
      </c>
      <c r="B208">
        <v>17051</v>
      </c>
      <c r="C208" t="s">
        <v>2236</v>
      </c>
      <c r="D208" t="s">
        <v>2237</v>
      </c>
      <c r="E208" t="s">
        <v>2238</v>
      </c>
      <c r="F208" s="2">
        <v>43032</v>
      </c>
      <c r="G208" s="2">
        <v>43031</v>
      </c>
      <c r="H208">
        <v>2017</v>
      </c>
      <c r="I208">
        <v>4</v>
      </c>
      <c r="J208" t="s">
        <v>2239</v>
      </c>
    </row>
    <row r="209" spans="1:10" x14ac:dyDescent="0.25">
      <c r="A209" t="s">
        <v>1310</v>
      </c>
      <c r="B209">
        <v>17052</v>
      </c>
      <c r="C209" t="s">
        <v>2240</v>
      </c>
      <c r="D209" t="s">
        <v>2241</v>
      </c>
      <c r="E209" t="s">
        <v>2242</v>
      </c>
      <c r="F209" s="2">
        <v>43038</v>
      </c>
      <c r="G209" s="2">
        <v>43037</v>
      </c>
      <c r="H209">
        <v>2017</v>
      </c>
      <c r="I209">
        <v>4</v>
      </c>
      <c r="J209" t="s">
        <v>2243</v>
      </c>
    </row>
    <row r="210" spans="1:10" x14ac:dyDescent="0.25">
      <c r="A210" t="s">
        <v>1310</v>
      </c>
      <c r="B210">
        <v>17053</v>
      </c>
      <c r="C210" t="s">
        <v>2244</v>
      </c>
      <c r="D210" t="s">
        <v>2245</v>
      </c>
      <c r="E210" t="s">
        <v>2246</v>
      </c>
      <c r="F210" s="2">
        <v>43045</v>
      </c>
      <c r="G210" s="2">
        <v>43044</v>
      </c>
      <c r="H210">
        <v>2017</v>
      </c>
      <c r="I210">
        <v>4</v>
      </c>
      <c r="J210" t="s">
        <v>2247</v>
      </c>
    </row>
    <row r="211" spans="1:10" x14ac:dyDescent="0.25">
      <c r="A211" t="s">
        <v>1310</v>
      </c>
      <c r="B211">
        <v>18014</v>
      </c>
      <c r="C211" t="s">
        <v>2248</v>
      </c>
      <c r="D211" t="s">
        <v>2249</v>
      </c>
      <c r="E211" t="s">
        <v>2250</v>
      </c>
      <c r="F211" s="2">
        <v>43157</v>
      </c>
      <c r="G211" s="2">
        <v>43155</v>
      </c>
      <c r="H211">
        <v>2018</v>
      </c>
      <c r="I211">
        <v>1</v>
      </c>
      <c r="J211" t="s">
        <v>2251</v>
      </c>
    </row>
    <row r="212" spans="1:10" x14ac:dyDescent="0.25">
      <c r="A212" t="s">
        <v>1310</v>
      </c>
      <c r="B212">
        <v>18017</v>
      </c>
      <c r="C212" t="s">
        <v>2252</v>
      </c>
      <c r="D212" t="s">
        <v>2253</v>
      </c>
      <c r="E212" t="s">
        <v>2254</v>
      </c>
      <c r="F212" s="2">
        <v>43180</v>
      </c>
      <c r="G212" s="2">
        <v>43177</v>
      </c>
      <c r="H212">
        <v>2018</v>
      </c>
      <c r="I212">
        <v>1</v>
      </c>
      <c r="J212" t="s">
        <v>2255</v>
      </c>
    </row>
    <row r="213" spans="1:10" x14ac:dyDescent="0.25">
      <c r="A213" t="s">
        <v>1310</v>
      </c>
      <c r="B213">
        <v>18058</v>
      </c>
      <c r="C213" t="s">
        <v>2256</v>
      </c>
      <c r="D213" t="s">
        <v>2257</v>
      </c>
      <c r="E213" t="s">
        <v>2258</v>
      </c>
      <c r="F213" s="2">
        <v>43392</v>
      </c>
      <c r="G213" s="2">
        <v>43388</v>
      </c>
      <c r="H213">
        <v>2018</v>
      </c>
      <c r="I213">
        <v>4</v>
      </c>
      <c r="J213" t="s">
        <v>2259</v>
      </c>
    </row>
    <row r="214" spans="1:10" x14ac:dyDescent="0.25">
      <c r="A214" t="s">
        <v>1310</v>
      </c>
      <c r="B214">
        <v>18063</v>
      </c>
      <c r="C214" t="s">
        <v>2260</v>
      </c>
      <c r="D214" t="s">
        <v>2261</v>
      </c>
      <c r="E214" t="s">
        <v>2262</v>
      </c>
      <c r="F214" s="2">
        <v>43436</v>
      </c>
      <c r="G214" s="2">
        <v>43433</v>
      </c>
      <c r="H214">
        <v>2018</v>
      </c>
      <c r="I214">
        <v>4</v>
      </c>
      <c r="J214" t="s">
        <v>2263</v>
      </c>
    </row>
    <row r="215" spans="1:10" x14ac:dyDescent="0.25">
      <c r="A215" t="s">
        <v>1310</v>
      </c>
      <c r="B215">
        <v>18065</v>
      </c>
      <c r="C215" t="s">
        <v>2264</v>
      </c>
      <c r="D215" t="s">
        <v>2265</v>
      </c>
      <c r="E215" t="s">
        <v>2266</v>
      </c>
      <c r="F215" s="2">
        <v>43452</v>
      </c>
      <c r="G215" s="2">
        <v>43451</v>
      </c>
      <c r="H215">
        <v>2018</v>
      </c>
      <c r="I215">
        <v>4</v>
      </c>
      <c r="J215" t="s">
        <v>2267</v>
      </c>
    </row>
    <row r="216" spans="1:10" x14ac:dyDescent="0.25">
      <c r="A216" t="s">
        <v>1310</v>
      </c>
      <c r="B216">
        <v>19015</v>
      </c>
      <c r="C216" t="s">
        <v>2268</v>
      </c>
      <c r="D216" t="s">
        <v>2269</v>
      </c>
      <c r="E216" t="s">
        <v>2270</v>
      </c>
      <c r="F216" s="2">
        <v>43499</v>
      </c>
      <c r="G216" s="2">
        <v>43497</v>
      </c>
      <c r="H216">
        <v>2019</v>
      </c>
      <c r="I216">
        <v>1</v>
      </c>
      <c r="J216" t="s">
        <v>2271</v>
      </c>
    </row>
    <row r="217" spans="1:10" x14ac:dyDescent="0.25">
      <c r="A217" t="s">
        <v>1310</v>
      </c>
      <c r="B217">
        <v>19016</v>
      </c>
      <c r="C217" t="s">
        <v>2272</v>
      </c>
      <c r="D217" t="s">
        <v>2273</v>
      </c>
      <c r="E217" t="s">
        <v>2274</v>
      </c>
      <c r="F217" s="2">
        <v>43521</v>
      </c>
      <c r="G217" s="2">
        <v>43519</v>
      </c>
      <c r="H217">
        <v>2019</v>
      </c>
      <c r="I217">
        <v>1</v>
      </c>
      <c r="J217" t="s">
        <v>2275</v>
      </c>
    </row>
    <row r="218" spans="1:10" x14ac:dyDescent="0.25">
      <c r="A218" t="s">
        <v>1310</v>
      </c>
      <c r="B218">
        <v>19017</v>
      </c>
      <c r="C218" t="s">
        <v>2276</v>
      </c>
      <c r="D218" t="s">
        <v>2277</v>
      </c>
      <c r="E218" t="s">
        <v>2278</v>
      </c>
      <c r="F218" s="2">
        <v>43524</v>
      </c>
      <c r="G218" s="2">
        <v>43522</v>
      </c>
      <c r="H218">
        <v>2019</v>
      </c>
      <c r="I218">
        <v>1</v>
      </c>
      <c r="J218" t="s">
        <v>2279</v>
      </c>
    </row>
    <row r="219" spans="1:10" x14ac:dyDescent="0.25">
      <c r="A219" t="s">
        <v>1310</v>
      </c>
      <c r="B219">
        <v>19018</v>
      </c>
      <c r="C219" t="s">
        <v>2280</v>
      </c>
      <c r="D219" t="s">
        <v>2281</v>
      </c>
      <c r="E219" t="s">
        <v>2282</v>
      </c>
      <c r="F219" s="2">
        <v>43528</v>
      </c>
      <c r="G219" s="2">
        <v>43527</v>
      </c>
      <c r="H219">
        <v>2019</v>
      </c>
      <c r="I219">
        <v>1</v>
      </c>
      <c r="J219" t="s">
        <v>2283</v>
      </c>
    </row>
    <row r="220" spans="1:10" x14ac:dyDescent="0.25">
      <c r="A220" t="s">
        <v>1310</v>
      </c>
      <c r="B220">
        <v>19020</v>
      </c>
      <c r="C220" t="s">
        <v>2284</v>
      </c>
      <c r="D220" t="s">
        <v>2285</v>
      </c>
      <c r="E220" t="s">
        <v>2286</v>
      </c>
      <c r="F220" s="2">
        <v>43549</v>
      </c>
      <c r="G220" s="2">
        <v>43547</v>
      </c>
      <c r="H220">
        <v>2019</v>
      </c>
      <c r="I220">
        <v>1</v>
      </c>
      <c r="J220" t="s">
        <v>2287</v>
      </c>
    </row>
    <row r="221" spans="1:10" x14ac:dyDescent="0.25">
      <c r="A221" t="s">
        <v>1310</v>
      </c>
      <c r="B221">
        <v>19021</v>
      </c>
      <c r="C221" t="s">
        <v>2288</v>
      </c>
      <c r="D221" t="s">
        <v>2289</v>
      </c>
      <c r="E221" t="s">
        <v>2290</v>
      </c>
      <c r="F221" s="2">
        <v>43551</v>
      </c>
      <c r="G221" s="2">
        <v>43550</v>
      </c>
      <c r="H221">
        <v>2019</v>
      </c>
      <c r="I221">
        <v>1</v>
      </c>
      <c r="J221" t="s">
        <v>2291</v>
      </c>
    </row>
    <row r="222" spans="1:10" x14ac:dyDescent="0.25">
      <c r="A222" t="s">
        <v>1310</v>
      </c>
      <c r="B222">
        <v>19059</v>
      </c>
      <c r="C222" t="s">
        <v>2292</v>
      </c>
      <c r="D222" t="s">
        <v>2293</v>
      </c>
      <c r="E222" t="s">
        <v>2294</v>
      </c>
      <c r="F222" s="2">
        <v>43755</v>
      </c>
      <c r="G222" s="2">
        <v>43754</v>
      </c>
      <c r="H222">
        <v>2019</v>
      </c>
      <c r="I222">
        <v>4</v>
      </c>
      <c r="J222" t="s">
        <v>2295</v>
      </c>
    </row>
    <row r="223" spans="1:10" x14ac:dyDescent="0.25">
      <c r="A223" t="s">
        <v>1310</v>
      </c>
      <c r="B223">
        <v>19061</v>
      </c>
      <c r="C223" t="s">
        <v>2296</v>
      </c>
      <c r="D223" t="s">
        <v>2297</v>
      </c>
      <c r="E223" t="s">
        <v>2298</v>
      </c>
      <c r="F223" s="2">
        <v>43759</v>
      </c>
      <c r="G223" s="2">
        <v>43758</v>
      </c>
      <c r="H223">
        <v>2019</v>
      </c>
      <c r="I223">
        <v>4</v>
      </c>
      <c r="J223" t="s">
        <v>2299</v>
      </c>
    </row>
    <row r="224" spans="1:10" x14ac:dyDescent="0.25">
      <c r="A224" t="s">
        <v>1310</v>
      </c>
      <c r="B224">
        <v>19064</v>
      </c>
      <c r="C224" t="s">
        <v>2300</v>
      </c>
      <c r="D224" t="s">
        <v>2301</v>
      </c>
      <c r="E224" t="s">
        <v>2302</v>
      </c>
      <c r="F224" s="2">
        <v>43765</v>
      </c>
      <c r="G224" s="2">
        <v>43764</v>
      </c>
      <c r="H224">
        <v>2019</v>
      </c>
      <c r="I224">
        <v>4</v>
      </c>
      <c r="J224" t="s">
        <v>2303</v>
      </c>
    </row>
    <row r="225" spans="1:10" x14ac:dyDescent="0.25">
      <c r="A225" t="s">
        <v>1310</v>
      </c>
      <c r="B225">
        <v>19065</v>
      </c>
      <c r="C225" t="s">
        <v>2304</v>
      </c>
      <c r="D225" t="s">
        <v>2305</v>
      </c>
      <c r="E225" t="s">
        <v>2306</v>
      </c>
      <c r="F225" s="2">
        <v>43770</v>
      </c>
      <c r="G225" s="2">
        <v>43769</v>
      </c>
      <c r="H225">
        <v>2019</v>
      </c>
      <c r="I225">
        <v>4</v>
      </c>
      <c r="J225" t="s">
        <v>2307</v>
      </c>
    </row>
    <row r="226" spans="1:10" x14ac:dyDescent="0.25">
      <c r="A226" t="s">
        <v>1310</v>
      </c>
      <c r="B226">
        <v>19066</v>
      </c>
      <c r="C226" t="s">
        <v>2308</v>
      </c>
      <c r="D226" t="s">
        <v>2309</v>
      </c>
      <c r="E226" t="s">
        <v>2310</v>
      </c>
      <c r="F226" s="2">
        <v>43790</v>
      </c>
      <c r="G226" s="2">
        <v>43788</v>
      </c>
      <c r="H226">
        <v>2019</v>
      </c>
      <c r="I226">
        <v>4</v>
      </c>
      <c r="J226" t="s">
        <v>2311</v>
      </c>
    </row>
    <row r="227" spans="1:10" x14ac:dyDescent="0.25">
      <c r="A227" t="s">
        <v>1310</v>
      </c>
      <c r="B227">
        <v>19067</v>
      </c>
      <c r="C227" t="s">
        <v>2312</v>
      </c>
      <c r="D227" t="s">
        <v>2313</v>
      </c>
      <c r="E227" t="s">
        <v>2314</v>
      </c>
      <c r="F227" s="2">
        <v>43797</v>
      </c>
      <c r="G227" s="2">
        <v>43795</v>
      </c>
      <c r="H227">
        <v>2019</v>
      </c>
      <c r="I227">
        <v>4</v>
      </c>
      <c r="J227" t="s">
        <v>2315</v>
      </c>
    </row>
    <row r="228" spans="1:10" x14ac:dyDescent="0.25">
      <c r="A228" t="s">
        <v>1310</v>
      </c>
      <c r="B228">
        <v>19068</v>
      </c>
      <c r="C228" t="s">
        <v>2316</v>
      </c>
      <c r="D228" t="s">
        <v>2313</v>
      </c>
      <c r="E228" t="s">
        <v>2317</v>
      </c>
      <c r="F228" s="2">
        <v>43798</v>
      </c>
      <c r="G228" s="2">
        <v>43795</v>
      </c>
      <c r="H228">
        <v>2019</v>
      </c>
      <c r="I228">
        <v>4</v>
      </c>
      <c r="J228" t="s">
        <v>2318</v>
      </c>
    </row>
    <row r="229" spans="1:10" x14ac:dyDescent="0.25">
      <c r="A229" t="s">
        <v>1310</v>
      </c>
      <c r="B229">
        <v>19069</v>
      </c>
      <c r="C229" t="s">
        <v>2319</v>
      </c>
      <c r="D229" t="s">
        <v>2320</v>
      </c>
      <c r="E229" t="s">
        <v>2321</v>
      </c>
      <c r="F229" s="2">
        <v>43816</v>
      </c>
      <c r="G229" s="2">
        <v>43815</v>
      </c>
      <c r="H229">
        <v>2019</v>
      </c>
      <c r="I229">
        <v>4</v>
      </c>
      <c r="J229" t="s">
        <v>2322</v>
      </c>
    </row>
    <row r="230" spans="1:10" x14ac:dyDescent="0.25">
      <c r="A230" t="s">
        <v>1310</v>
      </c>
      <c r="B230">
        <v>19070</v>
      </c>
      <c r="C230" t="s">
        <v>2323</v>
      </c>
      <c r="D230" t="s">
        <v>2324</v>
      </c>
      <c r="E230" t="s">
        <v>2325</v>
      </c>
      <c r="F230" s="2">
        <v>43823</v>
      </c>
      <c r="G230" s="2">
        <v>43820</v>
      </c>
      <c r="H230">
        <v>2019</v>
      </c>
      <c r="I230">
        <v>4</v>
      </c>
      <c r="J230" t="s">
        <v>2326</v>
      </c>
    </row>
    <row r="231" spans="1:10" x14ac:dyDescent="0.25">
      <c r="A231" t="s">
        <v>1310</v>
      </c>
      <c r="B231">
        <v>20012</v>
      </c>
      <c r="C231" t="s">
        <v>2327</v>
      </c>
      <c r="D231" t="s">
        <v>2328</v>
      </c>
      <c r="E231" t="s">
        <v>2329</v>
      </c>
      <c r="F231" s="2">
        <v>43842</v>
      </c>
      <c r="G231" s="2">
        <v>43840</v>
      </c>
      <c r="H231">
        <v>2020</v>
      </c>
      <c r="I231">
        <v>1</v>
      </c>
      <c r="J231" t="s">
        <v>2330</v>
      </c>
    </row>
    <row r="232" spans="1:10" x14ac:dyDescent="0.25">
      <c r="A232" t="s">
        <v>1310</v>
      </c>
      <c r="B232">
        <v>20014</v>
      </c>
      <c r="C232" t="s">
        <v>2331</v>
      </c>
      <c r="D232" t="s">
        <v>2332</v>
      </c>
      <c r="E232" t="s">
        <v>2333</v>
      </c>
      <c r="F232" s="2">
        <v>43869</v>
      </c>
      <c r="G232" s="2">
        <v>43866</v>
      </c>
      <c r="H232">
        <v>2020</v>
      </c>
      <c r="I232">
        <v>1</v>
      </c>
      <c r="J232" t="s">
        <v>2334</v>
      </c>
    </row>
    <row r="233" spans="1:10" x14ac:dyDescent="0.25">
      <c r="A233" t="s">
        <v>1310</v>
      </c>
      <c r="B233">
        <v>20015</v>
      </c>
      <c r="C233" t="s">
        <v>2335</v>
      </c>
      <c r="D233" t="s">
        <v>2336</v>
      </c>
      <c r="E233" t="s">
        <v>2337</v>
      </c>
      <c r="F233" s="2">
        <v>43872</v>
      </c>
      <c r="G233" s="2">
        <v>43869</v>
      </c>
      <c r="H233">
        <v>2020</v>
      </c>
      <c r="I233">
        <v>1</v>
      </c>
      <c r="J233" t="s">
        <v>2338</v>
      </c>
    </row>
    <row r="234" spans="1:10" x14ac:dyDescent="0.25">
      <c r="A234" t="s">
        <v>1310</v>
      </c>
      <c r="B234">
        <v>20016</v>
      </c>
      <c r="C234" t="s">
        <v>2339</v>
      </c>
      <c r="D234" t="s">
        <v>2340</v>
      </c>
      <c r="E234" t="s">
        <v>2341</v>
      </c>
      <c r="F234" s="2">
        <v>43894</v>
      </c>
      <c r="G234" s="2">
        <v>43892</v>
      </c>
      <c r="H234">
        <v>2020</v>
      </c>
      <c r="I234">
        <v>1</v>
      </c>
      <c r="J234" t="s">
        <v>2342</v>
      </c>
    </row>
    <row r="235" spans="1:10" x14ac:dyDescent="0.25">
      <c r="A235" t="s">
        <v>1310</v>
      </c>
      <c r="B235">
        <v>20017</v>
      </c>
      <c r="C235" t="s">
        <v>2343</v>
      </c>
      <c r="D235" t="s">
        <v>2344</v>
      </c>
      <c r="E235" t="s">
        <v>2345</v>
      </c>
      <c r="F235" s="2">
        <v>43910</v>
      </c>
      <c r="G235" s="2">
        <v>43907</v>
      </c>
      <c r="H235">
        <v>2020</v>
      </c>
      <c r="I235">
        <v>1</v>
      </c>
      <c r="J235" t="s">
        <v>2346</v>
      </c>
    </row>
    <row r="236" spans="1:10" x14ac:dyDescent="0.25">
      <c r="A236" t="s">
        <v>1310</v>
      </c>
      <c r="B236">
        <v>20018</v>
      </c>
      <c r="C236" t="s">
        <v>2347</v>
      </c>
      <c r="D236" t="s">
        <v>2348</v>
      </c>
      <c r="E236" t="s">
        <v>2349</v>
      </c>
      <c r="F236" s="2">
        <v>43920</v>
      </c>
      <c r="G236" s="2">
        <v>43917</v>
      </c>
      <c r="H236">
        <v>2020</v>
      </c>
      <c r="I236">
        <v>1</v>
      </c>
      <c r="J236" t="s">
        <v>2350</v>
      </c>
    </row>
    <row r="237" spans="1:10" x14ac:dyDescent="0.25">
      <c r="A237" t="s">
        <v>1310</v>
      </c>
      <c r="B237">
        <v>21013</v>
      </c>
      <c r="C237" t="s">
        <v>2351</v>
      </c>
      <c r="D237" t="s">
        <v>2352</v>
      </c>
      <c r="E237" t="s">
        <v>2353</v>
      </c>
      <c r="F237" s="2">
        <v>44222</v>
      </c>
      <c r="G237" s="2">
        <v>44221</v>
      </c>
      <c r="H237">
        <v>2021</v>
      </c>
      <c r="I237">
        <v>1</v>
      </c>
      <c r="J237" t="s">
        <v>2354</v>
      </c>
    </row>
    <row r="238" spans="1:10" x14ac:dyDescent="0.25">
      <c r="A238" t="s">
        <v>1310</v>
      </c>
      <c r="B238">
        <v>21014</v>
      </c>
      <c r="C238" t="s">
        <v>2355</v>
      </c>
      <c r="D238" t="s">
        <v>2356</v>
      </c>
      <c r="E238" t="s">
        <v>2357</v>
      </c>
      <c r="F238" s="2">
        <v>44223</v>
      </c>
      <c r="G238" s="2">
        <v>44220</v>
      </c>
      <c r="H238">
        <v>2021</v>
      </c>
      <c r="I238">
        <v>1</v>
      </c>
      <c r="J238" t="s">
        <v>2358</v>
      </c>
    </row>
    <row r="239" spans="1:10" x14ac:dyDescent="0.25">
      <c r="A239" t="s">
        <v>1310</v>
      </c>
      <c r="B239">
        <v>21018</v>
      </c>
      <c r="C239" t="s">
        <v>2252</v>
      </c>
      <c r="D239" t="s">
        <v>2359</v>
      </c>
      <c r="E239" t="s">
        <v>2360</v>
      </c>
      <c r="F239" s="2">
        <v>44253</v>
      </c>
      <c r="G239" s="2">
        <v>44252</v>
      </c>
      <c r="H239">
        <v>2021</v>
      </c>
      <c r="I239">
        <v>1</v>
      </c>
      <c r="J239" t="s">
        <v>2361</v>
      </c>
    </row>
    <row r="240" spans="1:10" x14ac:dyDescent="0.25">
      <c r="A240" t="s">
        <v>1310</v>
      </c>
      <c r="B240">
        <v>21019</v>
      </c>
      <c r="C240" t="s">
        <v>2362</v>
      </c>
      <c r="D240" t="s">
        <v>2363</v>
      </c>
      <c r="E240" t="s">
        <v>2364</v>
      </c>
      <c r="F240" s="2">
        <v>44266</v>
      </c>
      <c r="G240" s="2">
        <v>44264</v>
      </c>
      <c r="H240">
        <v>2021</v>
      </c>
      <c r="I240">
        <v>1</v>
      </c>
      <c r="J240" t="s">
        <v>2365</v>
      </c>
    </row>
    <row r="241" spans="1:10" x14ac:dyDescent="0.25">
      <c r="A241" t="s">
        <v>1310</v>
      </c>
      <c r="B241">
        <v>21020</v>
      </c>
      <c r="C241" t="s">
        <v>2366</v>
      </c>
      <c r="D241" t="s">
        <v>2367</v>
      </c>
      <c r="E241" t="s">
        <v>2368</v>
      </c>
      <c r="F241" s="2">
        <v>44274</v>
      </c>
      <c r="G241" s="2">
        <v>44270</v>
      </c>
      <c r="H241">
        <v>2021</v>
      </c>
      <c r="I241">
        <v>1</v>
      </c>
      <c r="J241" t="s">
        <v>2369</v>
      </c>
    </row>
    <row r="242" spans="1:10" x14ac:dyDescent="0.25">
      <c r="A242" t="s">
        <v>1310</v>
      </c>
      <c r="B242">
        <v>21021</v>
      </c>
      <c r="C242" t="s">
        <v>2370</v>
      </c>
      <c r="D242" t="s">
        <v>2371</v>
      </c>
      <c r="E242" t="s">
        <v>2372</v>
      </c>
      <c r="F242" s="2">
        <v>44278</v>
      </c>
      <c r="G242" s="2">
        <v>44277</v>
      </c>
      <c r="H242">
        <v>2021</v>
      </c>
      <c r="I242">
        <v>1</v>
      </c>
      <c r="J242" t="s">
        <v>2373</v>
      </c>
    </row>
    <row r="243" spans="1:10" x14ac:dyDescent="0.25">
      <c r="A243" t="s">
        <v>1310</v>
      </c>
      <c r="B243">
        <v>21022</v>
      </c>
      <c r="C243" t="s">
        <v>2374</v>
      </c>
      <c r="D243" t="s">
        <v>2375</v>
      </c>
      <c r="E243" t="s">
        <v>2376</v>
      </c>
      <c r="F243" s="2">
        <v>44281</v>
      </c>
      <c r="G243" s="2">
        <v>44279</v>
      </c>
      <c r="H243">
        <v>2021</v>
      </c>
      <c r="I243">
        <v>1</v>
      </c>
      <c r="J243" t="s">
        <v>2377</v>
      </c>
    </row>
    <row r="244" spans="1:10" x14ac:dyDescent="0.25">
      <c r="A244" t="s">
        <v>1310</v>
      </c>
      <c r="B244">
        <v>21023</v>
      </c>
      <c r="C244" t="s">
        <v>2378</v>
      </c>
      <c r="D244" t="s">
        <v>2379</v>
      </c>
      <c r="E244" t="s">
        <v>2380</v>
      </c>
      <c r="F244" s="2">
        <v>44284</v>
      </c>
      <c r="G244" s="2">
        <v>44282</v>
      </c>
      <c r="H244">
        <v>2021</v>
      </c>
      <c r="I244">
        <v>1</v>
      </c>
      <c r="J244" t="s">
        <v>2381</v>
      </c>
    </row>
    <row r="245" spans="1:10" x14ac:dyDescent="0.25">
      <c r="A245" t="s">
        <v>1310</v>
      </c>
      <c r="B245">
        <v>21066</v>
      </c>
      <c r="C245" t="s">
        <v>2382</v>
      </c>
      <c r="D245" t="s">
        <v>2383</v>
      </c>
      <c r="E245" t="s">
        <v>2384</v>
      </c>
      <c r="F245" s="2">
        <v>44471</v>
      </c>
      <c r="G245" s="2">
        <v>44469</v>
      </c>
      <c r="H245">
        <v>2021</v>
      </c>
      <c r="I245">
        <v>4</v>
      </c>
      <c r="J245" t="s">
        <v>2385</v>
      </c>
    </row>
    <row r="246" spans="1:10" x14ac:dyDescent="0.25">
      <c r="A246" t="s">
        <v>1310</v>
      </c>
      <c r="B246">
        <v>21067</v>
      </c>
      <c r="C246" t="s">
        <v>2386</v>
      </c>
      <c r="D246" t="s">
        <v>2387</v>
      </c>
      <c r="E246" t="s">
        <v>2388</v>
      </c>
      <c r="F246" s="2">
        <v>44476</v>
      </c>
      <c r="G246" s="2">
        <v>44473</v>
      </c>
      <c r="H246">
        <v>2021</v>
      </c>
      <c r="I246">
        <v>4</v>
      </c>
      <c r="J246" t="s">
        <v>2389</v>
      </c>
    </row>
    <row r="247" spans="1:10" x14ac:dyDescent="0.25">
      <c r="A247" t="s">
        <v>1310</v>
      </c>
      <c r="B247">
        <v>21068</v>
      </c>
      <c r="C247" t="s">
        <v>2390</v>
      </c>
      <c r="D247" t="s">
        <v>2391</v>
      </c>
      <c r="E247" t="s">
        <v>2392</v>
      </c>
      <c r="F247" s="2">
        <v>44480</v>
      </c>
      <c r="G247" s="2">
        <v>44479</v>
      </c>
      <c r="H247">
        <v>2021</v>
      </c>
      <c r="I247">
        <v>4</v>
      </c>
      <c r="J247" t="s">
        <v>2393</v>
      </c>
    </row>
    <row r="248" spans="1:10" x14ac:dyDescent="0.25">
      <c r="A248" t="s">
        <v>1310</v>
      </c>
      <c r="B248">
        <v>21069</v>
      </c>
      <c r="C248" t="s">
        <v>2394</v>
      </c>
      <c r="D248" t="s">
        <v>2391</v>
      </c>
      <c r="E248" t="s">
        <v>2395</v>
      </c>
      <c r="F248" s="2">
        <v>44481</v>
      </c>
      <c r="G248" s="2">
        <v>44479</v>
      </c>
      <c r="H248">
        <v>2021</v>
      </c>
      <c r="I248">
        <v>4</v>
      </c>
      <c r="J248" t="s">
        <v>2396</v>
      </c>
    </row>
    <row r="249" spans="1:10" x14ac:dyDescent="0.25">
      <c r="A249" t="s">
        <v>1310</v>
      </c>
      <c r="B249">
        <v>21071</v>
      </c>
      <c r="C249" t="s">
        <v>2397</v>
      </c>
      <c r="D249" t="s">
        <v>2398</v>
      </c>
      <c r="E249" t="s">
        <v>2399</v>
      </c>
      <c r="F249" s="2">
        <v>44494</v>
      </c>
      <c r="G249" s="2">
        <v>44493</v>
      </c>
      <c r="H249">
        <v>2021</v>
      </c>
      <c r="I249">
        <v>4</v>
      </c>
      <c r="J249" t="s">
        <v>2400</v>
      </c>
    </row>
    <row r="250" spans="1:10" x14ac:dyDescent="0.25">
      <c r="A250" t="s">
        <v>1310</v>
      </c>
      <c r="B250">
        <v>21073</v>
      </c>
      <c r="C250" t="s">
        <v>2401</v>
      </c>
      <c r="D250" t="s">
        <v>2402</v>
      </c>
      <c r="E250" t="s">
        <v>2403</v>
      </c>
      <c r="F250" s="2">
        <v>44513</v>
      </c>
      <c r="G250" s="2">
        <v>44512</v>
      </c>
      <c r="H250">
        <v>2021</v>
      </c>
      <c r="I250">
        <v>4</v>
      </c>
      <c r="J250" t="s">
        <v>2404</v>
      </c>
    </row>
    <row r="251" spans="1:10" x14ac:dyDescent="0.25">
      <c r="A251" t="s">
        <v>1310</v>
      </c>
      <c r="B251">
        <v>21075</v>
      </c>
      <c r="C251" t="s">
        <v>2405</v>
      </c>
      <c r="D251" t="s">
        <v>2406</v>
      </c>
      <c r="E251" t="s">
        <v>2407</v>
      </c>
      <c r="F251" s="2">
        <v>44511</v>
      </c>
      <c r="G251" s="2">
        <v>44510</v>
      </c>
      <c r="H251">
        <v>2021</v>
      </c>
      <c r="I251">
        <v>4</v>
      </c>
      <c r="J251" t="s">
        <v>2408</v>
      </c>
    </row>
    <row r="252" spans="1:10" x14ac:dyDescent="0.25">
      <c r="A252" t="s">
        <v>1310</v>
      </c>
      <c r="B252">
        <v>21076</v>
      </c>
      <c r="C252" t="s">
        <v>2409</v>
      </c>
      <c r="D252" t="s">
        <v>2410</v>
      </c>
      <c r="E252" t="s">
        <v>2411</v>
      </c>
      <c r="F252" s="2">
        <v>44542</v>
      </c>
      <c r="G252" s="2">
        <v>44540</v>
      </c>
      <c r="H252">
        <v>2021</v>
      </c>
      <c r="I252">
        <v>4</v>
      </c>
      <c r="J252" t="s">
        <v>2412</v>
      </c>
    </row>
    <row r="253" spans="1:10" x14ac:dyDescent="0.25">
      <c r="A253" t="s">
        <v>1310</v>
      </c>
      <c r="B253">
        <v>21077</v>
      </c>
      <c r="C253" t="s">
        <v>2413</v>
      </c>
      <c r="D253" t="s">
        <v>2414</v>
      </c>
      <c r="E253" t="s">
        <v>2415</v>
      </c>
      <c r="F253" s="2">
        <v>44546</v>
      </c>
      <c r="G253" s="2">
        <v>44543</v>
      </c>
      <c r="H253">
        <v>2021</v>
      </c>
      <c r="I253">
        <v>4</v>
      </c>
      <c r="J253" t="s">
        <v>2416</v>
      </c>
    </row>
    <row r="254" spans="1:10" x14ac:dyDescent="0.25">
      <c r="A254" t="s">
        <v>1310</v>
      </c>
      <c r="B254">
        <v>21078</v>
      </c>
      <c r="C254" t="s">
        <v>2417</v>
      </c>
      <c r="D254" t="s">
        <v>2418</v>
      </c>
      <c r="E254" t="s">
        <v>2419</v>
      </c>
      <c r="F254" s="2">
        <v>44548</v>
      </c>
      <c r="G254" s="2">
        <v>44547</v>
      </c>
      <c r="H254">
        <v>2021</v>
      </c>
      <c r="I254">
        <v>4</v>
      </c>
      <c r="J254" t="s">
        <v>2420</v>
      </c>
    </row>
    <row r="255" spans="1:10" x14ac:dyDescent="0.25">
      <c r="A255" t="s">
        <v>1310</v>
      </c>
      <c r="B255">
        <v>21079</v>
      </c>
      <c r="C255" t="s">
        <v>2421</v>
      </c>
      <c r="D255" t="s">
        <v>2422</v>
      </c>
      <c r="E255" t="s">
        <v>2423</v>
      </c>
      <c r="F255" s="2">
        <v>44551</v>
      </c>
      <c r="G255" s="2">
        <v>44551</v>
      </c>
      <c r="H255">
        <v>2021</v>
      </c>
      <c r="I255">
        <v>4</v>
      </c>
      <c r="J255" t="s">
        <v>2424</v>
      </c>
    </row>
    <row r="256" spans="1:10" x14ac:dyDescent="0.25">
      <c r="A256" t="s">
        <v>1310</v>
      </c>
      <c r="B256">
        <v>22016</v>
      </c>
      <c r="C256" t="s">
        <v>2425</v>
      </c>
      <c r="D256" t="s">
        <v>2426</v>
      </c>
      <c r="E256" t="s">
        <v>2427</v>
      </c>
      <c r="F256" s="2">
        <v>44614</v>
      </c>
      <c r="G256" s="2">
        <v>44613</v>
      </c>
      <c r="H256">
        <v>2022</v>
      </c>
      <c r="I256">
        <v>1</v>
      </c>
      <c r="J256" t="s">
        <v>2428</v>
      </c>
    </row>
    <row r="257" spans="1:10" x14ac:dyDescent="0.25">
      <c r="A257" t="s">
        <v>1310</v>
      </c>
      <c r="B257">
        <v>22017</v>
      </c>
      <c r="C257" t="s">
        <v>2429</v>
      </c>
      <c r="D257" t="s">
        <v>2430</v>
      </c>
      <c r="E257" t="s">
        <v>2431</v>
      </c>
      <c r="F257" s="2">
        <v>44627</v>
      </c>
      <c r="G257" s="2">
        <v>44625</v>
      </c>
      <c r="H257">
        <v>2022</v>
      </c>
      <c r="I257">
        <v>1</v>
      </c>
      <c r="J257" t="s">
        <v>2432</v>
      </c>
    </row>
    <row r="258" spans="1:10" x14ac:dyDescent="0.25">
      <c r="A258" t="s">
        <v>1310</v>
      </c>
      <c r="B258">
        <v>22019</v>
      </c>
      <c r="C258" t="s">
        <v>2433</v>
      </c>
      <c r="D258" t="s">
        <v>2434</v>
      </c>
      <c r="E258" t="s">
        <v>2435</v>
      </c>
      <c r="F258" s="2">
        <v>44636</v>
      </c>
      <c r="G258" s="2">
        <v>44634</v>
      </c>
      <c r="H258">
        <v>2022</v>
      </c>
      <c r="I258">
        <v>1</v>
      </c>
      <c r="J258" t="s">
        <v>2436</v>
      </c>
    </row>
    <row r="259" spans="1:10" x14ac:dyDescent="0.25">
      <c r="A259" t="s">
        <v>1310</v>
      </c>
      <c r="B259">
        <v>22020</v>
      </c>
      <c r="C259" t="s">
        <v>2437</v>
      </c>
      <c r="D259" t="s">
        <v>2438</v>
      </c>
      <c r="E259" t="s">
        <v>2439</v>
      </c>
      <c r="F259" s="2">
        <v>44643</v>
      </c>
      <c r="G259" s="2">
        <v>44641</v>
      </c>
      <c r="H259">
        <v>2022</v>
      </c>
      <c r="I259">
        <v>1</v>
      </c>
      <c r="J259" t="s">
        <v>2440</v>
      </c>
    </row>
    <row r="260" spans="1:10" x14ac:dyDescent="0.25">
      <c r="A260" t="s">
        <v>1310</v>
      </c>
      <c r="B260">
        <v>22021</v>
      </c>
      <c r="C260" t="s">
        <v>2441</v>
      </c>
      <c r="D260" t="s">
        <v>2442</v>
      </c>
      <c r="E260" t="s">
        <v>2443</v>
      </c>
      <c r="F260" s="2">
        <v>44652</v>
      </c>
      <c r="G260" s="2">
        <v>44649</v>
      </c>
      <c r="H260">
        <v>2022</v>
      </c>
      <c r="I260">
        <v>2</v>
      </c>
      <c r="J260" t="s">
        <v>2444</v>
      </c>
    </row>
    <row r="261" spans="1:10" x14ac:dyDescent="0.25">
      <c r="A261" t="s">
        <v>1310</v>
      </c>
      <c r="B261">
        <v>22062</v>
      </c>
      <c r="C261" t="s">
        <v>2445</v>
      </c>
      <c r="D261" t="s">
        <v>2446</v>
      </c>
      <c r="E261" t="s">
        <v>2447</v>
      </c>
      <c r="F261" s="2">
        <v>44838</v>
      </c>
      <c r="G261" s="2">
        <v>44835</v>
      </c>
      <c r="H261">
        <v>2022</v>
      </c>
      <c r="I261">
        <v>4</v>
      </c>
      <c r="J261" t="s">
        <v>2448</v>
      </c>
    </row>
    <row r="262" spans="1:10" x14ac:dyDescent="0.25">
      <c r="A262" t="s">
        <v>1310</v>
      </c>
      <c r="B262">
        <v>22064</v>
      </c>
      <c r="C262" t="s">
        <v>2449</v>
      </c>
      <c r="D262" t="s">
        <v>2450</v>
      </c>
      <c r="E262" t="s">
        <v>2451</v>
      </c>
      <c r="F262" s="2">
        <v>44859</v>
      </c>
      <c r="G262" s="2">
        <v>44858</v>
      </c>
      <c r="H262">
        <v>2022</v>
      </c>
      <c r="I262">
        <v>4</v>
      </c>
      <c r="J262" t="s">
        <v>2452</v>
      </c>
    </row>
    <row r="263" spans="1:10" x14ac:dyDescent="0.25">
      <c r="A263" t="s">
        <v>1310</v>
      </c>
      <c r="B263">
        <v>22065</v>
      </c>
      <c r="C263" t="s">
        <v>2453</v>
      </c>
      <c r="D263" t="s">
        <v>2454</v>
      </c>
      <c r="E263" t="s">
        <v>2455</v>
      </c>
      <c r="F263" s="2">
        <v>44870</v>
      </c>
      <c r="G263" s="2">
        <v>44869</v>
      </c>
      <c r="H263">
        <v>2022</v>
      </c>
      <c r="I263">
        <v>4</v>
      </c>
      <c r="J263" t="s">
        <v>2456</v>
      </c>
    </row>
    <row r="264" spans="1:10" x14ac:dyDescent="0.25">
      <c r="A264" t="s">
        <v>1310</v>
      </c>
      <c r="B264">
        <v>22068</v>
      </c>
      <c r="C264" t="s">
        <v>2457</v>
      </c>
      <c r="D264" t="s">
        <v>2458</v>
      </c>
      <c r="E264" t="s">
        <v>2459</v>
      </c>
      <c r="F264" s="2">
        <v>44876</v>
      </c>
      <c r="G264" s="2">
        <v>44876</v>
      </c>
      <c r="H264">
        <v>2022</v>
      </c>
      <c r="I264">
        <v>4</v>
      </c>
      <c r="J264" t="s">
        <v>2460</v>
      </c>
    </row>
    <row r="265" spans="1:10" x14ac:dyDescent="0.25">
      <c r="A265" t="s">
        <v>1310</v>
      </c>
      <c r="B265">
        <v>22070</v>
      </c>
      <c r="C265" t="s">
        <v>2461</v>
      </c>
      <c r="D265" t="s">
        <v>2462</v>
      </c>
      <c r="E265" t="s">
        <v>2463</v>
      </c>
      <c r="F265" s="2">
        <v>44895</v>
      </c>
      <c r="G265" s="2">
        <v>44894</v>
      </c>
      <c r="H265">
        <v>2022</v>
      </c>
      <c r="I265">
        <v>4</v>
      </c>
      <c r="J265" t="s">
        <v>2464</v>
      </c>
    </row>
    <row r="266" spans="1:10" x14ac:dyDescent="0.25">
      <c r="A266" t="s">
        <v>1310</v>
      </c>
      <c r="B266">
        <v>23019</v>
      </c>
      <c r="C266" t="s">
        <v>2465</v>
      </c>
      <c r="D266" t="s">
        <v>2466</v>
      </c>
      <c r="E266" t="s">
        <v>2467</v>
      </c>
      <c r="F266" s="2">
        <v>44966</v>
      </c>
      <c r="G266" s="2">
        <v>44964</v>
      </c>
      <c r="H266">
        <v>2023</v>
      </c>
      <c r="I266">
        <v>1</v>
      </c>
      <c r="J266" t="s">
        <v>2468</v>
      </c>
    </row>
    <row r="267" spans="1:10" x14ac:dyDescent="0.25">
      <c r="A267" t="s">
        <v>1310</v>
      </c>
      <c r="B267">
        <v>23012</v>
      </c>
      <c r="C267" t="s">
        <v>1421</v>
      </c>
      <c r="D267" t="s">
        <v>2469</v>
      </c>
      <c r="E267" t="s">
        <v>2470</v>
      </c>
      <c r="F267" s="2">
        <v>44938</v>
      </c>
      <c r="G267" s="2">
        <v>44938</v>
      </c>
      <c r="H267">
        <v>2023</v>
      </c>
      <c r="I267">
        <v>1</v>
      </c>
      <c r="J267" t="s">
        <v>2471</v>
      </c>
    </row>
    <row r="268" spans="1:10" x14ac:dyDescent="0.25">
      <c r="A268" t="s">
        <v>1310</v>
      </c>
      <c r="B268">
        <v>23013</v>
      </c>
      <c r="C268" t="s">
        <v>1422</v>
      </c>
      <c r="D268" t="s">
        <v>2472</v>
      </c>
      <c r="E268" t="s">
        <v>2473</v>
      </c>
      <c r="F268" s="2">
        <v>44942</v>
      </c>
      <c r="G268" s="2">
        <v>44937</v>
      </c>
      <c r="H268">
        <v>2023</v>
      </c>
      <c r="I268">
        <v>1</v>
      </c>
      <c r="J268" t="s">
        <v>2474</v>
      </c>
    </row>
    <row r="269" spans="1:10" x14ac:dyDescent="0.25">
      <c r="A269" t="s">
        <v>1310</v>
      </c>
      <c r="B269">
        <v>23016</v>
      </c>
      <c r="C269" t="s">
        <v>1423</v>
      </c>
      <c r="D269" t="s">
        <v>2475</v>
      </c>
      <c r="E269" t="s">
        <v>2476</v>
      </c>
      <c r="F269" s="2">
        <v>44950</v>
      </c>
      <c r="G269" s="2">
        <v>44950</v>
      </c>
      <c r="H269">
        <v>2023</v>
      </c>
      <c r="I269">
        <v>1</v>
      </c>
      <c r="J269" t="s">
        <v>2477</v>
      </c>
    </row>
    <row r="270" spans="1:10" x14ac:dyDescent="0.25">
      <c r="A270" t="s">
        <v>1310</v>
      </c>
      <c r="B270">
        <v>23025</v>
      </c>
      <c r="C270" t="s">
        <v>1425</v>
      </c>
      <c r="D270" t="s">
        <v>2478</v>
      </c>
      <c r="E270" t="s">
        <v>2479</v>
      </c>
      <c r="F270" s="2">
        <v>44988</v>
      </c>
      <c r="G270" s="2">
        <v>44986</v>
      </c>
      <c r="H270">
        <v>2023</v>
      </c>
      <c r="I270">
        <v>1</v>
      </c>
      <c r="J270" t="s">
        <v>2480</v>
      </c>
    </row>
    <row r="271" spans="1:10" x14ac:dyDescent="0.25">
      <c r="A271" t="s">
        <v>1310</v>
      </c>
      <c r="B271">
        <v>23030</v>
      </c>
      <c r="C271" t="s">
        <v>1426</v>
      </c>
      <c r="D271" t="s">
        <v>2481</v>
      </c>
      <c r="E271" t="s">
        <v>2482</v>
      </c>
      <c r="F271" s="2">
        <v>45002</v>
      </c>
      <c r="G271" s="2">
        <v>45001</v>
      </c>
      <c r="H271">
        <v>2023</v>
      </c>
      <c r="I271">
        <v>1</v>
      </c>
      <c r="J271" t="s">
        <v>2483</v>
      </c>
    </row>
    <row r="272" spans="1:10" x14ac:dyDescent="0.25">
      <c r="A272" t="s">
        <v>1310</v>
      </c>
      <c r="B272">
        <v>23032</v>
      </c>
      <c r="C272" t="s">
        <v>1427</v>
      </c>
      <c r="D272" t="s">
        <v>2484</v>
      </c>
      <c r="E272" t="s">
        <v>2485</v>
      </c>
      <c r="F272" s="2">
        <v>45013</v>
      </c>
      <c r="G272" s="2">
        <v>45008</v>
      </c>
      <c r="H272">
        <v>2023</v>
      </c>
      <c r="I272">
        <v>1</v>
      </c>
      <c r="J272" t="s">
        <v>2486</v>
      </c>
    </row>
    <row r="273" spans="1:10" x14ac:dyDescent="0.25">
      <c r="A273" t="s">
        <v>1310</v>
      </c>
      <c r="B273">
        <v>23033</v>
      </c>
      <c r="C273" t="s">
        <v>1428</v>
      </c>
      <c r="D273" t="s">
        <v>2487</v>
      </c>
      <c r="E273" t="s">
        <v>2488</v>
      </c>
      <c r="F273" s="2">
        <v>45017</v>
      </c>
      <c r="G273" s="2">
        <v>45015</v>
      </c>
      <c r="H273">
        <v>2023</v>
      </c>
      <c r="I273">
        <v>2</v>
      </c>
      <c r="J273" t="s">
        <v>2489</v>
      </c>
    </row>
    <row r="274" spans="1:10" x14ac:dyDescent="0.25">
      <c r="A274" t="s">
        <v>1310</v>
      </c>
      <c r="B274">
        <v>17011</v>
      </c>
      <c r="C274" t="s">
        <v>2490</v>
      </c>
      <c r="D274" t="s">
        <v>2491</v>
      </c>
      <c r="E274" t="s">
        <v>2492</v>
      </c>
      <c r="F274" s="2">
        <v>42738</v>
      </c>
      <c r="G274" s="2">
        <v>42736</v>
      </c>
      <c r="H274">
        <v>2017</v>
      </c>
      <c r="I274">
        <v>1</v>
      </c>
      <c r="J274" t="s">
        <v>2493</v>
      </c>
    </row>
    <row r="275" spans="1:10" x14ac:dyDescent="0.25">
      <c r="A275" t="s">
        <v>1310</v>
      </c>
      <c r="B275">
        <v>17012</v>
      </c>
      <c r="C275" t="s">
        <v>2494</v>
      </c>
      <c r="D275" t="s">
        <v>2495</v>
      </c>
      <c r="E275" t="s">
        <v>2496</v>
      </c>
      <c r="F275" s="2">
        <v>42744</v>
      </c>
      <c r="G275" s="2">
        <v>42741</v>
      </c>
      <c r="H275">
        <v>2017</v>
      </c>
      <c r="I275">
        <v>1</v>
      </c>
      <c r="J275" t="s">
        <v>2497</v>
      </c>
    </row>
    <row r="276" spans="1:10" x14ac:dyDescent="0.25">
      <c r="A276" t="s">
        <v>1310</v>
      </c>
      <c r="B276">
        <v>17013</v>
      </c>
      <c r="C276" t="s">
        <v>2498</v>
      </c>
      <c r="D276" t="s">
        <v>2499</v>
      </c>
      <c r="E276" t="s">
        <v>2500</v>
      </c>
      <c r="F276" s="2">
        <v>42758</v>
      </c>
      <c r="G276" s="2">
        <v>42753</v>
      </c>
      <c r="H276">
        <v>2017</v>
      </c>
      <c r="I276">
        <v>1</v>
      </c>
      <c r="J276" t="s">
        <v>2501</v>
      </c>
    </row>
    <row r="277" spans="1:10" x14ac:dyDescent="0.25">
      <c r="A277" t="s">
        <v>1310</v>
      </c>
      <c r="B277">
        <v>18012</v>
      </c>
      <c r="C277" t="s">
        <v>2502</v>
      </c>
      <c r="D277" t="s">
        <v>2503</v>
      </c>
      <c r="E277" t="s">
        <v>2504</v>
      </c>
      <c r="F277" s="2">
        <v>43110</v>
      </c>
      <c r="G277" s="2">
        <v>43108</v>
      </c>
      <c r="H277">
        <v>2018</v>
      </c>
      <c r="I277">
        <v>1</v>
      </c>
      <c r="J277" t="s">
        <v>2505</v>
      </c>
    </row>
    <row r="278" spans="1:10" x14ac:dyDescent="0.25">
      <c r="A278" t="s">
        <v>1310</v>
      </c>
      <c r="B278">
        <v>18321</v>
      </c>
      <c r="C278" t="s">
        <v>1337</v>
      </c>
      <c r="D278" t="s">
        <v>2506</v>
      </c>
      <c r="E278" t="s">
        <v>2507</v>
      </c>
      <c r="F278" s="2">
        <v>43333</v>
      </c>
      <c r="G278" s="2">
        <v>43332</v>
      </c>
      <c r="H278">
        <v>2018</v>
      </c>
      <c r="I278">
        <v>3</v>
      </c>
      <c r="J278" t="s">
        <v>2508</v>
      </c>
    </row>
    <row r="279" spans="1:10" x14ac:dyDescent="0.25">
      <c r="A279" t="s">
        <v>1310</v>
      </c>
      <c r="B279">
        <v>19071</v>
      </c>
      <c r="C279" t="s">
        <v>2509</v>
      </c>
      <c r="D279" t="s">
        <v>2510</v>
      </c>
      <c r="E279" t="s">
        <v>2511</v>
      </c>
      <c r="F279" s="2">
        <v>43830</v>
      </c>
      <c r="G279" s="2">
        <v>43827</v>
      </c>
      <c r="H279">
        <v>2019</v>
      </c>
      <c r="I279">
        <v>4</v>
      </c>
      <c r="J279" t="s">
        <v>2512</v>
      </c>
    </row>
    <row r="280" spans="1:10" x14ac:dyDescent="0.25">
      <c r="A280" t="s">
        <v>1310</v>
      </c>
      <c r="B280">
        <v>20037</v>
      </c>
      <c r="C280" t="s">
        <v>1358</v>
      </c>
      <c r="D280" t="s">
        <v>2513</v>
      </c>
      <c r="E280" t="s">
        <v>2514</v>
      </c>
      <c r="F280" s="2">
        <v>43991</v>
      </c>
      <c r="G280" s="2">
        <v>43988</v>
      </c>
      <c r="H280">
        <v>2020</v>
      </c>
      <c r="I280">
        <v>2</v>
      </c>
      <c r="J280" t="s">
        <v>2515</v>
      </c>
    </row>
    <row r="281" spans="1:10" x14ac:dyDescent="0.25">
      <c r="A281" t="s">
        <v>1310</v>
      </c>
      <c r="B281">
        <v>20070</v>
      </c>
      <c r="C281" t="s">
        <v>2516</v>
      </c>
      <c r="D281" t="s">
        <v>2517</v>
      </c>
      <c r="E281" t="s">
        <v>2518</v>
      </c>
      <c r="F281" s="2">
        <v>44112</v>
      </c>
      <c r="G281" s="2">
        <v>44111</v>
      </c>
      <c r="H281">
        <v>2020</v>
      </c>
      <c r="I281">
        <v>4</v>
      </c>
      <c r="J281" t="s">
        <v>2519</v>
      </c>
    </row>
    <row r="282" spans="1:10" x14ac:dyDescent="0.25">
      <c r="A282" t="s">
        <v>1310</v>
      </c>
      <c r="B282">
        <v>20075</v>
      </c>
      <c r="C282" t="s">
        <v>2520</v>
      </c>
      <c r="D282" t="s">
        <v>2521</v>
      </c>
      <c r="E282" t="s">
        <v>2522</v>
      </c>
      <c r="F282" s="2">
        <v>44132</v>
      </c>
      <c r="G282" s="2">
        <v>44129</v>
      </c>
      <c r="H282">
        <v>2020</v>
      </c>
      <c r="I282">
        <v>4</v>
      </c>
      <c r="J282" t="s">
        <v>2523</v>
      </c>
    </row>
    <row r="283" spans="1:10" x14ac:dyDescent="0.25">
      <c r="A283" t="s">
        <v>1310</v>
      </c>
      <c r="B283">
        <v>20077</v>
      </c>
      <c r="C283" t="s">
        <v>2524</v>
      </c>
      <c r="D283" t="s">
        <v>2525</v>
      </c>
      <c r="E283" t="s">
        <v>2526</v>
      </c>
      <c r="F283" s="2">
        <v>44147</v>
      </c>
      <c r="G283" s="2">
        <v>44145</v>
      </c>
      <c r="H283">
        <v>2020</v>
      </c>
      <c r="I283">
        <v>4</v>
      </c>
      <c r="J283" t="s">
        <v>2527</v>
      </c>
    </row>
    <row r="284" spans="1:10" x14ac:dyDescent="0.25">
      <c r="A284" t="s">
        <v>1310</v>
      </c>
      <c r="B284">
        <v>20078</v>
      </c>
      <c r="C284" t="s">
        <v>2528</v>
      </c>
      <c r="D284" t="s">
        <v>2529</v>
      </c>
      <c r="E284" t="s">
        <v>2530</v>
      </c>
      <c r="F284" s="2">
        <v>44151</v>
      </c>
      <c r="G284" s="2">
        <v>44150</v>
      </c>
      <c r="H284">
        <v>2020</v>
      </c>
      <c r="I284">
        <v>4</v>
      </c>
      <c r="J284" t="s">
        <v>2531</v>
      </c>
    </row>
    <row r="285" spans="1:10" x14ac:dyDescent="0.25">
      <c r="A285" t="s">
        <v>1310</v>
      </c>
      <c r="B285">
        <v>20079</v>
      </c>
      <c r="C285" t="s">
        <v>2532</v>
      </c>
      <c r="D285" t="s">
        <v>2533</v>
      </c>
      <c r="E285" t="s">
        <v>2534</v>
      </c>
      <c r="F285" s="2">
        <v>44166</v>
      </c>
      <c r="G285" s="2">
        <v>44165</v>
      </c>
      <c r="H285">
        <v>2020</v>
      </c>
      <c r="I285">
        <v>4</v>
      </c>
      <c r="J285" t="s">
        <v>2535</v>
      </c>
    </row>
    <row r="286" spans="1:10" x14ac:dyDescent="0.25">
      <c r="A286" t="s">
        <v>1310</v>
      </c>
      <c r="B286">
        <v>20080</v>
      </c>
      <c r="C286" t="s">
        <v>2536</v>
      </c>
      <c r="D286" t="s">
        <v>2537</v>
      </c>
      <c r="E286" t="s">
        <v>2538</v>
      </c>
      <c r="F286" s="2">
        <v>44190</v>
      </c>
      <c r="G286" s="2">
        <v>44189</v>
      </c>
      <c r="H286">
        <v>2020</v>
      </c>
      <c r="I286">
        <v>4</v>
      </c>
      <c r="J286" t="s">
        <v>2539</v>
      </c>
    </row>
    <row r="287" spans="1:10" x14ac:dyDescent="0.25">
      <c r="A287" t="s">
        <v>1310</v>
      </c>
      <c r="B287">
        <v>21012</v>
      </c>
      <c r="C287" t="s">
        <v>2540</v>
      </c>
      <c r="D287" t="s">
        <v>2541</v>
      </c>
      <c r="E287" t="s">
        <v>2542</v>
      </c>
      <c r="F287" s="2">
        <v>44216</v>
      </c>
      <c r="G287" s="2">
        <v>44213</v>
      </c>
      <c r="H287">
        <v>2021</v>
      </c>
      <c r="I287">
        <v>1</v>
      </c>
      <c r="J287" t="s">
        <v>2543</v>
      </c>
    </row>
    <row r="288" spans="1:10" x14ac:dyDescent="0.25">
      <c r="A288" t="s">
        <v>1310</v>
      </c>
      <c r="B288">
        <v>21036</v>
      </c>
      <c r="C288" t="s">
        <v>1403</v>
      </c>
      <c r="D288" t="s">
        <v>2544</v>
      </c>
      <c r="E288" t="s">
        <v>2545</v>
      </c>
      <c r="F288" s="2">
        <v>44356</v>
      </c>
      <c r="G288" s="2">
        <v>44354</v>
      </c>
      <c r="H288">
        <v>2021</v>
      </c>
      <c r="I288">
        <v>2</v>
      </c>
      <c r="J288" t="s">
        <v>2546</v>
      </c>
    </row>
    <row r="289" spans="1:10" x14ac:dyDescent="0.25">
      <c r="A289" t="s">
        <v>1310</v>
      </c>
      <c r="B289">
        <v>21058</v>
      </c>
      <c r="C289" t="s">
        <v>1408</v>
      </c>
      <c r="D289" t="s">
        <v>2547</v>
      </c>
      <c r="E289" t="s">
        <v>2548</v>
      </c>
      <c r="F289" s="2">
        <v>44430</v>
      </c>
      <c r="G289" s="2">
        <v>44429</v>
      </c>
      <c r="H289">
        <v>2021</v>
      </c>
      <c r="I289">
        <v>3</v>
      </c>
      <c r="J289" t="s">
        <v>2549</v>
      </c>
    </row>
    <row r="290" spans="1:10" x14ac:dyDescent="0.25">
      <c r="A290" t="s">
        <v>1310</v>
      </c>
      <c r="B290">
        <v>21063</v>
      </c>
      <c r="C290" t="s">
        <v>1410</v>
      </c>
      <c r="D290" t="s">
        <v>2550</v>
      </c>
      <c r="E290" t="s">
        <v>2551</v>
      </c>
      <c r="F290" s="2">
        <v>44455</v>
      </c>
      <c r="G290" s="2">
        <v>44451</v>
      </c>
      <c r="H290">
        <v>2021</v>
      </c>
      <c r="I290">
        <v>3</v>
      </c>
      <c r="J290" t="s">
        <v>2552</v>
      </c>
    </row>
    <row r="291" spans="1:10" x14ac:dyDescent="0.25">
      <c r="A291" t="s">
        <v>1310</v>
      </c>
      <c r="B291">
        <v>21070</v>
      </c>
      <c r="C291" t="s">
        <v>1411</v>
      </c>
      <c r="D291" t="s">
        <v>2398</v>
      </c>
      <c r="E291" t="s">
        <v>2553</v>
      </c>
      <c r="F291" s="2">
        <v>44497</v>
      </c>
      <c r="G291" s="2">
        <v>44493</v>
      </c>
      <c r="H291">
        <v>2021</v>
      </c>
      <c r="I291">
        <v>4</v>
      </c>
      <c r="J291" t="s">
        <v>2554</v>
      </c>
    </row>
    <row r="292" spans="1:10" x14ac:dyDescent="0.25">
      <c r="A292" t="s">
        <v>1310</v>
      </c>
      <c r="B292">
        <v>21072</v>
      </c>
      <c r="C292" t="s">
        <v>2555</v>
      </c>
      <c r="D292" t="s">
        <v>2556</v>
      </c>
      <c r="E292" t="s">
        <v>2557</v>
      </c>
      <c r="F292" s="2">
        <v>44496</v>
      </c>
      <c r="G292" s="2">
        <v>44494</v>
      </c>
      <c r="H292">
        <v>2021</v>
      </c>
      <c r="I292">
        <v>4</v>
      </c>
      <c r="J292" t="s">
        <v>2558</v>
      </c>
    </row>
    <row r="293" spans="1:10" x14ac:dyDescent="0.25">
      <c r="A293" t="s">
        <v>1310</v>
      </c>
      <c r="B293">
        <v>21074</v>
      </c>
      <c r="C293" t="s">
        <v>1412</v>
      </c>
      <c r="D293" t="s">
        <v>2559</v>
      </c>
      <c r="E293" t="s">
        <v>2560</v>
      </c>
      <c r="F293" s="2">
        <v>44516</v>
      </c>
      <c r="G293" s="2">
        <v>44514</v>
      </c>
      <c r="H293">
        <v>2021</v>
      </c>
      <c r="I293">
        <v>4</v>
      </c>
      <c r="J293" t="s">
        <v>2561</v>
      </c>
    </row>
    <row r="294" spans="1:10" x14ac:dyDescent="0.25">
      <c r="A294" t="s">
        <v>1310</v>
      </c>
      <c r="B294">
        <v>21080</v>
      </c>
      <c r="C294" t="s">
        <v>2562</v>
      </c>
      <c r="D294" t="s">
        <v>2563</v>
      </c>
      <c r="E294" t="s">
        <v>2564</v>
      </c>
      <c r="F294" s="2">
        <v>44554</v>
      </c>
      <c r="G294" s="2">
        <v>44553</v>
      </c>
      <c r="H294">
        <v>2021</v>
      </c>
      <c r="I294">
        <v>4</v>
      </c>
      <c r="J294" t="s">
        <v>2565</v>
      </c>
    </row>
    <row r="295" spans="1:10" x14ac:dyDescent="0.25">
      <c r="A295" t="s">
        <v>1310</v>
      </c>
      <c r="B295">
        <v>22013</v>
      </c>
      <c r="C295" t="s">
        <v>2566</v>
      </c>
      <c r="D295" t="s">
        <v>2567</v>
      </c>
      <c r="E295" t="s">
        <v>2568</v>
      </c>
      <c r="F295" s="2">
        <v>44583</v>
      </c>
      <c r="G295" s="2">
        <v>44582</v>
      </c>
      <c r="H295">
        <v>2022</v>
      </c>
      <c r="I295">
        <v>1</v>
      </c>
      <c r="J295" t="s">
        <v>2569</v>
      </c>
    </row>
    <row r="296" spans="1:10" x14ac:dyDescent="0.25">
      <c r="A296" t="s">
        <v>1310</v>
      </c>
      <c r="B296">
        <v>22015</v>
      </c>
      <c r="C296" t="s">
        <v>2570</v>
      </c>
      <c r="D296" t="s">
        <v>2571</v>
      </c>
      <c r="E296" t="s">
        <v>2572</v>
      </c>
      <c r="F296" s="2">
        <v>44610</v>
      </c>
      <c r="G296" s="2">
        <v>44608</v>
      </c>
      <c r="H296">
        <v>2022</v>
      </c>
      <c r="I296">
        <v>1</v>
      </c>
      <c r="J296" t="s">
        <v>2573</v>
      </c>
    </row>
    <row r="297" spans="1:10" x14ac:dyDescent="0.25">
      <c r="A297" t="s">
        <v>1310</v>
      </c>
      <c r="B297">
        <v>22018</v>
      </c>
      <c r="C297" t="s">
        <v>2574</v>
      </c>
      <c r="D297" t="s">
        <v>2575</v>
      </c>
      <c r="E297" t="s">
        <v>2576</v>
      </c>
      <c r="F297" s="2">
        <v>44632</v>
      </c>
      <c r="G297" s="2">
        <v>44631</v>
      </c>
      <c r="H297">
        <v>2022</v>
      </c>
      <c r="I297">
        <v>1</v>
      </c>
      <c r="J297" t="s">
        <v>2577</v>
      </c>
    </row>
    <row r="298" spans="1:10" x14ac:dyDescent="0.25">
      <c r="A298" t="s">
        <v>1310</v>
      </c>
      <c r="B298">
        <v>22024</v>
      </c>
      <c r="C298" t="s">
        <v>2578</v>
      </c>
      <c r="D298" t="s">
        <v>2579</v>
      </c>
      <c r="E298" t="s">
        <v>1779</v>
      </c>
      <c r="F298" s="2">
        <v>44655</v>
      </c>
      <c r="G298" s="2">
        <v>44655</v>
      </c>
      <c r="H298">
        <v>2022</v>
      </c>
      <c r="I298">
        <v>2</v>
      </c>
      <c r="J298" t="s">
        <v>2580</v>
      </c>
    </row>
    <row r="299" spans="1:10" x14ac:dyDescent="0.25">
      <c r="A299" t="s">
        <v>1310</v>
      </c>
      <c r="B299">
        <v>22324</v>
      </c>
      <c r="C299" t="s">
        <v>1419</v>
      </c>
      <c r="D299" t="s">
        <v>2581</v>
      </c>
      <c r="E299" t="s">
        <v>2582</v>
      </c>
      <c r="F299" s="2">
        <v>44734</v>
      </c>
      <c r="G299" s="2">
        <v>44725</v>
      </c>
      <c r="H299">
        <v>2022</v>
      </c>
      <c r="I299">
        <v>2</v>
      </c>
      <c r="J299" t="s">
        <v>2583</v>
      </c>
    </row>
    <row r="300" spans="1:10" x14ac:dyDescent="0.25">
      <c r="A300" t="s">
        <v>1310</v>
      </c>
      <c r="B300">
        <v>22063</v>
      </c>
      <c r="C300" t="s">
        <v>2584</v>
      </c>
      <c r="D300" t="s">
        <v>2585</v>
      </c>
      <c r="E300" t="s">
        <v>2586</v>
      </c>
      <c r="F300" s="2">
        <v>44850</v>
      </c>
      <c r="G300" s="2">
        <v>44849</v>
      </c>
      <c r="H300">
        <v>2022</v>
      </c>
      <c r="I300">
        <v>4</v>
      </c>
      <c r="J300" t="s">
        <v>2587</v>
      </c>
    </row>
    <row r="301" spans="1:10" x14ac:dyDescent="0.25">
      <c r="A301" t="s">
        <v>1310</v>
      </c>
      <c r="B301">
        <v>22066</v>
      </c>
      <c r="C301" t="s">
        <v>2588</v>
      </c>
      <c r="D301" t="s">
        <v>2454</v>
      </c>
      <c r="E301" t="s">
        <v>2455</v>
      </c>
      <c r="F301" s="2">
        <v>44870</v>
      </c>
      <c r="G301" s="2">
        <v>44869</v>
      </c>
      <c r="H301">
        <v>2022</v>
      </c>
      <c r="I301">
        <v>4</v>
      </c>
      <c r="J301" t="s">
        <v>2589</v>
      </c>
    </row>
    <row r="302" spans="1:10" x14ac:dyDescent="0.25">
      <c r="A302" t="s">
        <v>1310</v>
      </c>
      <c r="B302">
        <v>22072</v>
      </c>
      <c r="C302" t="s">
        <v>2590</v>
      </c>
      <c r="D302" t="s">
        <v>2591</v>
      </c>
      <c r="E302" t="s">
        <v>2592</v>
      </c>
      <c r="F302" s="2">
        <v>44910</v>
      </c>
      <c r="G302" s="2">
        <v>44907</v>
      </c>
      <c r="H302">
        <v>2022</v>
      </c>
      <c r="I302">
        <v>4</v>
      </c>
      <c r="J302" t="s">
        <v>2593</v>
      </c>
    </row>
    <row r="303" spans="1:10" x14ac:dyDescent="0.25">
      <c r="A303" t="s">
        <v>1310</v>
      </c>
      <c r="B303">
        <v>23020</v>
      </c>
      <c r="C303" t="s">
        <v>1424</v>
      </c>
      <c r="D303" t="s">
        <v>2594</v>
      </c>
      <c r="E303" t="s">
        <v>2595</v>
      </c>
      <c r="F303" s="2">
        <v>44973</v>
      </c>
      <c r="G303" s="2">
        <v>44972</v>
      </c>
      <c r="H303">
        <v>2023</v>
      </c>
      <c r="I303">
        <v>1</v>
      </c>
      <c r="J303" t="s">
        <v>2596</v>
      </c>
    </row>
    <row r="304" spans="1:10" x14ac:dyDescent="0.25">
      <c r="A304" t="s">
        <v>1310</v>
      </c>
      <c r="B304">
        <v>23015</v>
      </c>
      <c r="C304" t="s">
        <v>2597</v>
      </c>
      <c r="D304" t="s">
        <v>2598</v>
      </c>
      <c r="E304" t="s">
        <v>2599</v>
      </c>
      <c r="F304" s="2">
        <v>44945</v>
      </c>
      <c r="G304" s="2">
        <v>44943</v>
      </c>
      <c r="H304">
        <v>2023</v>
      </c>
      <c r="I304">
        <v>1</v>
      </c>
      <c r="J304" t="s">
        <v>2600</v>
      </c>
    </row>
    <row r="305" spans="1:10" x14ac:dyDescent="0.25">
      <c r="A305" t="s">
        <v>1310</v>
      </c>
      <c r="B305">
        <v>23011</v>
      </c>
      <c r="C305" t="s">
        <v>2601</v>
      </c>
      <c r="D305" t="s">
        <v>2602</v>
      </c>
      <c r="E305" t="s">
        <v>2603</v>
      </c>
      <c r="F305" s="2">
        <v>44936</v>
      </c>
      <c r="G305" s="2">
        <v>44930</v>
      </c>
      <c r="H305">
        <v>2023</v>
      </c>
      <c r="I305">
        <v>1</v>
      </c>
      <c r="J305" t="s">
        <v>2604</v>
      </c>
    </row>
    <row r="306" spans="1:10" x14ac:dyDescent="0.25">
      <c r="A306" t="s">
        <v>1290</v>
      </c>
      <c r="B306">
        <v>17046</v>
      </c>
      <c r="C306" t="s">
        <v>1303</v>
      </c>
      <c r="D306" t="s">
        <v>2605</v>
      </c>
      <c r="E306" t="s">
        <v>2606</v>
      </c>
      <c r="F306" s="2">
        <v>43017</v>
      </c>
      <c r="G306" s="2">
        <v>43015</v>
      </c>
      <c r="H306">
        <v>2017</v>
      </c>
      <c r="I306">
        <v>4</v>
      </c>
      <c r="J306" t="s">
        <v>2607</v>
      </c>
    </row>
    <row r="307" spans="1:10" x14ac:dyDescent="0.25">
      <c r="A307" t="s">
        <v>1370</v>
      </c>
      <c r="B307">
        <v>17047</v>
      </c>
      <c r="C307" t="s">
        <v>2608</v>
      </c>
      <c r="D307" t="s">
        <v>2609</v>
      </c>
      <c r="E307" t="s">
        <v>2610</v>
      </c>
      <c r="F307" s="2">
        <v>43028</v>
      </c>
      <c r="G307" s="2">
        <v>43016</v>
      </c>
      <c r="H307">
        <v>2017</v>
      </c>
      <c r="I307">
        <v>4</v>
      </c>
      <c r="J307" t="s">
        <v>2611</v>
      </c>
    </row>
    <row r="308" spans="1:10" x14ac:dyDescent="0.25">
      <c r="A308" t="s">
        <v>1370</v>
      </c>
      <c r="B308">
        <v>17048</v>
      </c>
      <c r="C308" t="s">
        <v>2612</v>
      </c>
      <c r="D308" t="s">
        <v>2609</v>
      </c>
      <c r="E308" t="s">
        <v>2610</v>
      </c>
      <c r="F308" s="2">
        <v>43028</v>
      </c>
      <c r="G308" s="2">
        <v>43016</v>
      </c>
      <c r="H308">
        <v>2017</v>
      </c>
      <c r="I308">
        <v>4</v>
      </c>
      <c r="J308" t="s">
        <v>2613</v>
      </c>
    </row>
    <row r="309" spans="1:10" x14ac:dyDescent="0.25">
      <c r="A309" t="s">
        <v>1370</v>
      </c>
      <c r="B309">
        <v>17049</v>
      </c>
      <c r="C309" t="s">
        <v>2614</v>
      </c>
      <c r="D309" t="s">
        <v>2609</v>
      </c>
      <c r="E309" t="s">
        <v>2610</v>
      </c>
      <c r="F309" s="2">
        <v>43028</v>
      </c>
      <c r="G309" s="2">
        <v>43016</v>
      </c>
      <c r="H309">
        <v>2017</v>
      </c>
      <c r="I309">
        <v>4</v>
      </c>
      <c r="J309" t="s">
        <v>2615</v>
      </c>
    </row>
    <row r="310" spans="1:10" x14ac:dyDescent="0.25">
      <c r="A310" t="s">
        <v>1370</v>
      </c>
      <c r="B310">
        <v>17054</v>
      </c>
      <c r="C310" t="s">
        <v>2616</v>
      </c>
      <c r="D310" t="s">
        <v>2617</v>
      </c>
      <c r="E310" t="s">
        <v>2618</v>
      </c>
      <c r="F310" s="2">
        <v>43090</v>
      </c>
      <c r="G310" s="2">
        <v>43073</v>
      </c>
      <c r="H310">
        <v>2017</v>
      </c>
      <c r="I310">
        <v>4</v>
      </c>
      <c r="J310" t="s">
        <v>2619</v>
      </c>
    </row>
    <row r="311" spans="1:10" x14ac:dyDescent="0.25">
      <c r="A311" t="s">
        <v>1370</v>
      </c>
      <c r="B311">
        <v>17055</v>
      </c>
      <c r="C311" t="s">
        <v>1376</v>
      </c>
      <c r="D311" t="s">
        <v>2620</v>
      </c>
      <c r="E311" t="s">
        <v>2621</v>
      </c>
      <c r="F311" s="2">
        <v>43081</v>
      </c>
      <c r="G311" s="2">
        <v>43074</v>
      </c>
      <c r="H311">
        <v>2017</v>
      </c>
      <c r="I311">
        <v>4</v>
      </c>
      <c r="J311" t="s">
        <v>2622</v>
      </c>
    </row>
    <row r="312" spans="1:10" x14ac:dyDescent="0.25">
      <c r="A312" t="s">
        <v>1370</v>
      </c>
      <c r="B312">
        <v>17056</v>
      </c>
      <c r="C312" t="s">
        <v>2623</v>
      </c>
      <c r="D312" t="s">
        <v>2624</v>
      </c>
      <c r="E312" t="s">
        <v>2621</v>
      </c>
      <c r="F312" s="2">
        <v>43081</v>
      </c>
      <c r="G312" s="2">
        <v>43076</v>
      </c>
      <c r="H312">
        <v>2017</v>
      </c>
      <c r="I312">
        <v>4</v>
      </c>
      <c r="J312" t="s">
        <v>2625</v>
      </c>
    </row>
    <row r="313" spans="1:10" x14ac:dyDescent="0.25">
      <c r="A313" t="s">
        <v>2626</v>
      </c>
      <c r="B313">
        <v>17417</v>
      </c>
      <c r="C313" t="s">
        <v>2627</v>
      </c>
      <c r="D313" t="s">
        <v>2628</v>
      </c>
      <c r="E313" t="s">
        <v>2628</v>
      </c>
      <c r="F313" s="2">
        <v>43019</v>
      </c>
      <c r="G313" s="2">
        <v>43019</v>
      </c>
      <c r="H313">
        <v>2017</v>
      </c>
      <c r="I313">
        <v>4</v>
      </c>
      <c r="J313" t="s">
        <v>2629</v>
      </c>
    </row>
    <row r="314" spans="1:10" x14ac:dyDescent="0.25">
      <c r="A314" t="s">
        <v>1306</v>
      </c>
      <c r="B314">
        <v>18011</v>
      </c>
      <c r="C314" t="s">
        <v>2630</v>
      </c>
      <c r="D314" t="s">
        <v>2631</v>
      </c>
      <c r="E314" t="s">
        <v>2632</v>
      </c>
      <c r="F314" s="2">
        <v>43106</v>
      </c>
      <c r="G314" s="2">
        <v>43103</v>
      </c>
      <c r="H314">
        <v>2018</v>
      </c>
      <c r="I314">
        <v>1</v>
      </c>
      <c r="J314" t="s">
        <v>2633</v>
      </c>
    </row>
    <row r="315" spans="1:10" x14ac:dyDescent="0.25">
      <c r="A315" t="s">
        <v>1306</v>
      </c>
      <c r="B315">
        <v>18013</v>
      </c>
      <c r="C315" t="s">
        <v>2634</v>
      </c>
      <c r="D315" t="s">
        <v>2635</v>
      </c>
      <c r="E315" t="s">
        <v>2636</v>
      </c>
      <c r="F315" s="2">
        <v>43153</v>
      </c>
      <c r="G315" s="2">
        <v>43150</v>
      </c>
      <c r="H315">
        <v>2018</v>
      </c>
      <c r="I315">
        <v>1</v>
      </c>
      <c r="J315" t="s">
        <v>2637</v>
      </c>
    </row>
    <row r="316" spans="1:10" x14ac:dyDescent="0.25">
      <c r="A316" t="s">
        <v>1306</v>
      </c>
      <c r="B316">
        <v>18015</v>
      </c>
      <c r="C316" t="s">
        <v>2638</v>
      </c>
      <c r="D316" t="s">
        <v>2639</v>
      </c>
      <c r="E316" t="s">
        <v>2640</v>
      </c>
      <c r="F316" s="2">
        <v>43162</v>
      </c>
      <c r="G316" s="2">
        <v>43160</v>
      </c>
      <c r="H316">
        <v>2018</v>
      </c>
      <c r="I316">
        <v>1</v>
      </c>
      <c r="J316" t="s">
        <v>2641</v>
      </c>
    </row>
    <row r="317" spans="1:10" x14ac:dyDescent="0.25">
      <c r="A317" t="s">
        <v>1306</v>
      </c>
      <c r="B317">
        <v>18016</v>
      </c>
      <c r="C317" t="s">
        <v>2642</v>
      </c>
      <c r="D317" t="s">
        <v>2643</v>
      </c>
      <c r="E317" t="s">
        <v>2644</v>
      </c>
      <c r="F317" s="2">
        <v>43167</v>
      </c>
      <c r="G317" s="2">
        <v>43166</v>
      </c>
      <c r="H317">
        <v>2018</v>
      </c>
      <c r="I317">
        <v>1</v>
      </c>
      <c r="J317" t="s">
        <v>2645</v>
      </c>
    </row>
    <row r="318" spans="1:10" x14ac:dyDescent="0.25">
      <c r="A318" t="s">
        <v>1306</v>
      </c>
      <c r="B318">
        <v>18289</v>
      </c>
      <c r="C318" t="s">
        <v>2630</v>
      </c>
      <c r="D318" t="s">
        <v>2646</v>
      </c>
      <c r="E318" t="s">
        <v>2647</v>
      </c>
      <c r="F318" s="2">
        <v>43119</v>
      </c>
      <c r="G318" s="2">
        <v>43101</v>
      </c>
      <c r="H318">
        <v>2018</v>
      </c>
      <c r="I318">
        <v>1</v>
      </c>
      <c r="J318" t="s">
        <v>2648</v>
      </c>
    </row>
    <row r="319" spans="1:10" x14ac:dyDescent="0.25">
      <c r="A319" t="s">
        <v>1320</v>
      </c>
      <c r="B319">
        <v>18028</v>
      </c>
      <c r="C319" t="s">
        <v>1321</v>
      </c>
      <c r="D319" t="s">
        <v>2649</v>
      </c>
      <c r="E319" t="s">
        <v>1570</v>
      </c>
      <c r="F319" s="2">
        <v>43251</v>
      </c>
      <c r="G319" s="2">
        <v>43248</v>
      </c>
      <c r="H319">
        <v>2018</v>
      </c>
      <c r="I319">
        <v>2</v>
      </c>
      <c r="J319" t="s">
        <v>2650</v>
      </c>
    </row>
    <row r="320" spans="1:10" x14ac:dyDescent="0.25">
      <c r="A320" t="s">
        <v>1370</v>
      </c>
      <c r="B320">
        <v>18038</v>
      </c>
      <c r="C320" t="s">
        <v>2651</v>
      </c>
      <c r="D320" t="s">
        <v>2652</v>
      </c>
      <c r="E320" t="s">
        <v>2653</v>
      </c>
      <c r="F320" s="2">
        <v>43292</v>
      </c>
      <c r="G320" s="2">
        <v>43278</v>
      </c>
      <c r="H320">
        <v>2018</v>
      </c>
      <c r="I320">
        <v>3</v>
      </c>
      <c r="J320" t="s">
        <v>2654</v>
      </c>
    </row>
    <row r="321" spans="1:10" x14ac:dyDescent="0.25">
      <c r="A321" t="s">
        <v>1370</v>
      </c>
      <c r="B321">
        <v>18298</v>
      </c>
      <c r="C321" t="s">
        <v>2655</v>
      </c>
      <c r="D321" t="s">
        <v>2656</v>
      </c>
      <c r="E321" t="s">
        <v>2657</v>
      </c>
      <c r="F321" s="2">
        <v>43259</v>
      </c>
      <c r="G321" s="2">
        <v>43251</v>
      </c>
      <c r="H321">
        <v>2018</v>
      </c>
      <c r="I321">
        <v>2</v>
      </c>
      <c r="J321" t="s">
        <v>2658</v>
      </c>
    </row>
    <row r="322" spans="1:10" x14ac:dyDescent="0.25">
      <c r="A322" t="s">
        <v>1370</v>
      </c>
      <c r="B322">
        <v>18043</v>
      </c>
      <c r="C322" t="s">
        <v>2659</v>
      </c>
      <c r="D322" t="s">
        <v>2660</v>
      </c>
      <c r="E322" t="s">
        <v>2661</v>
      </c>
      <c r="F322" s="2">
        <v>43327</v>
      </c>
      <c r="G322" s="2">
        <v>43304</v>
      </c>
      <c r="H322">
        <v>2018</v>
      </c>
      <c r="I322">
        <v>3</v>
      </c>
      <c r="J322" t="s">
        <v>2662</v>
      </c>
    </row>
    <row r="323" spans="1:10" x14ac:dyDescent="0.25">
      <c r="A323" t="s">
        <v>1370</v>
      </c>
      <c r="B323">
        <v>18046</v>
      </c>
      <c r="C323" t="s">
        <v>2663</v>
      </c>
      <c r="D323" t="s">
        <v>2664</v>
      </c>
      <c r="E323" t="s">
        <v>2665</v>
      </c>
      <c r="F323" s="2">
        <v>43343</v>
      </c>
      <c r="G323" s="2">
        <v>43308</v>
      </c>
      <c r="H323">
        <v>2018</v>
      </c>
      <c r="I323">
        <v>3</v>
      </c>
      <c r="J323" t="s">
        <v>2666</v>
      </c>
    </row>
    <row r="324" spans="1:10" x14ac:dyDescent="0.25">
      <c r="A324" t="s">
        <v>1320</v>
      </c>
      <c r="B324">
        <v>18051</v>
      </c>
      <c r="C324" t="s">
        <v>1327</v>
      </c>
      <c r="D324" t="s">
        <v>2667</v>
      </c>
      <c r="E324" t="s">
        <v>2668</v>
      </c>
      <c r="F324" s="2">
        <v>43350</v>
      </c>
      <c r="G324" s="2">
        <v>43346</v>
      </c>
      <c r="H324">
        <v>2018</v>
      </c>
      <c r="I324">
        <v>3</v>
      </c>
      <c r="J324" t="s">
        <v>2669</v>
      </c>
    </row>
    <row r="325" spans="1:10" x14ac:dyDescent="0.25">
      <c r="A325" t="s">
        <v>1290</v>
      </c>
      <c r="B325">
        <v>18052</v>
      </c>
      <c r="C325" t="s">
        <v>1305</v>
      </c>
      <c r="D325" t="s">
        <v>2670</v>
      </c>
      <c r="E325" t="s">
        <v>2671</v>
      </c>
      <c r="F325" s="2">
        <v>43362</v>
      </c>
      <c r="G325" s="2">
        <v>43356</v>
      </c>
      <c r="H325">
        <v>2018</v>
      </c>
      <c r="I325">
        <v>3</v>
      </c>
      <c r="J325" t="s">
        <v>2672</v>
      </c>
    </row>
    <row r="326" spans="1:10" x14ac:dyDescent="0.25">
      <c r="A326" t="s">
        <v>1290</v>
      </c>
      <c r="B326">
        <v>18057</v>
      </c>
      <c r="C326" t="s">
        <v>1309</v>
      </c>
      <c r="D326" t="s">
        <v>2673</v>
      </c>
      <c r="E326" t="s">
        <v>2674</v>
      </c>
      <c r="F326" s="2">
        <v>43384</v>
      </c>
      <c r="G326" s="2">
        <v>43383</v>
      </c>
      <c r="H326">
        <v>2018</v>
      </c>
      <c r="I326">
        <v>4</v>
      </c>
      <c r="J326" t="s">
        <v>2675</v>
      </c>
    </row>
    <row r="327" spans="1:10" x14ac:dyDescent="0.25">
      <c r="A327" t="s">
        <v>1370</v>
      </c>
      <c r="B327">
        <v>18059</v>
      </c>
      <c r="C327" t="s">
        <v>2676</v>
      </c>
      <c r="D327" t="s">
        <v>2677</v>
      </c>
      <c r="E327" t="s">
        <v>2678</v>
      </c>
      <c r="F327" s="2">
        <v>43429</v>
      </c>
      <c r="G327" s="2">
        <v>43412</v>
      </c>
      <c r="H327">
        <v>2018</v>
      </c>
      <c r="I327">
        <v>4</v>
      </c>
      <c r="J327" t="s">
        <v>2679</v>
      </c>
    </row>
    <row r="328" spans="1:10" x14ac:dyDescent="0.25">
      <c r="A328" t="s">
        <v>1370</v>
      </c>
      <c r="B328">
        <v>18060</v>
      </c>
      <c r="C328" t="s">
        <v>2680</v>
      </c>
      <c r="D328" t="s">
        <v>2677</v>
      </c>
      <c r="E328" t="s">
        <v>2681</v>
      </c>
      <c r="F328" s="2">
        <v>43425</v>
      </c>
      <c r="G328" s="2">
        <v>43412</v>
      </c>
      <c r="H328">
        <v>2018</v>
      </c>
      <c r="I328">
        <v>4</v>
      </c>
      <c r="J328" t="s">
        <v>2682</v>
      </c>
    </row>
    <row r="329" spans="1:10" x14ac:dyDescent="0.25">
      <c r="A329" t="s">
        <v>1306</v>
      </c>
      <c r="B329">
        <v>18061</v>
      </c>
      <c r="C329" t="s">
        <v>2683</v>
      </c>
      <c r="D329" t="s">
        <v>2684</v>
      </c>
      <c r="E329" t="s">
        <v>2685</v>
      </c>
      <c r="F329" s="2">
        <v>43420</v>
      </c>
      <c r="G329" s="2">
        <v>43418</v>
      </c>
      <c r="H329">
        <v>2018</v>
      </c>
      <c r="I329">
        <v>4</v>
      </c>
      <c r="J329" t="s">
        <v>2686</v>
      </c>
    </row>
    <row r="330" spans="1:10" x14ac:dyDescent="0.25">
      <c r="A330" t="s">
        <v>940</v>
      </c>
      <c r="B330">
        <v>18062</v>
      </c>
      <c r="C330" t="s">
        <v>2687</v>
      </c>
      <c r="D330" t="s">
        <v>2688</v>
      </c>
      <c r="E330" t="s">
        <v>2689</v>
      </c>
      <c r="F330" s="2">
        <v>43434</v>
      </c>
      <c r="G330" s="2">
        <v>43434</v>
      </c>
      <c r="H330">
        <v>2018</v>
      </c>
      <c r="I330">
        <v>4</v>
      </c>
      <c r="J330" t="s">
        <v>2690</v>
      </c>
    </row>
    <row r="331" spans="1:10" x14ac:dyDescent="0.25">
      <c r="A331" t="s">
        <v>1306</v>
      </c>
      <c r="B331">
        <v>18064</v>
      </c>
      <c r="C331" t="s">
        <v>2691</v>
      </c>
      <c r="D331" t="s">
        <v>2692</v>
      </c>
      <c r="E331" t="s">
        <v>2693</v>
      </c>
      <c r="F331" s="2">
        <v>43444</v>
      </c>
      <c r="G331" s="2">
        <v>43441</v>
      </c>
      <c r="H331">
        <v>2018</v>
      </c>
      <c r="I331">
        <v>4</v>
      </c>
      <c r="J331" t="s">
        <v>2694</v>
      </c>
    </row>
    <row r="332" spans="1:10" x14ac:dyDescent="0.25">
      <c r="A332" t="s">
        <v>1306</v>
      </c>
      <c r="B332">
        <v>19011</v>
      </c>
      <c r="C332" t="s">
        <v>2695</v>
      </c>
      <c r="D332" t="s">
        <v>2696</v>
      </c>
      <c r="E332" t="s">
        <v>2697</v>
      </c>
      <c r="F332" s="2">
        <v>43471</v>
      </c>
      <c r="G332" s="2">
        <v>43470</v>
      </c>
      <c r="H332">
        <v>2019</v>
      </c>
      <c r="I332">
        <v>1</v>
      </c>
      <c r="J332" t="s">
        <v>2698</v>
      </c>
    </row>
    <row r="333" spans="1:10" x14ac:dyDescent="0.25">
      <c r="A333" t="s">
        <v>1306</v>
      </c>
      <c r="B333">
        <v>19012</v>
      </c>
      <c r="C333" t="s">
        <v>2699</v>
      </c>
      <c r="D333" t="s">
        <v>2700</v>
      </c>
      <c r="E333" t="s">
        <v>2701</v>
      </c>
      <c r="F333" s="2">
        <v>43483</v>
      </c>
      <c r="G333" s="2">
        <v>43481</v>
      </c>
      <c r="H333">
        <v>2019</v>
      </c>
      <c r="I333">
        <v>1</v>
      </c>
      <c r="J333" t="s">
        <v>2702</v>
      </c>
    </row>
    <row r="334" spans="1:10" x14ac:dyDescent="0.25">
      <c r="A334" t="s">
        <v>1306</v>
      </c>
      <c r="B334">
        <v>19013</v>
      </c>
      <c r="C334" t="s">
        <v>2683</v>
      </c>
      <c r="D334" t="s">
        <v>2703</v>
      </c>
      <c r="E334" t="s">
        <v>2704</v>
      </c>
      <c r="F334" s="2">
        <v>43488</v>
      </c>
      <c r="G334" s="2">
        <v>43485</v>
      </c>
      <c r="H334">
        <v>2019</v>
      </c>
      <c r="I334">
        <v>1</v>
      </c>
      <c r="J334" t="s">
        <v>2705</v>
      </c>
    </row>
    <row r="335" spans="1:10" x14ac:dyDescent="0.25">
      <c r="A335" t="s">
        <v>1306</v>
      </c>
      <c r="B335">
        <v>19014</v>
      </c>
      <c r="C335" t="s">
        <v>2706</v>
      </c>
      <c r="D335" t="s">
        <v>2707</v>
      </c>
      <c r="E335" t="s">
        <v>2708</v>
      </c>
      <c r="F335" s="2">
        <v>43497</v>
      </c>
      <c r="G335" s="2">
        <v>43494</v>
      </c>
      <c r="H335">
        <v>2019</v>
      </c>
      <c r="I335">
        <v>1</v>
      </c>
      <c r="J335" t="s">
        <v>2709</v>
      </c>
    </row>
    <row r="336" spans="1:10" x14ac:dyDescent="0.25">
      <c r="A336" t="s">
        <v>1306</v>
      </c>
      <c r="B336">
        <v>19019</v>
      </c>
      <c r="C336" t="s">
        <v>2710</v>
      </c>
      <c r="D336" t="s">
        <v>2711</v>
      </c>
      <c r="E336" t="s">
        <v>2712</v>
      </c>
      <c r="F336" s="2">
        <v>43541</v>
      </c>
      <c r="G336" s="2">
        <v>43536</v>
      </c>
      <c r="H336">
        <v>2019</v>
      </c>
      <c r="I336">
        <v>1</v>
      </c>
      <c r="J336" t="s">
        <v>2713</v>
      </c>
    </row>
    <row r="337" spans="1:10" x14ac:dyDescent="0.25">
      <c r="A337" t="s">
        <v>1306</v>
      </c>
      <c r="B337">
        <v>19337</v>
      </c>
      <c r="C337" t="s">
        <v>2714</v>
      </c>
      <c r="D337" t="s">
        <v>2715</v>
      </c>
      <c r="E337" t="s">
        <v>2716</v>
      </c>
      <c r="F337" s="2">
        <v>43530</v>
      </c>
      <c r="G337" s="2">
        <v>43530</v>
      </c>
      <c r="H337">
        <v>2019</v>
      </c>
      <c r="I337">
        <v>1</v>
      </c>
      <c r="J337" t="s">
        <v>2717</v>
      </c>
    </row>
    <row r="338" spans="1:10" x14ac:dyDescent="0.25">
      <c r="A338" t="s">
        <v>940</v>
      </c>
      <c r="B338">
        <v>19041</v>
      </c>
      <c r="C338" t="s">
        <v>2718</v>
      </c>
      <c r="D338" t="s">
        <v>1997</v>
      </c>
      <c r="E338" t="s">
        <v>1998</v>
      </c>
      <c r="F338" s="2">
        <v>43651</v>
      </c>
      <c r="G338" s="2">
        <v>43650</v>
      </c>
      <c r="H338">
        <v>2019</v>
      </c>
      <c r="I338">
        <v>3</v>
      </c>
      <c r="J338" t="s">
        <v>2719</v>
      </c>
    </row>
    <row r="339" spans="1:10" x14ac:dyDescent="0.25">
      <c r="A339" t="s">
        <v>1290</v>
      </c>
      <c r="B339">
        <v>19043</v>
      </c>
      <c r="C339" t="s">
        <v>1340</v>
      </c>
      <c r="D339" t="s">
        <v>2720</v>
      </c>
      <c r="E339" t="s">
        <v>2006</v>
      </c>
      <c r="F339" s="2">
        <v>43664</v>
      </c>
      <c r="G339" s="2">
        <v>43656</v>
      </c>
      <c r="H339">
        <v>2019</v>
      </c>
      <c r="I339">
        <v>3</v>
      </c>
      <c r="J339" t="s">
        <v>2721</v>
      </c>
    </row>
    <row r="340" spans="1:10" x14ac:dyDescent="0.25">
      <c r="A340" t="s">
        <v>1320</v>
      </c>
      <c r="B340">
        <v>19056</v>
      </c>
      <c r="C340" t="s">
        <v>1346</v>
      </c>
      <c r="D340" t="s">
        <v>2722</v>
      </c>
      <c r="E340" t="s">
        <v>2723</v>
      </c>
      <c r="F340" s="2">
        <v>43729</v>
      </c>
      <c r="G340" s="2">
        <v>43724</v>
      </c>
      <c r="H340">
        <v>2019</v>
      </c>
      <c r="I340">
        <v>3</v>
      </c>
      <c r="J340" t="s">
        <v>2724</v>
      </c>
    </row>
    <row r="341" spans="1:10" x14ac:dyDescent="0.25">
      <c r="A341" t="s">
        <v>1370</v>
      </c>
      <c r="B341">
        <v>19058</v>
      </c>
      <c r="C341" t="s">
        <v>2725</v>
      </c>
      <c r="D341" t="s">
        <v>2726</v>
      </c>
      <c r="E341" t="s">
        <v>2727</v>
      </c>
      <c r="F341" s="2">
        <v>43761</v>
      </c>
      <c r="G341" s="2">
        <v>43748</v>
      </c>
      <c r="H341">
        <v>2019</v>
      </c>
      <c r="I341">
        <v>4</v>
      </c>
      <c r="J341" t="s">
        <v>2728</v>
      </c>
    </row>
    <row r="342" spans="1:10" x14ac:dyDescent="0.25">
      <c r="A342" t="s">
        <v>1320</v>
      </c>
      <c r="B342">
        <v>19060</v>
      </c>
      <c r="C342" t="s">
        <v>1349</v>
      </c>
      <c r="D342" t="s">
        <v>2729</v>
      </c>
      <c r="E342" t="s">
        <v>2730</v>
      </c>
      <c r="F342" s="2">
        <v>43758</v>
      </c>
      <c r="G342" s="2">
        <v>43756</v>
      </c>
      <c r="H342">
        <v>2019</v>
      </c>
      <c r="I342">
        <v>4</v>
      </c>
      <c r="J342" t="s">
        <v>2731</v>
      </c>
    </row>
    <row r="343" spans="1:10" x14ac:dyDescent="0.25">
      <c r="A343" t="s">
        <v>1370</v>
      </c>
      <c r="B343">
        <v>19062</v>
      </c>
      <c r="C343" t="s">
        <v>2732</v>
      </c>
      <c r="D343" t="s">
        <v>2733</v>
      </c>
      <c r="E343" t="s">
        <v>2734</v>
      </c>
      <c r="F343" s="2">
        <v>43775</v>
      </c>
      <c r="G343" s="2">
        <v>43761</v>
      </c>
      <c r="H343">
        <v>2019</v>
      </c>
      <c r="I343">
        <v>4</v>
      </c>
      <c r="J343" t="s">
        <v>2735</v>
      </c>
    </row>
    <row r="344" spans="1:10" x14ac:dyDescent="0.25">
      <c r="A344" t="s">
        <v>1320</v>
      </c>
      <c r="B344">
        <v>19063</v>
      </c>
      <c r="C344" t="s">
        <v>1352</v>
      </c>
      <c r="D344" t="s">
        <v>2736</v>
      </c>
      <c r="E344" t="s">
        <v>2737</v>
      </c>
      <c r="F344" s="2">
        <v>43764</v>
      </c>
      <c r="G344" s="2">
        <v>43763</v>
      </c>
      <c r="H344">
        <v>2019</v>
      </c>
      <c r="I344">
        <v>4</v>
      </c>
      <c r="J344" t="s">
        <v>2738</v>
      </c>
    </row>
    <row r="345" spans="1:10" x14ac:dyDescent="0.25">
      <c r="A345" t="s">
        <v>1370</v>
      </c>
      <c r="B345">
        <v>19355</v>
      </c>
      <c r="C345" t="s">
        <v>2739</v>
      </c>
      <c r="D345" t="s">
        <v>2740</v>
      </c>
      <c r="E345" t="s">
        <v>2741</v>
      </c>
      <c r="F345" s="2">
        <v>43769</v>
      </c>
      <c r="G345" s="2">
        <v>43759</v>
      </c>
      <c r="H345">
        <v>2019</v>
      </c>
      <c r="I345">
        <v>4</v>
      </c>
      <c r="J345" t="s">
        <v>2742</v>
      </c>
    </row>
    <row r="346" spans="1:10" x14ac:dyDescent="0.25">
      <c r="A346" t="s">
        <v>1306</v>
      </c>
      <c r="B346">
        <v>20372</v>
      </c>
      <c r="C346" t="s">
        <v>2743</v>
      </c>
      <c r="D346" t="s">
        <v>2744</v>
      </c>
      <c r="E346" t="s">
        <v>2745</v>
      </c>
      <c r="F346" s="2">
        <v>43871</v>
      </c>
      <c r="G346" s="2">
        <v>43867</v>
      </c>
      <c r="H346">
        <v>2020</v>
      </c>
      <c r="I346">
        <v>1</v>
      </c>
      <c r="J346" t="s">
        <v>2746</v>
      </c>
    </row>
    <row r="347" spans="1:10" x14ac:dyDescent="0.25">
      <c r="A347" t="s">
        <v>940</v>
      </c>
      <c r="B347">
        <v>20374</v>
      </c>
      <c r="C347" t="s">
        <v>2747</v>
      </c>
      <c r="D347" t="s">
        <v>2748</v>
      </c>
      <c r="E347" t="s">
        <v>2749</v>
      </c>
      <c r="F347" s="2">
        <v>43908</v>
      </c>
      <c r="G347" s="2">
        <v>43908</v>
      </c>
      <c r="H347">
        <v>2020</v>
      </c>
      <c r="I347">
        <v>1</v>
      </c>
      <c r="J347" t="s">
        <v>2750</v>
      </c>
    </row>
    <row r="348" spans="1:10" x14ac:dyDescent="0.25">
      <c r="A348" t="s">
        <v>2751</v>
      </c>
      <c r="B348">
        <v>20033</v>
      </c>
      <c r="C348" t="s">
        <v>2752</v>
      </c>
      <c r="D348" t="s">
        <v>2753</v>
      </c>
      <c r="E348" t="s">
        <v>2754</v>
      </c>
      <c r="F348" s="2">
        <v>43990</v>
      </c>
      <c r="G348" s="2">
        <v>43977</v>
      </c>
      <c r="H348">
        <v>2020</v>
      </c>
      <c r="I348">
        <v>2</v>
      </c>
      <c r="J348" t="s">
        <v>2755</v>
      </c>
    </row>
    <row r="349" spans="1:10" x14ac:dyDescent="0.25">
      <c r="A349" t="s">
        <v>1320</v>
      </c>
      <c r="B349">
        <v>20041</v>
      </c>
      <c r="C349" t="s">
        <v>1361</v>
      </c>
      <c r="D349" t="s">
        <v>2053</v>
      </c>
      <c r="E349" t="s">
        <v>2054</v>
      </c>
      <c r="F349" s="2">
        <v>44024</v>
      </c>
      <c r="G349" s="2">
        <v>44022</v>
      </c>
      <c r="H349">
        <v>2020</v>
      </c>
      <c r="I349">
        <v>3</v>
      </c>
      <c r="J349" t="s">
        <v>2756</v>
      </c>
    </row>
    <row r="350" spans="1:10" x14ac:dyDescent="0.25">
      <c r="A350" t="s">
        <v>1290</v>
      </c>
      <c r="B350">
        <v>20043</v>
      </c>
      <c r="C350" t="s">
        <v>1364</v>
      </c>
      <c r="D350" t="s">
        <v>2757</v>
      </c>
      <c r="E350" t="s">
        <v>2758</v>
      </c>
      <c r="F350" s="2">
        <v>44039</v>
      </c>
      <c r="G350" s="2">
        <v>44037</v>
      </c>
      <c r="H350">
        <v>2020</v>
      </c>
      <c r="I350">
        <v>3</v>
      </c>
      <c r="J350" t="s">
        <v>2759</v>
      </c>
    </row>
    <row r="351" spans="1:10" x14ac:dyDescent="0.25">
      <c r="A351" t="s">
        <v>1320</v>
      </c>
      <c r="B351">
        <v>20044</v>
      </c>
      <c r="C351" t="s">
        <v>1367</v>
      </c>
      <c r="D351" t="s">
        <v>2760</v>
      </c>
      <c r="E351" t="s">
        <v>2062</v>
      </c>
      <c r="F351" s="2">
        <v>44048</v>
      </c>
      <c r="G351" s="2">
        <v>44042</v>
      </c>
      <c r="H351">
        <v>2020</v>
      </c>
      <c r="I351">
        <v>3</v>
      </c>
      <c r="J351" t="s">
        <v>2761</v>
      </c>
    </row>
    <row r="352" spans="1:10" x14ac:dyDescent="0.25">
      <c r="A352" t="s">
        <v>1370</v>
      </c>
      <c r="B352">
        <v>20048</v>
      </c>
      <c r="C352" t="s">
        <v>1371</v>
      </c>
      <c r="D352" t="s">
        <v>2762</v>
      </c>
      <c r="E352" t="s">
        <v>2763</v>
      </c>
      <c r="F352" s="2">
        <v>44090</v>
      </c>
      <c r="G352" s="2">
        <v>44060</v>
      </c>
      <c r="H352">
        <v>2020</v>
      </c>
      <c r="I352">
        <v>3</v>
      </c>
      <c r="J352" t="s">
        <v>2764</v>
      </c>
    </row>
    <row r="353" spans="1:10" x14ac:dyDescent="0.25">
      <c r="A353" t="s">
        <v>1370</v>
      </c>
      <c r="B353">
        <v>20049</v>
      </c>
      <c r="C353" t="s">
        <v>1372</v>
      </c>
      <c r="D353" t="s">
        <v>2762</v>
      </c>
      <c r="E353" t="s">
        <v>2765</v>
      </c>
      <c r="F353" s="2">
        <v>44096</v>
      </c>
      <c r="G353" s="2">
        <v>44060</v>
      </c>
      <c r="H353">
        <v>2020</v>
      </c>
      <c r="I353">
        <v>3</v>
      </c>
      <c r="J353" t="s">
        <v>2766</v>
      </c>
    </row>
    <row r="354" spans="1:10" x14ac:dyDescent="0.25">
      <c r="A354" t="s">
        <v>1290</v>
      </c>
      <c r="B354">
        <v>20050</v>
      </c>
      <c r="C354" t="s">
        <v>1373</v>
      </c>
      <c r="D354" t="s">
        <v>2073</v>
      </c>
      <c r="E354" t="s">
        <v>2074</v>
      </c>
      <c r="F354" s="2">
        <v>44071</v>
      </c>
      <c r="G354" s="2">
        <v>44069</v>
      </c>
      <c r="H354">
        <v>2020</v>
      </c>
      <c r="I354">
        <v>3</v>
      </c>
      <c r="J354" t="s">
        <v>2767</v>
      </c>
    </row>
    <row r="355" spans="1:10" x14ac:dyDescent="0.25">
      <c r="A355" t="s">
        <v>1370</v>
      </c>
      <c r="B355">
        <v>20051</v>
      </c>
      <c r="C355" t="s">
        <v>1374</v>
      </c>
      <c r="D355" t="s">
        <v>2768</v>
      </c>
      <c r="E355" t="s">
        <v>2769</v>
      </c>
      <c r="F355" s="2">
        <v>44078</v>
      </c>
      <c r="G355" s="2">
        <v>44061</v>
      </c>
      <c r="H355">
        <v>2020</v>
      </c>
      <c r="I355">
        <v>3</v>
      </c>
      <c r="J355" t="s">
        <v>2770</v>
      </c>
    </row>
    <row r="356" spans="1:10" x14ac:dyDescent="0.25">
      <c r="A356" t="s">
        <v>1370</v>
      </c>
      <c r="B356">
        <v>20054</v>
      </c>
      <c r="C356" t="s">
        <v>1375</v>
      </c>
      <c r="D356" t="s">
        <v>2771</v>
      </c>
      <c r="E356" t="s">
        <v>2763</v>
      </c>
      <c r="F356" s="2">
        <v>44090</v>
      </c>
      <c r="G356" s="2">
        <v>44059</v>
      </c>
      <c r="H356">
        <v>2020</v>
      </c>
      <c r="I356">
        <v>3</v>
      </c>
      <c r="J356" t="s">
        <v>2772</v>
      </c>
    </row>
    <row r="357" spans="1:10" x14ac:dyDescent="0.25">
      <c r="A357" t="s">
        <v>1370</v>
      </c>
      <c r="B357">
        <v>20056</v>
      </c>
      <c r="C357" t="s">
        <v>1376</v>
      </c>
      <c r="D357" t="s">
        <v>2773</v>
      </c>
      <c r="E357" t="s">
        <v>2774</v>
      </c>
      <c r="F357" s="2">
        <v>44116</v>
      </c>
      <c r="G357" s="2">
        <v>44078</v>
      </c>
      <c r="H357">
        <v>2020</v>
      </c>
      <c r="I357">
        <v>4</v>
      </c>
      <c r="J357" t="s">
        <v>2775</v>
      </c>
    </row>
    <row r="358" spans="1:10" x14ac:dyDescent="0.25">
      <c r="A358" t="s">
        <v>1370</v>
      </c>
      <c r="B358">
        <v>20058</v>
      </c>
      <c r="C358" t="s">
        <v>1377</v>
      </c>
      <c r="D358" t="s">
        <v>2085</v>
      </c>
      <c r="E358" t="s">
        <v>2763</v>
      </c>
      <c r="F358" s="2">
        <v>44090</v>
      </c>
      <c r="G358" s="2">
        <v>44081</v>
      </c>
      <c r="H358">
        <v>2020</v>
      </c>
      <c r="I358">
        <v>3</v>
      </c>
      <c r="J358" t="s">
        <v>2776</v>
      </c>
    </row>
    <row r="359" spans="1:10" x14ac:dyDescent="0.25">
      <c r="A359" t="s">
        <v>1370</v>
      </c>
      <c r="B359">
        <v>20059</v>
      </c>
      <c r="C359" t="s">
        <v>1378</v>
      </c>
      <c r="D359" t="s">
        <v>2768</v>
      </c>
      <c r="E359" t="s">
        <v>2774</v>
      </c>
      <c r="F359" s="2">
        <v>44116</v>
      </c>
      <c r="G359" s="2">
        <v>44061</v>
      </c>
      <c r="H359">
        <v>2020</v>
      </c>
      <c r="I359">
        <v>4</v>
      </c>
      <c r="J359" t="s">
        <v>2777</v>
      </c>
    </row>
    <row r="360" spans="1:10" x14ac:dyDescent="0.25">
      <c r="A360" t="s">
        <v>1370</v>
      </c>
      <c r="B360">
        <v>20060</v>
      </c>
      <c r="C360" t="s">
        <v>1379</v>
      </c>
      <c r="D360" t="s">
        <v>2778</v>
      </c>
      <c r="E360" t="s">
        <v>2763</v>
      </c>
      <c r="F360" s="2">
        <v>44090</v>
      </c>
      <c r="G360" s="2">
        <v>44080</v>
      </c>
      <c r="H360">
        <v>2020</v>
      </c>
      <c r="I360">
        <v>3</v>
      </c>
      <c r="J360" t="s">
        <v>2779</v>
      </c>
    </row>
    <row r="361" spans="1:10" x14ac:dyDescent="0.25">
      <c r="A361" t="s">
        <v>1370</v>
      </c>
      <c r="B361">
        <v>20061</v>
      </c>
      <c r="C361" t="s">
        <v>1380</v>
      </c>
      <c r="D361" t="s">
        <v>2771</v>
      </c>
      <c r="E361" t="s">
        <v>2780</v>
      </c>
      <c r="F361" s="2">
        <v>44114</v>
      </c>
      <c r="G361" s="2">
        <v>44059</v>
      </c>
      <c r="H361">
        <v>2020</v>
      </c>
      <c r="I361">
        <v>4</v>
      </c>
      <c r="J361" t="s">
        <v>2781</v>
      </c>
    </row>
    <row r="362" spans="1:10" x14ac:dyDescent="0.25">
      <c r="A362" t="s">
        <v>1370</v>
      </c>
      <c r="B362">
        <v>20062</v>
      </c>
      <c r="C362" t="s">
        <v>1381</v>
      </c>
      <c r="D362" t="s">
        <v>2085</v>
      </c>
      <c r="E362" t="s">
        <v>2782</v>
      </c>
      <c r="F362" s="2">
        <v>44107</v>
      </c>
      <c r="G362" s="2">
        <v>44081</v>
      </c>
      <c r="H362">
        <v>2020</v>
      </c>
      <c r="I362">
        <v>4</v>
      </c>
      <c r="J362" t="s">
        <v>2783</v>
      </c>
    </row>
    <row r="363" spans="1:10" x14ac:dyDescent="0.25">
      <c r="A363" t="s">
        <v>1290</v>
      </c>
      <c r="B363">
        <v>20063</v>
      </c>
      <c r="C363" t="s">
        <v>1382</v>
      </c>
      <c r="D363" t="s">
        <v>2784</v>
      </c>
      <c r="E363" t="s">
        <v>2785</v>
      </c>
      <c r="F363" s="2">
        <v>44092</v>
      </c>
      <c r="G363" s="2">
        <v>44088</v>
      </c>
      <c r="H363">
        <v>2020</v>
      </c>
      <c r="I363">
        <v>3</v>
      </c>
      <c r="J363" t="s">
        <v>2786</v>
      </c>
    </row>
    <row r="364" spans="1:10" x14ac:dyDescent="0.25">
      <c r="A364" t="s">
        <v>1370</v>
      </c>
      <c r="B364">
        <v>20064</v>
      </c>
      <c r="C364" t="s">
        <v>1383</v>
      </c>
      <c r="D364" t="s">
        <v>2787</v>
      </c>
      <c r="E364" t="s">
        <v>2782</v>
      </c>
      <c r="F364" s="2">
        <v>44107</v>
      </c>
      <c r="G364" s="2">
        <v>44082</v>
      </c>
      <c r="H364">
        <v>2020</v>
      </c>
      <c r="I364">
        <v>4</v>
      </c>
      <c r="J364" t="s">
        <v>2788</v>
      </c>
    </row>
    <row r="365" spans="1:10" x14ac:dyDescent="0.25">
      <c r="A365" t="s">
        <v>1370</v>
      </c>
      <c r="B365">
        <v>20065</v>
      </c>
      <c r="C365" t="s">
        <v>1384</v>
      </c>
      <c r="D365" t="s">
        <v>2789</v>
      </c>
      <c r="E365" t="s">
        <v>2765</v>
      </c>
      <c r="F365" s="2">
        <v>44096</v>
      </c>
      <c r="G365" s="2">
        <v>44081</v>
      </c>
      <c r="H365">
        <v>2020</v>
      </c>
      <c r="I365">
        <v>3</v>
      </c>
      <c r="J365" t="s">
        <v>2790</v>
      </c>
    </row>
    <row r="366" spans="1:10" x14ac:dyDescent="0.25">
      <c r="A366" t="s">
        <v>1370</v>
      </c>
      <c r="B366">
        <v>20066</v>
      </c>
      <c r="C366" t="s">
        <v>1385</v>
      </c>
      <c r="D366" t="s">
        <v>2787</v>
      </c>
      <c r="E366" t="s">
        <v>2791</v>
      </c>
      <c r="F366" s="2">
        <v>44113</v>
      </c>
      <c r="G366" s="2">
        <v>44082</v>
      </c>
      <c r="H366">
        <v>2020</v>
      </c>
      <c r="I366">
        <v>4</v>
      </c>
      <c r="J366" t="s">
        <v>2792</v>
      </c>
    </row>
    <row r="367" spans="1:10" x14ac:dyDescent="0.25">
      <c r="A367" t="s">
        <v>1320</v>
      </c>
      <c r="B367">
        <v>20067</v>
      </c>
      <c r="C367" t="s">
        <v>1386</v>
      </c>
      <c r="D367" t="s">
        <v>2793</v>
      </c>
      <c r="E367" t="s">
        <v>2794</v>
      </c>
      <c r="F367" s="2">
        <v>44097</v>
      </c>
      <c r="G367" s="2">
        <v>44094</v>
      </c>
      <c r="H367">
        <v>2020</v>
      </c>
      <c r="I367">
        <v>3</v>
      </c>
      <c r="J367" t="s">
        <v>2795</v>
      </c>
    </row>
    <row r="368" spans="1:10" x14ac:dyDescent="0.25">
      <c r="A368" t="s">
        <v>1370</v>
      </c>
      <c r="B368">
        <v>20068</v>
      </c>
      <c r="C368" t="s">
        <v>1387</v>
      </c>
      <c r="D368" t="s">
        <v>2796</v>
      </c>
      <c r="E368" t="s">
        <v>2797</v>
      </c>
      <c r="F368" s="2">
        <v>44123</v>
      </c>
      <c r="G368" s="2">
        <v>44101</v>
      </c>
      <c r="H368">
        <v>2020</v>
      </c>
      <c r="I368">
        <v>4</v>
      </c>
      <c r="J368" t="s">
        <v>2798</v>
      </c>
    </row>
    <row r="369" spans="1:10" x14ac:dyDescent="0.25">
      <c r="A369" t="s">
        <v>1370</v>
      </c>
      <c r="B369">
        <v>20069</v>
      </c>
      <c r="C369" t="s">
        <v>1388</v>
      </c>
      <c r="D369" t="s">
        <v>2778</v>
      </c>
      <c r="E369" t="s">
        <v>2799</v>
      </c>
      <c r="F369" s="2">
        <v>44127</v>
      </c>
      <c r="G369" s="2">
        <v>44080</v>
      </c>
      <c r="H369">
        <v>2020</v>
      </c>
      <c r="I369">
        <v>4</v>
      </c>
      <c r="J369" t="s">
        <v>2800</v>
      </c>
    </row>
    <row r="370" spans="1:10" x14ac:dyDescent="0.25">
      <c r="A370" t="s">
        <v>1370</v>
      </c>
      <c r="B370">
        <v>20072</v>
      </c>
      <c r="C370" t="s">
        <v>1390</v>
      </c>
      <c r="D370" t="s">
        <v>2069</v>
      </c>
      <c r="E370" t="s">
        <v>2801</v>
      </c>
      <c r="F370" s="2">
        <v>44141</v>
      </c>
      <c r="G370" s="2">
        <v>44056</v>
      </c>
      <c r="H370">
        <v>2020</v>
      </c>
      <c r="I370">
        <v>4</v>
      </c>
      <c r="J370" t="s">
        <v>2802</v>
      </c>
    </row>
    <row r="371" spans="1:10" x14ac:dyDescent="0.25">
      <c r="A371" t="s">
        <v>1290</v>
      </c>
      <c r="B371">
        <v>20071</v>
      </c>
      <c r="C371" t="s">
        <v>1389</v>
      </c>
      <c r="D371" t="s">
        <v>2803</v>
      </c>
      <c r="E371" t="s">
        <v>2774</v>
      </c>
      <c r="F371" s="2">
        <v>44116</v>
      </c>
      <c r="G371" s="2">
        <v>44113</v>
      </c>
      <c r="H371">
        <v>2020</v>
      </c>
      <c r="I371">
        <v>4</v>
      </c>
      <c r="J371" t="s">
        <v>2804</v>
      </c>
    </row>
    <row r="372" spans="1:10" x14ac:dyDescent="0.25">
      <c r="A372" t="s">
        <v>1370</v>
      </c>
      <c r="B372">
        <v>20073</v>
      </c>
      <c r="C372" t="s">
        <v>1391</v>
      </c>
      <c r="D372" t="s">
        <v>2805</v>
      </c>
      <c r="E372" t="s">
        <v>2806</v>
      </c>
      <c r="F372" s="2">
        <v>44144</v>
      </c>
      <c r="G372" s="2">
        <v>44118</v>
      </c>
      <c r="H372">
        <v>2020</v>
      </c>
      <c r="I372">
        <v>4</v>
      </c>
      <c r="J372" t="s">
        <v>2807</v>
      </c>
    </row>
    <row r="373" spans="1:10" x14ac:dyDescent="0.25">
      <c r="A373" t="s">
        <v>1370</v>
      </c>
      <c r="B373">
        <v>20387</v>
      </c>
      <c r="C373" t="s">
        <v>1401</v>
      </c>
      <c r="D373" t="s">
        <v>2808</v>
      </c>
      <c r="E373" t="s">
        <v>2809</v>
      </c>
      <c r="F373" s="2">
        <v>44142</v>
      </c>
      <c r="G373" s="2">
        <v>44130</v>
      </c>
      <c r="H373">
        <v>2020</v>
      </c>
      <c r="I373">
        <v>4</v>
      </c>
      <c r="J373" t="s">
        <v>2810</v>
      </c>
    </row>
    <row r="374" spans="1:10" x14ac:dyDescent="0.25">
      <c r="A374" t="s">
        <v>1306</v>
      </c>
      <c r="B374">
        <v>21011</v>
      </c>
      <c r="C374" t="s">
        <v>2811</v>
      </c>
      <c r="D374" t="s">
        <v>2812</v>
      </c>
      <c r="E374" t="s">
        <v>2813</v>
      </c>
      <c r="F374" s="2">
        <v>44209</v>
      </c>
      <c r="G374" s="2">
        <v>44207</v>
      </c>
      <c r="H374">
        <v>2021</v>
      </c>
      <c r="I374">
        <v>1</v>
      </c>
      <c r="J374" t="s">
        <v>2814</v>
      </c>
    </row>
    <row r="375" spans="1:10" x14ac:dyDescent="0.25">
      <c r="A375" t="s">
        <v>1306</v>
      </c>
      <c r="B375">
        <v>21015</v>
      </c>
      <c r="C375" t="s">
        <v>2815</v>
      </c>
      <c r="D375" t="s">
        <v>2816</v>
      </c>
      <c r="E375" t="s">
        <v>2817</v>
      </c>
      <c r="F375" s="2">
        <v>44242</v>
      </c>
      <c r="G375" s="2">
        <v>44239</v>
      </c>
      <c r="H375">
        <v>2021</v>
      </c>
      <c r="I375">
        <v>1</v>
      </c>
      <c r="J375" t="s">
        <v>2818</v>
      </c>
    </row>
    <row r="376" spans="1:10" x14ac:dyDescent="0.25">
      <c r="A376" t="s">
        <v>1306</v>
      </c>
      <c r="B376">
        <v>21016</v>
      </c>
      <c r="C376" t="s">
        <v>2819</v>
      </c>
      <c r="D376" t="s">
        <v>2816</v>
      </c>
      <c r="E376" t="s">
        <v>2820</v>
      </c>
      <c r="F376" s="2">
        <v>44241</v>
      </c>
      <c r="G376" s="2">
        <v>44239</v>
      </c>
      <c r="H376">
        <v>2021</v>
      </c>
      <c r="I376">
        <v>1</v>
      </c>
      <c r="J376" t="s">
        <v>2821</v>
      </c>
    </row>
    <row r="377" spans="1:10" x14ac:dyDescent="0.25">
      <c r="A377" t="s">
        <v>1306</v>
      </c>
      <c r="B377">
        <v>21017</v>
      </c>
      <c r="C377" t="s">
        <v>2822</v>
      </c>
      <c r="D377" t="s">
        <v>2823</v>
      </c>
      <c r="E377" t="s">
        <v>2824</v>
      </c>
      <c r="F377" s="2">
        <v>44247</v>
      </c>
      <c r="G377" s="2">
        <v>44243</v>
      </c>
      <c r="H377">
        <v>2021</v>
      </c>
      <c r="I377">
        <v>1</v>
      </c>
      <c r="J377" t="s">
        <v>2825</v>
      </c>
    </row>
    <row r="378" spans="1:10" x14ac:dyDescent="0.25">
      <c r="A378" t="s">
        <v>1320</v>
      </c>
      <c r="B378">
        <v>21038</v>
      </c>
      <c r="C378" t="s">
        <v>1404</v>
      </c>
      <c r="D378" t="s">
        <v>2826</v>
      </c>
      <c r="E378" t="s">
        <v>2827</v>
      </c>
      <c r="F378" s="2">
        <v>44368</v>
      </c>
      <c r="G378" s="2">
        <v>44365</v>
      </c>
      <c r="H378">
        <v>2021</v>
      </c>
      <c r="I378">
        <v>2</v>
      </c>
      <c r="J378" t="s">
        <v>2828</v>
      </c>
    </row>
    <row r="379" spans="1:10" x14ac:dyDescent="0.25">
      <c r="A379" t="s">
        <v>1320</v>
      </c>
      <c r="B379">
        <v>21041</v>
      </c>
      <c r="C379" t="s">
        <v>1405</v>
      </c>
      <c r="D379" t="s">
        <v>2829</v>
      </c>
      <c r="E379" t="s">
        <v>2830</v>
      </c>
      <c r="F379" s="2">
        <v>44386</v>
      </c>
      <c r="G379" s="2">
        <v>44383</v>
      </c>
      <c r="H379">
        <v>2021</v>
      </c>
      <c r="I379">
        <v>3</v>
      </c>
      <c r="J379" t="s">
        <v>2831</v>
      </c>
    </row>
    <row r="380" spans="1:10" x14ac:dyDescent="0.25">
      <c r="A380" t="s">
        <v>1370</v>
      </c>
      <c r="B380">
        <v>21044</v>
      </c>
      <c r="C380" t="s">
        <v>2832</v>
      </c>
      <c r="D380" t="s">
        <v>2829</v>
      </c>
      <c r="E380" t="s">
        <v>2833</v>
      </c>
      <c r="F380" s="2">
        <v>44412</v>
      </c>
      <c r="G380" s="2">
        <v>44383</v>
      </c>
      <c r="H380">
        <v>2021</v>
      </c>
      <c r="I380">
        <v>3</v>
      </c>
      <c r="J380" t="s">
        <v>2834</v>
      </c>
    </row>
    <row r="381" spans="1:10" x14ac:dyDescent="0.25">
      <c r="A381" t="s">
        <v>1370</v>
      </c>
      <c r="B381">
        <v>21049</v>
      </c>
      <c r="C381" t="s">
        <v>2835</v>
      </c>
      <c r="D381" t="s">
        <v>2836</v>
      </c>
      <c r="E381" t="s">
        <v>2837</v>
      </c>
      <c r="F381" s="2">
        <v>44474</v>
      </c>
      <c r="G381" s="2">
        <v>44391</v>
      </c>
      <c r="H381">
        <v>2021</v>
      </c>
      <c r="I381">
        <v>4</v>
      </c>
      <c r="J381" t="s">
        <v>2838</v>
      </c>
    </row>
    <row r="382" spans="1:10" x14ac:dyDescent="0.25">
      <c r="A382" t="s">
        <v>1320</v>
      </c>
      <c r="B382">
        <v>21053</v>
      </c>
      <c r="C382" t="s">
        <v>1406</v>
      </c>
      <c r="D382" t="s">
        <v>2839</v>
      </c>
      <c r="E382" t="s">
        <v>2840</v>
      </c>
      <c r="F382" s="2">
        <v>44426</v>
      </c>
      <c r="G382" s="2">
        <v>44422</v>
      </c>
      <c r="H382">
        <v>2021</v>
      </c>
      <c r="I382">
        <v>3</v>
      </c>
      <c r="J382" t="s">
        <v>2841</v>
      </c>
    </row>
    <row r="383" spans="1:10" x14ac:dyDescent="0.25">
      <c r="A383" t="s">
        <v>1370</v>
      </c>
      <c r="B383">
        <v>21054</v>
      </c>
      <c r="C383" t="s">
        <v>2842</v>
      </c>
      <c r="D383" t="s">
        <v>2839</v>
      </c>
      <c r="E383" t="s">
        <v>2837</v>
      </c>
      <c r="F383" s="2">
        <v>44474</v>
      </c>
      <c r="G383" s="2">
        <v>44422</v>
      </c>
      <c r="H383">
        <v>2021</v>
      </c>
      <c r="I383">
        <v>4</v>
      </c>
      <c r="J383" t="s">
        <v>2843</v>
      </c>
    </row>
    <row r="384" spans="1:10" x14ac:dyDescent="0.25">
      <c r="A384" t="s">
        <v>1320</v>
      </c>
      <c r="B384">
        <v>21057</v>
      </c>
      <c r="C384" t="s">
        <v>1407</v>
      </c>
      <c r="D384" t="s">
        <v>2547</v>
      </c>
      <c r="E384" t="s">
        <v>2548</v>
      </c>
      <c r="F384" s="2">
        <v>44430</v>
      </c>
      <c r="G384" s="2">
        <v>44429</v>
      </c>
      <c r="H384">
        <v>2021</v>
      </c>
      <c r="I384">
        <v>3</v>
      </c>
      <c r="J384" t="s">
        <v>2844</v>
      </c>
    </row>
    <row r="385" spans="1:10" x14ac:dyDescent="0.25">
      <c r="A385" t="s">
        <v>1370</v>
      </c>
      <c r="B385">
        <v>21059</v>
      </c>
      <c r="C385" t="s">
        <v>2845</v>
      </c>
      <c r="D385" t="s">
        <v>2846</v>
      </c>
      <c r="E385" t="s">
        <v>2847</v>
      </c>
      <c r="F385" s="2">
        <v>44438</v>
      </c>
      <c r="G385" s="2">
        <v>44423</v>
      </c>
      <c r="H385">
        <v>2021</v>
      </c>
      <c r="I385">
        <v>3</v>
      </c>
      <c r="J385" t="s">
        <v>2848</v>
      </c>
    </row>
    <row r="386" spans="1:10" x14ac:dyDescent="0.25">
      <c r="A386" t="s">
        <v>1290</v>
      </c>
      <c r="B386">
        <v>21060</v>
      </c>
      <c r="C386" t="s">
        <v>1409</v>
      </c>
      <c r="D386" t="s">
        <v>2849</v>
      </c>
      <c r="E386" t="s">
        <v>2850</v>
      </c>
      <c r="F386" s="2">
        <v>44441</v>
      </c>
      <c r="G386" s="2">
        <v>44437</v>
      </c>
      <c r="H386">
        <v>2021</v>
      </c>
      <c r="I386">
        <v>3</v>
      </c>
      <c r="J386" t="s">
        <v>2851</v>
      </c>
    </row>
    <row r="387" spans="1:10" x14ac:dyDescent="0.25">
      <c r="A387" t="s">
        <v>1370</v>
      </c>
      <c r="B387">
        <v>21081</v>
      </c>
      <c r="C387" t="s">
        <v>2852</v>
      </c>
      <c r="D387" t="s">
        <v>2853</v>
      </c>
      <c r="E387" t="s">
        <v>2854</v>
      </c>
      <c r="F387" s="2">
        <v>44199</v>
      </c>
      <c r="G387" s="2">
        <v>44560</v>
      </c>
      <c r="H387">
        <v>2021</v>
      </c>
      <c r="I387">
        <v>1</v>
      </c>
      <c r="J387" t="s">
        <v>2855</v>
      </c>
    </row>
    <row r="388" spans="1:10" x14ac:dyDescent="0.25">
      <c r="A388" t="s">
        <v>1370</v>
      </c>
      <c r="B388">
        <v>21324</v>
      </c>
      <c r="C388" t="s">
        <v>2856</v>
      </c>
      <c r="D388" t="s">
        <v>2857</v>
      </c>
      <c r="E388" t="s">
        <v>2858</v>
      </c>
      <c r="F388" s="2">
        <v>44500</v>
      </c>
      <c r="G388" s="2">
        <v>44480</v>
      </c>
      <c r="H388">
        <v>2021</v>
      </c>
      <c r="I388">
        <v>4</v>
      </c>
      <c r="J388" t="s">
        <v>2859</v>
      </c>
    </row>
    <row r="389" spans="1:10" x14ac:dyDescent="0.25">
      <c r="A389" t="s">
        <v>1306</v>
      </c>
      <c r="B389">
        <v>22011</v>
      </c>
      <c r="C389" t="s">
        <v>2860</v>
      </c>
      <c r="D389" t="s">
        <v>2861</v>
      </c>
      <c r="E389" t="s">
        <v>2862</v>
      </c>
      <c r="F389" s="2">
        <v>44564</v>
      </c>
      <c r="G389" s="2">
        <v>44562</v>
      </c>
      <c r="H389">
        <v>2022</v>
      </c>
      <c r="I389">
        <v>1</v>
      </c>
      <c r="J389" t="s">
        <v>2863</v>
      </c>
    </row>
    <row r="390" spans="1:10" x14ac:dyDescent="0.25">
      <c r="A390" t="s">
        <v>1306</v>
      </c>
      <c r="B390">
        <v>22012</v>
      </c>
      <c r="C390" t="s">
        <v>2864</v>
      </c>
      <c r="D390" t="s">
        <v>2865</v>
      </c>
      <c r="E390" t="s">
        <v>2866</v>
      </c>
      <c r="F390" s="2">
        <v>44578</v>
      </c>
      <c r="G390" s="2">
        <v>44576</v>
      </c>
      <c r="H390">
        <v>2022</v>
      </c>
      <c r="I390">
        <v>1</v>
      </c>
      <c r="J390" t="s">
        <v>2867</v>
      </c>
    </row>
    <row r="391" spans="1:10" x14ac:dyDescent="0.25">
      <c r="A391" t="s">
        <v>1306</v>
      </c>
      <c r="B391">
        <v>22014</v>
      </c>
      <c r="C391" t="s">
        <v>2868</v>
      </c>
      <c r="D391" t="s">
        <v>2869</v>
      </c>
      <c r="E391" t="s">
        <v>2870</v>
      </c>
      <c r="F391" s="2">
        <v>44595</v>
      </c>
      <c r="G391" s="2">
        <v>44594</v>
      </c>
      <c r="H391">
        <v>2022</v>
      </c>
      <c r="I391">
        <v>1</v>
      </c>
      <c r="J391" t="s">
        <v>2871</v>
      </c>
    </row>
    <row r="392" spans="1:10" x14ac:dyDescent="0.25">
      <c r="A392" t="s">
        <v>1370</v>
      </c>
      <c r="B392">
        <v>22030</v>
      </c>
      <c r="C392" t="s">
        <v>2872</v>
      </c>
      <c r="D392" t="s">
        <v>2873</v>
      </c>
      <c r="E392" t="s">
        <v>2874</v>
      </c>
      <c r="F392" s="2">
        <v>44729</v>
      </c>
      <c r="G392" s="2">
        <v>44657</v>
      </c>
      <c r="H392">
        <v>2022</v>
      </c>
      <c r="I392">
        <v>2</v>
      </c>
      <c r="J392" t="s">
        <v>2875</v>
      </c>
    </row>
    <row r="393" spans="1:10" x14ac:dyDescent="0.25">
      <c r="A393" t="s">
        <v>1320</v>
      </c>
      <c r="B393">
        <v>22329</v>
      </c>
      <c r="C393" t="s">
        <v>1420</v>
      </c>
      <c r="D393" t="s">
        <v>2876</v>
      </c>
      <c r="E393" t="s">
        <v>2877</v>
      </c>
      <c r="F393" s="2">
        <v>44816</v>
      </c>
      <c r="G393" s="2">
        <v>44813</v>
      </c>
      <c r="H393">
        <v>2022</v>
      </c>
      <c r="I393">
        <v>3</v>
      </c>
      <c r="J393" t="s">
        <v>2878</v>
      </c>
    </row>
    <row r="394" spans="1:10" x14ac:dyDescent="0.25">
      <c r="A394" t="s">
        <v>1290</v>
      </c>
      <c r="B394">
        <v>22067</v>
      </c>
      <c r="C394" t="s">
        <v>1418</v>
      </c>
      <c r="D394" t="s">
        <v>2879</v>
      </c>
      <c r="E394" t="s">
        <v>2459</v>
      </c>
      <c r="F394" s="2">
        <v>44876</v>
      </c>
      <c r="G394" s="2">
        <v>44874</v>
      </c>
      <c r="H394">
        <v>2022</v>
      </c>
      <c r="I394">
        <v>4</v>
      </c>
      <c r="J394" t="s">
        <v>2880</v>
      </c>
    </row>
    <row r="395" spans="1:10" x14ac:dyDescent="0.25">
      <c r="A395" t="s">
        <v>1306</v>
      </c>
      <c r="B395">
        <v>22071</v>
      </c>
      <c r="C395" t="s">
        <v>2881</v>
      </c>
      <c r="D395" t="s">
        <v>2882</v>
      </c>
      <c r="E395" t="s">
        <v>2883</v>
      </c>
      <c r="F395" s="2">
        <v>44907</v>
      </c>
      <c r="G395" s="2">
        <v>44905</v>
      </c>
      <c r="H395">
        <v>2022</v>
      </c>
      <c r="I395">
        <v>4</v>
      </c>
      <c r="J395" t="s">
        <v>2884</v>
      </c>
    </row>
    <row r="396" spans="1:10" x14ac:dyDescent="0.25">
      <c r="A396" t="s">
        <v>1306</v>
      </c>
      <c r="B396">
        <v>23026</v>
      </c>
      <c r="C396" t="s">
        <v>2885</v>
      </c>
      <c r="D396" t="s">
        <v>2886</v>
      </c>
      <c r="E396" t="s">
        <v>2887</v>
      </c>
      <c r="F396" s="2">
        <v>44987</v>
      </c>
      <c r="G396" s="2">
        <v>44983</v>
      </c>
      <c r="H396">
        <v>2023</v>
      </c>
      <c r="I396">
        <v>1</v>
      </c>
      <c r="J396" t="s">
        <v>2888</v>
      </c>
    </row>
    <row r="397" spans="1:10" x14ac:dyDescent="0.25">
      <c r="A397" t="s">
        <v>1306</v>
      </c>
      <c r="B397">
        <v>23021</v>
      </c>
      <c r="C397" t="s">
        <v>2889</v>
      </c>
      <c r="D397" t="s">
        <v>2890</v>
      </c>
      <c r="E397" t="s">
        <v>2891</v>
      </c>
      <c r="F397" s="2">
        <v>44979</v>
      </c>
      <c r="G397" s="2">
        <v>44978</v>
      </c>
      <c r="H397">
        <v>2023</v>
      </c>
      <c r="I397">
        <v>1</v>
      </c>
      <c r="J397" t="s">
        <v>2892</v>
      </c>
    </row>
    <row r="398" spans="1:10" x14ac:dyDescent="0.25">
      <c r="A398" t="s">
        <v>1306</v>
      </c>
      <c r="B398">
        <v>23024</v>
      </c>
      <c r="C398" t="s">
        <v>2893</v>
      </c>
      <c r="D398" t="s">
        <v>2886</v>
      </c>
      <c r="E398" t="s">
        <v>2894</v>
      </c>
      <c r="F398" s="2">
        <v>44985</v>
      </c>
      <c r="G398" s="2">
        <v>44983</v>
      </c>
      <c r="H398">
        <v>2023</v>
      </c>
      <c r="I398">
        <v>1</v>
      </c>
      <c r="J398" t="s">
        <v>2895</v>
      </c>
    </row>
    <row r="399" spans="1:10" x14ac:dyDescent="0.25">
      <c r="A399" t="s">
        <v>1306</v>
      </c>
      <c r="B399">
        <v>23022</v>
      </c>
      <c r="C399" t="s">
        <v>2896</v>
      </c>
      <c r="D399" t="s">
        <v>2890</v>
      </c>
      <c r="E399" t="s">
        <v>2897</v>
      </c>
      <c r="F399" s="2">
        <v>44980</v>
      </c>
      <c r="G399" s="2">
        <v>44978</v>
      </c>
      <c r="H399">
        <v>2023</v>
      </c>
      <c r="I399">
        <v>1</v>
      </c>
      <c r="J399" t="s">
        <v>2898</v>
      </c>
    </row>
    <row r="400" spans="1:10" x14ac:dyDescent="0.25">
      <c r="A400" t="s">
        <v>1306</v>
      </c>
      <c r="B400">
        <v>23018</v>
      </c>
      <c r="C400" t="s">
        <v>2899</v>
      </c>
      <c r="D400" t="s">
        <v>2900</v>
      </c>
      <c r="E400" t="s">
        <v>2901</v>
      </c>
      <c r="F400" s="2">
        <v>44962</v>
      </c>
      <c r="G400" s="2">
        <v>44959</v>
      </c>
      <c r="H400">
        <v>2023</v>
      </c>
      <c r="I400">
        <v>1</v>
      </c>
      <c r="J400" t="s">
        <v>2902</v>
      </c>
    </row>
    <row r="401" spans="1:10" x14ac:dyDescent="0.25">
      <c r="A401" t="s">
        <v>1306</v>
      </c>
      <c r="B401">
        <v>23023</v>
      </c>
      <c r="C401" t="s">
        <v>2903</v>
      </c>
      <c r="D401" t="s">
        <v>2904</v>
      </c>
      <c r="E401" t="s">
        <v>2905</v>
      </c>
      <c r="F401" s="2">
        <v>44982</v>
      </c>
      <c r="G401" s="2">
        <v>44980</v>
      </c>
      <c r="H401">
        <v>2023</v>
      </c>
      <c r="I401">
        <v>1</v>
      </c>
      <c r="J401" t="s">
        <v>2906</v>
      </c>
    </row>
    <row r="402" spans="1:10" x14ac:dyDescent="0.25">
      <c r="A402" t="s">
        <v>1306</v>
      </c>
      <c r="B402">
        <v>23027</v>
      </c>
      <c r="C402" t="s">
        <v>2907</v>
      </c>
      <c r="D402" t="s">
        <v>2908</v>
      </c>
      <c r="E402" t="s">
        <v>2909</v>
      </c>
      <c r="F402" s="2">
        <v>44997</v>
      </c>
      <c r="G402" s="2">
        <v>44994</v>
      </c>
      <c r="H402">
        <v>2023</v>
      </c>
      <c r="I402">
        <v>1</v>
      </c>
      <c r="J402" t="s">
        <v>2910</v>
      </c>
    </row>
    <row r="403" spans="1:10" x14ac:dyDescent="0.25">
      <c r="A403" t="s">
        <v>1306</v>
      </c>
      <c r="B403">
        <v>23028</v>
      </c>
      <c r="C403" t="s">
        <v>2911</v>
      </c>
      <c r="D403" t="s">
        <v>2912</v>
      </c>
      <c r="E403" t="s">
        <v>2913</v>
      </c>
      <c r="F403" s="2">
        <v>45000</v>
      </c>
      <c r="G403" s="2">
        <v>44998</v>
      </c>
      <c r="H403">
        <v>2023</v>
      </c>
      <c r="I403">
        <v>1</v>
      </c>
      <c r="J403" t="s">
        <v>2914</v>
      </c>
    </row>
    <row r="404" spans="1:10" x14ac:dyDescent="0.25">
      <c r="A404" t="s">
        <v>1306</v>
      </c>
      <c r="B404">
        <v>23029</v>
      </c>
      <c r="C404" t="s">
        <v>2915</v>
      </c>
      <c r="D404" t="s">
        <v>2912</v>
      </c>
      <c r="E404" t="s">
        <v>2913</v>
      </c>
      <c r="F404" s="2">
        <v>45000</v>
      </c>
      <c r="G404" s="2">
        <v>44998</v>
      </c>
      <c r="H404">
        <v>2023</v>
      </c>
      <c r="I404">
        <v>1</v>
      </c>
      <c r="J404" t="s">
        <v>2916</v>
      </c>
    </row>
    <row r="405" spans="1:10" x14ac:dyDescent="0.25">
      <c r="A405" t="s">
        <v>1306</v>
      </c>
      <c r="B405">
        <v>23031</v>
      </c>
      <c r="C405" t="s">
        <v>2917</v>
      </c>
      <c r="D405" t="s">
        <v>2918</v>
      </c>
      <c r="E405" t="s">
        <v>2919</v>
      </c>
      <c r="F405" s="2">
        <v>45007</v>
      </c>
      <c r="G405" s="2">
        <v>45006</v>
      </c>
      <c r="H405">
        <v>2023</v>
      </c>
      <c r="I405">
        <v>1</v>
      </c>
      <c r="J405" t="s">
        <v>2920</v>
      </c>
    </row>
    <row r="406" spans="1:10" x14ac:dyDescent="0.25">
      <c r="A406" t="s">
        <v>1306</v>
      </c>
      <c r="B406">
        <v>23017</v>
      </c>
      <c r="C406" t="s">
        <v>2921</v>
      </c>
      <c r="D406" t="s">
        <v>2922</v>
      </c>
      <c r="E406" t="s">
        <v>2923</v>
      </c>
      <c r="F406" s="2">
        <v>44959</v>
      </c>
      <c r="G406" s="2">
        <v>44957</v>
      </c>
      <c r="H406">
        <v>2023</v>
      </c>
      <c r="I406">
        <v>1</v>
      </c>
      <c r="J406" t="s">
        <v>2924</v>
      </c>
    </row>
    <row r="407" spans="1:10" x14ac:dyDescent="0.25">
      <c r="A407" t="s">
        <v>2925</v>
      </c>
      <c r="B407">
        <v>23349</v>
      </c>
      <c r="C407" t="s">
        <v>2926</v>
      </c>
      <c r="D407" t="s">
        <v>2927</v>
      </c>
      <c r="E407" t="s">
        <v>2928</v>
      </c>
      <c r="F407" s="2">
        <v>45081</v>
      </c>
      <c r="G407" s="2">
        <v>45067</v>
      </c>
      <c r="H407">
        <v>2023</v>
      </c>
      <c r="I407">
        <v>2</v>
      </c>
      <c r="J407" t="s">
        <v>2929</v>
      </c>
    </row>
    <row r="408" spans="1:10" x14ac:dyDescent="0.25">
      <c r="A408" t="s">
        <v>940</v>
      </c>
      <c r="B408">
        <v>17269</v>
      </c>
      <c r="C408" t="s">
        <v>2930</v>
      </c>
      <c r="D408" t="s">
        <v>2499</v>
      </c>
      <c r="E408" t="s">
        <v>2931</v>
      </c>
      <c r="F408" s="2">
        <v>42753</v>
      </c>
      <c r="G408" s="2">
        <v>42753</v>
      </c>
      <c r="H408">
        <v>2017</v>
      </c>
      <c r="I408">
        <v>1</v>
      </c>
      <c r="J408" t="s">
        <v>2932</v>
      </c>
    </row>
    <row r="409" spans="1:10" x14ac:dyDescent="0.25">
      <c r="A409" t="s">
        <v>1370</v>
      </c>
      <c r="B409">
        <v>17287</v>
      </c>
      <c r="C409" t="s">
        <v>2933</v>
      </c>
      <c r="D409" t="s">
        <v>2934</v>
      </c>
      <c r="E409" t="s">
        <v>2935</v>
      </c>
      <c r="F409" s="2">
        <v>43025</v>
      </c>
      <c r="G409" s="2">
        <v>43023</v>
      </c>
      <c r="H409">
        <v>2017</v>
      </c>
      <c r="I409">
        <v>4</v>
      </c>
      <c r="J409" t="s">
        <v>2936</v>
      </c>
    </row>
    <row r="410" spans="1:10" x14ac:dyDescent="0.25">
      <c r="A410" t="s">
        <v>1310</v>
      </c>
      <c r="B410">
        <v>17324</v>
      </c>
      <c r="C410" t="s">
        <v>1317</v>
      </c>
      <c r="D410" t="s">
        <v>2937</v>
      </c>
      <c r="E410" t="s">
        <v>2938</v>
      </c>
      <c r="F410" s="2">
        <v>43017</v>
      </c>
      <c r="G410" s="2">
        <v>43015</v>
      </c>
      <c r="H410">
        <v>2017</v>
      </c>
      <c r="I410">
        <v>4</v>
      </c>
      <c r="J410" t="s">
        <v>2939</v>
      </c>
    </row>
    <row r="411" spans="1:10" x14ac:dyDescent="0.25">
      <c r="A411" t="s">
        <v>2940</v>
      </c>
      <c r="B411">
        <v>18029</v>
      </c>
      <c r="C411" t="s">
        <v>2941</v>
      </c>
      <c r="D411" t="s">
        <v>2942</v>
      </c>
      <c r="E411" t="s">
        <v>2943</v>
      </c>
      <c r="F411" s="2">
        <v>43335</v>
      </c>
      <c r="G411" s="2">
        <v>43223</v>
      </c>
      <c r="H411">
        <v>2018</v>
      </c>
      <c r="I411">
        <v>3</v>
      </c>
      <c r="J411" t="s">
        <v>2944</v>
      </c>
    </row>
    <row r="412" spans="1:10" x14ac:dyDescent="0.25">
      <c r="A412" t="s">
        <v>1306</v>
      </c>
      <c r="B412">
        <v>18294</v>
      </c>
      <c r="C412" t="s">
        <v>2945</v>
      </c>
      <c r="D412" t="s">
        <v>2946</v>
      </c>
      <c r="E412" t="s">
        <v>1511</v>
      </c>
      <c r="F412" s="2">
        <v>43207</v>
      </c>
      <c r="G412" s="2">
        <v>43204</v>
      </c>
      <c r="H412">
        <v>2018</v>
      </c>
      <c r="I412">
        <v>2</v>
      </c>
      <c r="J412" t="s">
        <v>2947</v>
      </c>
    </row>
    <row r="413" spans="1:10" x14ac:dyDescent="0.25">
      <c r="A413" t="s">
        <v>1310</v>
      </c>
      <c r="B413">
        <v>18299</v>
      </c>
      <c r="C413" t="s">
        <v>2948</v>
      </c>
      <c r="D413" t="s">
        <v>2949</v>
      </c>
      <c r="E413" t="s">
        <v>2950</v>
      </c>
      <c r="F413" s="2">
        <v>43224</v>
      </c>
      <c r="G413" s="2">
        <v>43224</v>
      </c>
      <c r="H413">
        <v>2018</v>
      </c>
      <c r="I413">
        <v>2</v>
      </c>
      <c r="J413" t="s">
        <v>2951</v>
      </c>
    </row>
    <row r="414" spans="1:10" x14ac:dyDescent="0.25">
      <c r="A414" t="s">
        <v>1306</v>
      </c>
      <c r="B414">
        <v>18320</v>
      </c>
      <c r="C414" t="s">
        <v>2952</v>
      </c>
      <c r="D414" t="s">
        <v>2953</v>
      </c>
      <c r="E414" t="s">
        <v>2954</v>
      </c>
      <c r="F414" s="2">
        <v>43408</v>
      </c>
      <c r="G414" s="2">
        <v>43402</v>
      </c>
      <c r="H414">
        <v>2018</v>
      </c>
      <c r="I414">
        <v>4</v>
      </c>
      <c r="J414" t="s">
        <v>2955</v>
      </c>
    </row>
    <row r="415" spans="1:10" x14ac:dyDescent="0.25">
      <c r="A415" t="s">
        <v>1306</v>
      </c>
      <c r="B415">
        <v>19339</v>
      </c>
      <c r="C415" t="s">
        <v>2956</v>
      </c>
      <c r="D415" t="s">
        <v>2957</v>
      </c>
      <c r="E415" t="s">
        <v>2274</v>
      </c>
      <c r="F415" s="2">
        <v>43521</v>
      </c>
      <c r="G415" s="2">
        <v>43517</v>
      </c>
      <c r="H415">
        <v>2019</v>
      </c>
      <c r="I415">
        <v>1</v>
      </c>
      <c r="J415" t="s">
        <v>2958</v>
      </c>
    </row>
    <row r="416" spans="1:10" x14ac:dyDescent="0.25">
      <c r="A416" t="s">
        <v>1310</v>
      </c>
      <c r="B416">
        <v>19344</v>
      </c>
      <c r="C416" t="s">
        <v>2959</v>
      </c>
      <c r="D416" t="s">
        <v>2960</v>
      </c>
      <c r="E416" t="s">
        <v>2961</v>
      </c>
      <c r="F416" s="2">
        <v>43629</v>
      </c>
      <c r="G416" s="2">
        <v>43626</v>
      </c>
      <c r="H416">
        <v>2019</v>
      </c>
      <c r="I416">
        <v>2</v>
      </c>
      <c r="J416" t="s">
        <v>2962</v>
      </c>
    </row>
    <row r="417" spans="1:10" x14ac:dyDescent="0.25">
      <c r="A417" t="s">
        <v>1310</v>
      </c>
      <c r="B417">
        <v>19348</v>
      </c>
      <c r="C417" t="s">
        <v>2963</v>
      </c>
      <c r="D417" t="s">
        <v>2964</v>
      </c>
      <c r="E417" t="s">
        <v>2965</v>
      </c>
      <c r="F417" s="2">
        <v>43637</v>
      </c>
      <c r="G417" s="2">
        <v>43637</v>
      </c>
      <c r="H417">
        <v>2019</v>
      </c>
      <c r="I417">
        <v>2</v>
      </c>
      <c r="J417" t="s">
        <v>2966</v>
      </c>
    </row>
    <row r="418" spans="1:10" x14ac:dyDescent="0.25">
      <c r="A418" t="s">
        <v>2967</v>
      </c>
      <c r="B418">
        <v>19356</v>
      </c>
      <c r="C418" t="s">
        <v>2968</v>
      </c>
      <c r="D418" t="s">
        <v>2969</v>
      </c>
      <c r="E418" t="s">
        <v>2970</v>
      </c>
      <c r="F418" s="2">
        <v>43782</v>
      </c>
      <c r="G418" s="2">
        <v>43775</v>
      </c>
      <c r="H418">
        <v>2019</v>
      </c>
      <c r="I418">
        <v>4</v>
      </c>
      <c r="J418" t="s">
        <v>2971</v>
      </c>
    </row>
    <row r="419" spans="1:10" x14ac:dyDescent="0.25">
      <c r="A419" t="s">
        <v>940</v>
      </c>
      <c r="B419">
        <v>20011</v>
      </c>
      <c r="C419" t="s">
        <v>1355</v>
      </c>
      <c r="D419" t="s">
        <v>2972</v>
      </c>
      <c r="E419" t="s">
        <v>2973</v>
      </c>
      <c r="F419" s="2">
        <v>43837</v>
      </c>
      <c r="G419" s="2">
        <v>43836</v>
      </c>
      <c r="H419">
        <v>2020</v>
      </c>
      <c r="I419">
        <v>1</v>
      </c>
      <c r="J419" t="s">
        <v>2974</v>
      </c>
    </row>
    <row r="420" spans="1:10" x14ac:dyDescent="0.25">
      <c r="A420" t="s">
        <v>1310</v>
      </c>
      <c r="B420">
        <v>20375</v>
      </c>
      <c r="C420" t="s">
        <v>2975</v>
      </c>
      <c r="D420" t="s">
        <v>2976</v>
      </c>
      <c r="E420" t="s">
        <v>2977</v>
      </c>
      <c r="F420" s="2">
        <v>43949</v>
      </c>
      <c r="G420" s="2">
        <v>43947</v>
      </c>
      <c r="H420">
        <v>2020</v>
      </c>
      <c r="I420">
        <v>2</v>
      </c>
      <c r="J420" t="s">
        <v>2978</v>
      </c>
    </row>
    <row r="421" spans="1:10" x14ac:dyDescent="0.25">
      <c r="A421" t="s">
        <v>940</v>
      </c>
      <c r="B421">
        <v>20384</v>
      </c>
      <c r="C421" t="s">
        <v>2979</v>
      </c>
      <c r="D421" t="s">
        <v>2980</v>
      </c>
      <c r="E421" t="s">
        <v>2981</v>
      </c>
      <c r="F421" s="2">
        <v>44138</v>
      </c>
      <c r="G421" s="2">
        <v>44134</v>
      </c>
      <c r="H421">
        <v>2020</v>
      </c>
      <c r="I421">
        <v>4</v>
      </c>
      <c r="J421" t="s">
        <v>2982</v>
      </c>
    </row>
    <row r="422" spans="1:10" x14ac:dyDescent="0.25">
      <c r="A422" t="s">
        <v>1310</v>
      </c>
      <c r="B422">
        <v>21311</v>
      </c>
      <c r="C422" t="s">
        <v>1414</v>
      </c>
      <c r="D422" t="s">
        <v>2983</v>
      </c>
      <c r="E422" t="s">
        <v>2984</v>
      </c>
      <c r="F422" s="2">
        <v>44391</v>
      </c>
      <c r="G422" s="2">
        <v>44388</v>
      </c>
      <c r="H422">
        <v>2021</v>
      </c>
      <c r="I422">
        <v>3</v>
      </c>
      <c r="J422" t="s">
        <v>2985</v>
      </c>
    </row>
    <row r="423" spans="1:10" x14ac:dyDescent="0.25">
      <c r="A423" t="s">
        <v>1370</v>
      </c>
      <c r="B423">
        <v>21315</v>
      </c>
      <c r="C423" t="s">
        <v>2986</v>
      </c>
      <c r="D423" t="s">
        <v>2109</v>
      </c>
      <c r="E423" t="s">
        <v>2987</v>
      </c>
      <c r="F423" s="2">
        <v>44420</v>
      </c>
      <c r="G423" s="2">
        <v>44409</v>
      </c>
      <c r="H423">
        <v>2021</v>
      </c>
      <c r="I423">
        <v>3</v>
      </c>
      <c r="J423" t="s">
        <v>2988</v>
      </c>
    </row>
    <row r="424" spans="1:10" x14ac:dyDescent="0.25">
      <c r="A424" t="s">
        <v>1310</v>
      </c>
      <c r="B424">
        <v>22322</v>
      </c>
      <c r="C424" t="s">
        <v>2989</v>
      </c>
      <c r="D424" t="s">
        <v>2990</v>
      </c>
      <c r="E424" t="s">
        <v>2991</v>
      </c>
      <c r="F424" s="2">
        <v>44702</v>
      </c>
      <c r="G424" s="2">
        <v>44702</v>
      </c>
      <c r="H424">
        <v>2022</v>
      </c>
      <c r="I424">
        <v>2</v>
      </c>
      <c r="J424" t="s">
        <v>2992</v>
      </c>
    </row>
    <row r="425" spans="1:10" x14ac:dyDescent="0.25">
      <c r="A425" t="s">
        <v>1310</v>
      </c>
      <c r="B425">
        <v>22331</v>
      </c>
      <c r="C425" t="s">
        <v>2993</v>
      </c>
      <c r="D425" t="s">
        <v>2994</v>
      </c>
      <c r="E425" t="s">
        <v>2995</v>
      </c>
      <c r="F425" s="2">
        <v>44742</v>
      </c>
      <c r="G425" s="2">
        <v>44714</v>
      </c>
      <c r="H425">
        <v>2022</v>
      </c>
      <c r="I425">
        <v>2</v>
      </c>
      <c r="J425" t="s">
        <v>2996</v>
      </c>
    </row>
    <row r="426" spans="1:10" x14ac:dyDescent="0.25">
      <c r="A426" t="s">
        <v>940</v>
      </c>
      <c r="B426">
        <v>23338</v>
      </c>
      <c r="C426" t="s">
        <v>1429</v>
      </c>
      <c r="D426" t="s">
        <v>2997</v>
      </c>
      <c r="E426" t="s">
        <v>2998</v>
      </c>
      <c r="F426" s="2">
        <v>44964</v>
      </c>
      <c r="G426" s="2">
        <v>44962</v>
      </c>
      <c r="H426">
        <v>2023</v>
      </c>
      <c r="I426">
        <v>1</v>
      </c>
      <c r="J426" t="s">
        <v>2999</v>
      </c>
    </row>
    <row r="427" spans="1:10" x14ac:dyDescent="0.25">
      <c r="A427" t="s">
        <v>1370</v>
      </c>
      <c r="B427">
        <v>23345</v>
      </c>
      <c r="C427" t="s">
        <v>1430</v>
      </c>
      <c r="D427" t="s">
        <v>3000</v>
      </c>
      <c r="E427" t="s">
        <v>3001</v>
      </c>
      <c r="F427" s="2">
        <v>45077</v>
      </c>
      <c r="G427" s="2">
        <v>45045</v>
      </c>
      <c r="H427">
        <v>2023</v>
      </c>
      <c r="I427">
        <v>2</v>
      </c>
      <c r="J427" t="s">
        <v>3002</v>
      </c>
    </row>
    <row r="428" spans="1:10" x14ac:dyDescent="0.25">
      <c r="A428" t="s">
        <v>1320</v>
      </c>
      <c r="B428">
        <v>23347</v>
      </c>
      <c r="C428" t="s">
        <v>1431</v>
      </c>
      <c r="D428" t="s">
        <v>3003</v>
      </c>
      <c r="E428" t="s">
        <v>3004</v>
      </c>
      <c r="F428" s="2">
        <v>45056</v>
      </c>
      <c r="G428" s="2">
        <v>45047</v>
      </c>
      <c r="H428">
        <v>2023</v>
      </c>
      <c r="I428">
        <v>2</v>
      </c>
      <c r="J428" t="s">
        <v>3005</v>
      </c>
    </row>
    <row r="429" spans="1:10" x14ac:dyDescent="0.25">
      <c r="A429" t="s">
        <v>1320</v>
      </c>
      <c r="B429">
        <v>23348</v>
      </c>
      <c r="C429" t="s">
        <v>1432</v>
      </c>
      <c r="D429" t="s">
        <v>3006</v>
      </c>
      <c r="E429" t="s">
        <v>1892</v>
      </c>
      <c r="F429" s="2">
        <v>45066</v>
      </c>
      <c r="G429" s="2">
        <v>45061</v>
      </c>
      <c r="H429">
        <v>2023</v>
      </c>
      <c r="I429">
        <v>2</v>
      </c>
      <c r="J429" t="s">
        <v>3007</v>
      </c>
    </row>
    <row r="430" spans="1:10" x14ac:dyDescent="0.25">
      <c r="A430" t="s">
        <v>1306</v>
      </c>
      <c r="B430">
        <v>17271</v>
      </c>
      <c r="C430" t="s">
        <v>1307</v>
      </c>
      <c r="D430" t="s">
        <v>3008</v>
      </c>
      <c r="E430" t="s">
        <v>3009</v>
      </c>
      <c r="F430" s="2">
        <v>42790</v>
      </c>
      <c r="G430" s="2">
        <v>42789</v>
      </c>
      <c r="H430">
        <v>2017</v>
      </c>
      <c r="I430">
        <v>1</v>
      </c>
      <c r="J430" t="s">
        <v>3010</v>
      </c>
    </row>
    <row r="431" spans="1:10" x14ac:dyDescent="0.25">
      <c r="A431" t="s">
        <v>1310</v>
      </c>
      <c r="B431">
        <v>17277</v>
      </c>
      <c r="C431" t="s">
        <v>1311</v>
      </c>
      <c r="D431" t="s">
        <v>3011</v>
      </c>
      <c r="E431" t="s">
        <v>3012</v>
      </c>
      <c r="F431" s="2">
        <v>42917</v>
      </c>
      <c r="G431" s="2">
        <v>42915</v>
      </c>
      <c r="H431">
        <v>2017</v>
      </c>
      <c r="I431">
        <v>3</v>
      </c>
      <c r="J431" t="s">
        <v>3013</v>
      </c>
    </row>
    <row r="432" spans="1:10" x14ac:dyDescent="0.25">
      <c r="A432" t="s">
        <v>1290</v>
      </c>
      <c r="B432">
        <v>17283</v>
      </c>
      <c r="C432" t="s">
        <v>1314</v>
      </c>
      <c r="D432" t="s">
        <v>3014</v>
      </c>
      <c r="E432" t="s">
        <v>3015</v>
      </c>
      <c r="F432" s="2">
        <v>43026</v>
      </c>
      <c r="G432" s="2">
        <v>43024</v>
      </c>
      <c r="H432">
        <v>2017</v>
      </c>
      <c r="I432">
        <v>4</v>
      </c>
      <c r="J432" t="s">
        <v>3016</v>
      </c>
    </row>
    <row r="433" spans="1:10" x14ac:dyDescent="0.25">
      <c r="A433" t="s">
        <v>3017</v>
      </c>
      <c r="B433">
        <v>18290</v>
      </c>
      <c r="C433" t="s">
        <v>3018</v>
      </c>
      <c r="D433" t="s">
        <v>3019</v>
      </c>
      <c r="E433" t="s">
        <v>3020</v>
      </c>
      <c r="F433" s="2">
        <v>43160</v>
      </c>
      <c r="G433" s="2">
        <v>43158</v>
      </c>
      <c r="H433">
        <v>2018</v>
      </c>
      <c r="I433">
        <v>1</v>
      </c>
      <c r="J433" t="s">
        <v>3021</v>
      </c>
    </row>
    <row r="434" spans="1:10" x14ac:dyDescent="0.25">
      <c r="A434" t="s">
        <v>1306</v>
      </c>
      <c r="B434">
        <v>18292</v>
      </c>
      <c r="C434" t="s">
        <v>3022</v>
      </c>
      <c r="D434" t="s">
        <v>2631</v>
      </c>
      <c r="E434" t="s">
        <v>3023</v>
      </c>
      <c r="F434" s="2">
        <v>43105</v>
      </c>
      <c r="G434" s="2">
        <v>43103</v>
      </c>
      <c r="H434">
        <v>2018</v>
      </c>
      <c r="I434">
        <v>1</v>
      </c>
      <c r="J434" t="s">
        <v>3024</v>
      </c>
    </row>
    <row r="435" spans="1:10" x14ac:dyDescent="0.25">
      <c r="A435" t="s">
        <v>1290</v>
      </c>
      <c r="B435">
        <v>18049</v>
      </c>
      <c r="C435" t="s">
        <v>1324</v>
      </c>
      <c r="D435" t="s">
        <v>3025</v>
      </c>
      <c r="E435" t="s">
        <v>1976</v>
      </c>
      <c r="F435" s="2">
        <v>43340</v>
      </c>
      <c r="G435" s="2">
        <v>43335</v>
      </c>
      <c r="H435">
        <v>2018</v>
      </c>
      <c r="I435">
        <v>3</v>
      </c>
      <c r="J435" t="s">
        <v>3026</v>
      </c>
    </row>
    <row r="436" spans="1:10" x14ac:dyDescent="0.25">
      <c r="A436" t="s">
        <v>1320</v>
      </c>
      <c r="B436">
        <v>18315</v>
      </c>
      <c r="C436" t="s">
        <v>3027</v>
      </c>
      <c r="D436" t="s">
        <v>3028</v>
      </c>
      <c r="E436" t="s">
        <v>3029</v>
      </c>
      <c r="F436" s="2">
        <v>43365</v>
      </c>
      <c r="G436" s="2">
        <v>43362</v>
      </c>
      <c r="H436">
        <v>2018</v>
      </c>
      <c r="I436">
        <v>3</v>
      </c>
      <c r="J436" t="s">
        <v>3030</v>
      </c>
    </row>
    <row r="437" spans="1:10" x14ac:dyDescent="0.25">
      <c r="A437" t="s">
        <v>1290</v>
      </c>
      <c r="B437">
        <v>18318</v>
      </c>
      <c r="C437" t="s">
        <v>1334</v>
      </c>
      <c r="D437" t="s">
        <v>3031</v>
      </c>
      <c r="E437" t="s">
        <v>3032</v>
      </c>
      <c r="F437" s="2">
        <v>43388</v>
      </c>
      <c r="G437" s="2">
        <v>43386</v>
      </c>
      <c r="H437">
        <v>2018</v>
      </c>
      <c r="I437">
        <v>4</v>
      </c>
      <c r="J437" t="s">
        <v>3033</v>
      </c>
    </row>
    <row r="438" spans="1:10" x14ac:dyDescent="0.25">
      <c r="A438" t="s">
        <v>1310</v>
      </c>
      <c r="B438">
        <v>20361</v>
      </c>
      <c r="C438" t="s">
        <v>1394</v>
      </c>
      <c r="D438" t="s">
        <v>3034</v>
      </c>
      <c r="E438" t="s">
        <v>3035</v>
      </c>
      <c r="F438" s="2">
        <v>43846</v>
      </c>
      <c r="G438" s="2">
        <v>43841</v>
      </c>
      <c r="H438">
        <v>2020</v>
      </c>
      <c r="I438">
        <v>1</v>
      </c>
      <c r="J438" t="s">
        <v>3036</v>
      </c>
    </row>
    <row r="439" spans="1:10" x14ac:dyDescent="0.25">
      <c r="A439" t="s">
        <v>1320</v>
      </c>
      <c r="B439">
        <v>20371</v>
      </c>
      <c r="C439" t="s">
        <v>1395</v>
      </c>
      <c r="D439" t="s">
        <v>3037</v>
      </c>
      <c r="E439" t="s">
        <v>3038</v>
      </c>
      <c r="F439" s="2">
        <v>43881</v>
      </c>
      <c r="G439" s="2">
        <v>43874</v>
      </c>
      <c r="H439">
        <v>2020</v>
      </c>
      <c r="I439">
        <v>1</v>
      </c>
      <c r="J439" t="s">
        <v>3039</v>
      </c>
    </row>
    <row r="440" spans="1:10" x14ac:dyDescent="0.25">
      <c r="A440" t="s">
        <v>1320</v>
      </c>
      <c r="B440">
        <v>20373</v>
      </c>
      <c r="C440" t="s">
        <v>1396</v>
      </c>
      <c r="D440" t="s">
        <v>3040</v>
      </c>
      <c r="E440" t="s">
        <v>3041</v>
      </c>
      <c r="F440" s="2">
        <v>43893</v>
      </c>
      <c r="G440" s="2">
        <v>43889</v>
      </c>
      <c r="H440">
        <v>2020</v>
      </c>
      <c r="I440">
        <v>1</v>
      </c>
      <c r="J440" t="s">
        <v>3042</v>
      </c>
    </row>
    <row r="441" spans="1:10" x14ac:dyDescent="0.25">
      <c r="A441" t="s">
        <v>1320</v>
      </c>
      <c r="B441">
        <v>20380</v>
      </c>
      <c r="C441" t="s">
        <v>1397</v>
      </c>
      <c r="D441" t="s">
        <v>3043</v>
      </c>
      <c r="E441" t="s">
        <v>3044</v>
      </c>
      <c r="F441" s="2">
        <v>44074</v>
      </c>
      <c r="G441" s="2">
        <v>44067</v>
      </c>
      <c r="H441">
        <v>2020</v>
      </c>
      <c r="I441">
        <v>3</v>
      </c>
      <c r="J441" t="s">
        <v>3045</v>
      </c>
    </row>
    <row r="442" spans="1:10" x14ac:dyDescent="0.25">
      <c r="A442" t="s">
        <v>1398</v>
      </c>
      <c r="B442">
        <v>20382</v>
      </c>
      <c r="C442" t="s">
        <v>1399</v>
      </c>
      <c r="D442" t="s">
        <v>3046</v>
      </c>
      <c r="E442" t="s">
        <v>3047</v>
      </c>
      <c r="F442" s="2">
        <v>44094</v>
      </c>
      <c r="G442" s="2">
        <v>44091</v>
      </c>
      <c r="H442">
        <v>2020</v>
      </c>
      <c r="I442">
        <v>3</v>
      </c>
      <c r="J442" t="s">
        <v>3048</v>
      </c>
    </row>
    <row r="443" spans="1:10" x14ac:dyDescent="0.25">
      <c r="A443" t="s">
        <v>1320</v>
      </c>
      <c r="B443">
        <v>20383</v>
      </c>
      <c r="C443" t="s">
        <v>1400</v>
      </c>
      <c r="D443" t="s">
        <v>3049</v>
      </c>
      <c r="E443" t="s">
        <v>3050</v>
      </c>
      <c r="F443" s="2">
        <v>44111</v>
      </c>
      <c r="G443" s="2">
        <v>44106</v>
      </c>
      <c r="H443">
        <v>2020</v>
      </c>
      <c r="I443">
        <v>4</v>
      </c>
      <c r="J443" t="s">
        <v>3051</v>
      </c>
    </row>
    <row r="444" spans="1:10" x14ac:dyDescent="0.25">
      <c r="A444" t="s">
        <v>1306</v>
      </c>
      <c r="B444">
        <v>20389</v>
      </c>
      <c r="C444" t="s">
        <v>1402</v>
      </c>
      <c r="D444" t="s">
        <v>3052</v>
      </c>
      <c r="E444" t="s">
        <v>3053</v>
      </c>
      <c r="F444" s="2">
        <v>43831</v>
      </c>
      <c r="G444" s="2">
        <v>44187</v>
      </c>
      <c r="H444">
        <v>2020</v>
      </c>
      <c r="I444">
        <v>1</v>
      </c>
      <c r="J444" t="s">
        <v>3054</v>
      </c>
    </row>
    <row r="445" spans="1:10" x14ac:dyDescent="0.25">
      <c r="A445" t="s">
        <v>1306</v>
      </c>
      <c r="B445">
        <v>21300</v>
      </c>
      <c r="C445" t="s">
        <v>1413</v>
      </c>
      <c r="D445" t="s">
        <v>3055</v>
      </c>
      <c r="E445" t="s">
        <v>3056</v>
      </c>
      <c r="F445" s="2">
        <v>44221</v>
      </c>
      <c r="G445" s="2">
        <v>44214</v>
      </c>
      <c r="H445">
        <v>2021</v>
      </c>
      <c r="I445">
        <v>1</v>
      </c>
      <c r="J445" t="s">
        <v>3057</v>
      </c>
    </row>
    <row r="446" spans="1:10" x14ac:dyDescent="0.25">
      <c r="A446" t="s">
        <v>1306</v>
      </c>
      <c r="B446">
        <v>21303</v>
      </c>
      <c r="C446" t="s">
        <v>3058</v>
      </c>
      <c r="D446" t="s">
        <v>3059</v>
      </c>
      <c r="E446" t="s">
        <v>3060</v>
      </c>
      <c r="F446" s="2">
        <v>44246</v>
      </c>
      <c r="G446" s="2">
        <v>44240</v>
      </c>
      <c r="H446">
        <v>2021</v>
      </c>
      <c r="I446">
        <v>1</v>
      </c>
      <c r="J446" t="s">
        <v>3061</v>
      </c>
    </row>
    <row r="447" spans="1:10" x14ac:dyDescent="0.25">
      <c r="A447" t="s">
        <v>1310</v>
      </c>
      <c r="B447">
        <v>21310</v>
      </c>
      <c r="C447" t="s">
        <v>3062</v>
      </c>
      <c r="D447" t="s">
        <v>3063</v>
      </c>
      <c r="E447" t="s">
        <v>3064</v>
      </c>
      <c r="F447" s="2">
        <v>44377</v>
      </c>
      <c r="G447" s="2">
        <v>44368</v>
      </c>
      <c r="H447">
        <v>2021</v>
      </c>
      <c r="I447">
        <v>2</v>
      </c>
      <c r="J447" t="s">
        <v>3065</v>
      </c>
    </row>
    <row r="448" spans="1:10" x14ac:dyDescent="0.25">
      <c r="A448" t="s">
        <v>1398</v>
      </c>
      <c r="B448">
        <v>21321</v>
      </c>
      <c r="C448" t="s">
        <v>3066</v>
      </c>
      <c r="D448" t="s">
        <v>3067</v>
      </c>
      <c r="E448" t="s">
        <v>3068</v>
      </c>
      <c r="F448" s="2">
        <v>44475</v>
      </c>
      <c r="G448" s="2">
        <v>44471</v>
      </c>
      <c r="H448">
        <v>2021</v>
      </c>
      <c r="I448">
        <v>4</v>
      </c>
      <c r="J448" t="s">
        <v>3069</v>
      </c>
    </row>
    <row r="449" spans="1:10" x14ac:dyDescent="0.25">
      <c r="A449" t="s">
        <v>1306</v>
      </c>
      <c r="B449">
        <v>21325</v>
      </c>
      <c r="C449" t="s">
        <v>3070</v>
      </c>
      <c r="D449" t="s">
        <v>3071</v>
      </c>
      <c r="E449" t="s">
        <v>3072</v>
      </c>
      <c r="F449" s="2">
        <v>44530</v>
      </c>
      <c r="G449" s="2">
        <v>44526</v>
      </c>
      <c r="H449">
        <v>2021</v>
      </c>
      <c r="I449">
        <v>4</v>
      </c>
      <c r="J449" t="s">
        <v>3073</v>
      </c>
    </row>
    <row r="450" spans="1:10" x14ac:dyDescent="0.25">
      <c r="A450" t="s">
        <v>1306</v>
      </c>
      <c r="B450">
        <v>22311</v>
      </c>
      <c r="C450" t="s">
        <v>3074</v>
      </c>
      <c r="D450" t="s">
        <v>3075</v>
      </c>
      <c r="E450" t="s">
        <v>3076</v>
      </c>
      <c r="F450" s="2">
        <v>44587</v>
      </c>
      <c r="G450" s="2">
        <v>44585</v>
      </c>
      <c r="H450">
        <v>2022</v>
      </c>
      <c r="I450">
        <v>1</v>
      </c>
      <c r="J450" t="s">
        <v>3077</v>
      </c>
    </row>
    <row r="451" spans="1:10" x14ac:dyDescent="0.25">
      <c r="A451" t="s">
        <v>1306</v>
      </c>
      <c r="B451">
        <v>22312</v>
      </c>
      <c r="C451" t="s">
        <v>3078</v>
      </c>
      <c r="D451" t="s">
        <v>3079</v>
      </c>
      <c r="E451" t="s">
        <v>3080</v>
      </c>
      <c r="F451" s="2">
        <v>44593</v>
      </c>
      <c r="G451" s="2">
        <v>44590</v>
      </c>
      <c r="H451">
        <v>2022</v>
      </c>
      <c r="I451">
        <v>1</v>
      </c>
      <c r="J451" t="s">
        <v>3081</v>
      </c>
    </row>
    <row r="452" spans="1:10" x14ac:dyDescent="0.25">
      <c r="A452" t="s">
        <v>1310</v>
      </c>
      <c r="B452">
        <v>22314</v>
      </c>
      <c r="C452" t="s">
        <v>3082</v>
      </c>
      <c r="D452" t="s">
        <v>3083</v>
      </c>
      <c r="E452" t="s">
        <v>3084</v>
      </c>
      <c r="F452" s="2">
        <v>44613</v>
      </c>
      <c r="G452" s="2">
        <v>44607</v>
      </c>
      <c r="H452">
        <v>2022</v>
      </c>
      <c r="I452">
        <v>1</v>
      </c>
      <c r="J452" t="s">
        <v>3085</v>
      </c>
    </row>
    <row r="453" spans="1:10" x14ac:dyDescent="0.25">
      <c r="A453" t="s">
        <v>1306</v>
      </c>
      <c r="B453">
        <v>22315</v>
      </c>
      <c r="C453" t="s">
        <v>3086</v>
      </c>
      <c r="D453" t="s">
        <v>3087</v>
      </c>
      <c r="E453" t="s">
        <v>3088</v>
      </c>
      <c r="F453" s="2">
        <v>44616</v>
      </c>
      <c r="G453" s="2">
        <v>44612</v>
      </c>
      <c r="H453">
        <v>2022</v>
      </c>
      <c r="I453">
        <v>1</v>
      </c>
      <c r="J453" t="s">
        <v>3089</v>
      </c>
    </row>
    <row r="454" spans="1:10" x14ac:dyDescent="0.25">
      <c r="A454" t="s">
        <v>1290</v>
      </c>
      <c r="B454">
        <v>22059</v>
      </c>
      <c r="C454" t="s">
        <v>1416</v>
      </c>
      <c r="D454" t="s">
        <v>2192</v>
      </c>
      <c r="E454" t="s">
        <v>3090</v>
      </c>
      <c r="F454" s="2">
        <v>44824</v>
      </c>
      <c r="G454" s="2">
        <v>44822</v>
      </c>
      <c r="H454">
        <v>2022</v>
      </c>
      <c r="I454">
        <v>3</v>
      </c>
      <c r="J454" t="s">
        <v>3091</v>
      </c>
    </row>
    <row r="455" spans="1:10" x14ac:dyDescent="0.25">
      <c r="A455" t="s">
        <v>1290</v>
      </c>
      <c r="B455">
        <v>17043</v>
      </c>
      <c r="C455" t="s">
        <v>1291</v>
      </c>
      <c r="D455" t="s">
        <v>3092</v>
      </c>
      <c r="E455" t="s">
        <v>3093</v>
      </c>
      <c r="F455" s="2">
        <v>42979</v>
      </c>
      <c r="G455" s="2">
        <v>42972</v>
      </c>
      <c r="H455">
        <v>2017</v>
      </c>
      <c r="I455">
        <v>3</v>
      </c>
      <c r="J455" t="s">
        <v>3094</v>
      </c>
    </row>
    <row r="456" spans="1:10" x14ac:dyDescent="0.25">
      <c r="A456" t="s">
        <v>1290</v>
      </c>
      <c r="B456">
        <v>17044</v>
      </c>
      <c r="C456" t="s">
        <v>1293</v>
      </c>
      <c r="D456" t="s">
        <v>3095</v>
      </c>
      <c r="E456" t="s">
        <v>3096</v>
      </c>
      <c r="F456" s="2">
        <v>42990</v>
      </c>
      <c r="G456" s="2">
        <v>42984</v>
      </c>
      <c r="H456">
        <v>2017</v>
      </c>
      <c r="I456">
        <v>3</v>
      </c>
      <c r="J456" t="s">
        <v>3097</v>
      </c>
    </row>
    <row r="457" spans="1:10" x14ac:dyDescent="0.25">
      <c r="A457" t="s">
        <v>1290</v>
      </c>
      <c r="B457">
        <v>17045</v>
      </c>
      <c r="C457" t="s">
        <v>1298</v>
      </c>
      <c r="D457" t="s">
        <v>3098</v>
      </c>
      <c r="E457" t="s">
        <v>3099</v>
      </c>
      <c r="F457" s="2">
        <v>43000</v>
      </c>
      <c r="G457" s="2">
        <v>42997</v>
      </c>
      <c r="H457">
        <v>2017</v>
      </c>
      <c r="I457">
        <v>3</v>
      </c>
      <c r="J457" t="s">
        <v>3100</v>
      </c>
    </row>
    <row r="458" spans="1:10" x14ac:dyDescent="0.25">
      <c r="A458" t="s">
        <v>1306</v>
      </c>
      <c r="B458">
        <v>18288</v>
      </c>
      <c r="C458" t="s">
        <v>3101</v>
      </c>
      <c r="D458" t="s">
        <v>3102</v>
      </c>
      <c r="E458" t="s">
        <v>3103</v>
      </c>
      <c r="F458" s="2">
        <v>43119</v>
      </c>
      <c r="G458" s="2">
        <v>43117</v>
      </c>
      <c r="H458">
        <v>2018</v>
      </c>
      <c r="I458">
        <v>1</v>
      </c>
      <c r="J458" t="s">
        <v>3104</v>
      </c>
    </row>
    <row r="459" spans="1:10" x14ac:dyDescent="0.25">
      <c r="A459" t="s">
        <v>1290</v>
      </c>
      <c r="B459">
        <v>19054</v>
      </c>
      <c r="C459" t="s">
        <v>1343</v>
      </c>
      <c r="D459" t="s">
        <v>3105</v>
      </c>
      <c r="E459" t="s">
        <v>3106</v>
      </c>
      <c r="F459" s="2">
        <v>43714</v>
      </c>
      <c r="G459" s="2">
        <v>43705</v>
      </c>
      <c r="H459">
        <v>2019</v>
      </c>
      <c r="I459">
        <v>3</v>
      </c>
      <c r="J459" t="s">
        <v>3107</v>
      </c>
    </row>
    <row r="460" spans="1:10" x14ac:dyDescent="0.25">
      <c r="A460" t="s">
        <v>1320</v>
      </c>
      <c r="B460">
        <v>20368</v>
      </c>
      <c r="C460" t="s">
        <v>3108</v>
      </c>
      <c r="D460" t="s">
        <v>3109</v>
      </c>
      <c r="E460" t="s">
        <v>3110</v>
      </c>
      <c r="F460" s="2">
        <v>43875</v>
      </c>
      <c r="G460" s="2">
        <v>43869</v>
      </c>
      <c r="H460">
        <v>2020</v>
      </c>
      <c r="I460">
        <v>1</v>
      </c>
      <c r="J460" t="s">
        <v>3111</v>
      </c>
    </row>
    <row r="461" spans="1:10" x14ac:dyDescent="0.25">
      <c r="A461" t="s">
        <v>1290</v>
      </c>
      <c r="B461">
        <v>20074</v>
      </c>
      <c r="C461" t="s">
        <v>1392</v>
      </c>
      <c r="D461" t="s">
        <v>3112</v>
      </c>
      <c r="E461" t="s">
        <v>3113</v>
      </c>
      <c r="F461" s="2">
        <v>44133</v>
      </c>
      <c r="G461" s="2">
        <v>44132</v>
      </c>
      <c r="H461">
        <v>2020</v>
      </c>
      <c r="I461">
        <v>4</v>
      </c>
      <c r="J461" t="s">
        <v>3114</v>
      </c>
    </row>
    <row r="462" spans="1:10" x14ac:dyDescent="0.25">
      <c r="A462" t="s">
        <v>1320</v>
      </c>
      <c r="B462">
        <v>20076</v>
      </c>
      <c r="C462" t="s">
        <v>1393</v>
      </c>
      <c r="D462" t="s">
        <v>3115</v>
      </c>
      <c r="E462" t="s">
        <v>2526</v>
      </c>
      <c r="F462" s="2">
        <v>44147</v>
      </c>
      <c r="G462" s="2">
        <v>44143</v>
      </c>
      <c r="H462">
        <v>2020</v>
      </c>
      <c r="I462">
        <v>4</v>
      </c>
      <c r="J462" t="s">
        <v>3116</v>
      </c>
    </row>
    <row r="463" spans="1:10" x14ac:dyDescent="0.25">
      <c r="A463" t="s">
        <v>1320</v>
      </c>
      <c r="B463">
        <v>21312</v>
      </c>
      <c r="C463" t="s">
        <v>1415</v>
      </c>
      <c r="D463" t="s">
        <v>3117</v>
      </c>
      <c r="E463" t="s">
        <v>3118</v>
      </c>
      <c r="F463" s="2">
        <v>44395</v>
      </c>
      <c r="G463" s="2">
        <v>44389</v>
      </c>
      <c r="H463">
        <v>2021</v>
      </c>
      <c r="I463">
        <v>3</v>
      </c>
      <c r="J463" t="s">
        <v>3119</v>
      </c>
    </row>
    <row r="464" spans="1:10" x14ac:dyDescent="0.25">
      <c r="A464" t="s">
        <v>1310</v>
      </c>
      <c r="B464">
        <v>22321</v>
      </c>
      <c r="C464" t="s">
        <v>3120</v>
      </c>
      <c r="D464" t="s">
        <v>1821</v>
      </c>
      <c r="E464" t="s">
        <v>3121</v>
      </c>
      <c r="F464" s="2">
        <v>44705</v>
      </c>
      <c r="G464" s="2">
        <v>44700</v>
      </c>
      <c r="H464">
        <v>2022</v>
      </c>
      <c r="I464">
        <v>2</v>
      </c>
      <c r="J464" t="s">
        <v>3122</v>
      </c>
    </row>
    <row r="465" spans="1:10" x14ac:dyDescent="0.25">
      <c r="A465" t="s">
        <v>1290</v>
      </c>
      <c r="B465">
        <v>22061</v>
      </c>
      <c r="C465" t="s">
        <v>1417</v>
      </c>
      <c r="D465" t="s">
        <v>3123</v>
      </c>
      <c r="E465" t="s">
        <v>3124</v>
      </c>
      <c r="F465" s="2">
        <v>44835</v>
      </c>
      <c r="G465" s="2">
        <v>44831</v>
      </c>
      <c r="H465">
        <v>2022</v>
      </c>
      <c r="I465">
        <v>4</v>
      </c>
      <c r="J465" t="s">
        <v>3125</v>
      </c>
    </row>
    <row r="466" spans="1:10" x14ac:dyDescent="0.25">
      <c r="A466" t="s">
        <v>1306</v>
      </c>
      <c r="B466">
        <v>22073</v>
      </c>
      <c r="C466" t="s">
        <v>3126</v>
      </c>
      <c r="D466" t="s">
        <v>3127</v>
      </c>
      <c r="E466" t="s">
        <v>3128</v>
      </c>
      <c r="F466" s="2">
        <v>44920</v>
      </c>
      <c r="G466" s="2">
        <v>44916</v>
      </c>
      <c r="H466">
        <v>2022</v>
      </c>
      <c r="I466">
        <v>4</v>
      </c>
      <c r="J466" t="s">
        <v>3129</v>
      </c>
    </row>
  </sheetData>
  <autoFilter ref="A1:J466" xr:uid="{00000000-0001-0000-03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A478-B03D-4833-BC57-3097FAD52965}">
  <dimension ref="A3:F210"/>
  <sheetViews>
    <sheetView workbookViewId="0">
      <selection activeCell="E208" sqref="E208"/>
    </sheetView>
  </sheetViews>
  <sheetFormatPr defaultRowHeight="15" x14ac:dyDescent="0.25"/>
  <cols>
    <col min="1" max="1" width="13.140625" bestFit="1" customWidth="1"/>
    <col min="2" max="2" width="24.7109375" bestFit="1" customWidth="1"/>
    <col min="5" max="5" width="10.85546875" bestFit="1" customWidth="1"/>
  </cols>
  <sheetData>
    <row r="3" spans="1:6" x14ac:dyDescent="0.25">
      <c r="A3" s="15" t="s">
        <v>3130</v>
      </c>
      <c r="B3" t="s">
        <v>3131</v>
      </c>
      <c r="E3" s="17" t="s">
        <v>3130</v>
      </c>
      <c r="F3" s="17" t="s">
        <v>3131</v>
      </c>
    </row>
    <row r="4" spans="1:6" x14ac:dyDescent="0.25">
      <c r="A4" s="16" t="s">
        <v>941</v>
      </c>
      <c r="B4">
        <v>1</v>
      </c>
      <c r="E4" s="16" t="s">
        <v>941</v>
      </c>
      <c r="F4">
        <v>1</v>
      </c>
    </row>
    <row r="5" spans="1:6" x14ac:dyDescent="0.25">
      <c r="A5" s="16" t="s">
        <v>944</v>
      </c>
      <c r="B5">
        <v>1</v>
      </c>
      <c r="E5" s="16" t="s">
        <v>944</v>
      </c>
      <c r="F5">
        <v>1</v>
      </c>
    </row>
    <row r="6" spans="1:6" x14ac:dyDescent="0.25">
      <c r="A6" s="16" t="s">
        <v>946</v>
      </c>
      <c r="B6">
        <v>1</v>
      </c>
      <c r="E6" s="16" t="s">
        <v>946</v>
      </c>
      <c r="F6">
        <v>1</v>
      </c>
    </row>
    <row r="7" spans="1:6" x14ac:dyDescent="0.25">
      <c r="A7" s="16" t="s">
        <v>948</v>
      </c>
      <c r="B7">
        <v>1</v>
      </c>
      <c r="E7" s="16" t="s">
        <v>948</v>
      </c>
      <c r="F7">
        <v>1</v>
      </c>
    </row>
    <row r="8" spans="1:6" x14ac:dyDescent="0.25">
      <c r="A8" s="16" t="s">
        <v>950</v>
      </c>
      <c r="B8">
        <v>1</v>
      </c>
      <c r="E8" s="16" t="s">
        <v>950</v>
      </c>
      <c r="F8">
        <v>1</v>
      </c>
    </row>
    <row r="9" spans="1:6" x14ac:dyDescent="0.25">
      <c r="A9" s="16" t="s">
        <v>952</v>
      </c>
      <c r="B9">
        <v>1</v>
      </c>
      <c r="E9" s="16" t="s">
        <v>952</v>
      </c>
      <c r="F9">
        <v>1</v>
      </c>
    </row>
    <row r="10" spans="1:6" x14ac:dyDescent="0.25">
      <c r="A10" s="16" t="s">
        <v>954</v>
      </c>
      <c r="B10">
        <v>1</v>
      </c>
      <c r="E10" s="16" t="s">
        <v>954</v>
      </c>
      <c r="F10">
        <v>1</v>
      </c>
    </row>
    <row r="11" spans="1:6" x14ac:dyDescent="0.25">
      <c r="A11" s="16" t="s">
        <v>956</v>
      </c>
      <c r="B11">
        <v>1</v>
      </c>
      <c r="E11" s="16" t="s">
        <v>956</v>
      </c>
      <c r="F11">
        <v>1</v>
      </c>
    </row>
    <row r="12" spans="1:6" x14ac:dyDescent="0.25">
      <c r="A12" s="16" t="s">
        <v>958</v>
      </c>
      <c r="B12">
        <v>1</v>
      </c>
      <c r="E12" s="16" t="s">
        <v>958</v>
      </c>
      <c r="F12">
        <v>1</v>
      </c>
    </row>
    <row r="13" spans="1:6" x14ac:dyDescent="0.25">
      <c r="A13" s="16" t="s">
        <v>961</v>
      </c>
      <c r="B13">
        <v>1</v>
      </c>
      <c r="E13" s="16" t="s">
        <v>961</v>
      </c>
      <c r="F13">
        <v>1</v>
      </c>
    </row>
    <row r="14" spans="1:6" x14ac:dyDescent="0.25">
      <c r="A14" s="16" t="s">
        <v>963</v>
      </c>
      <c r="B14">
        <v>1</v>
      </c>
      <c r="E14" s="16" t="s">
        <v>963</v>
      </c>
      <c r="F14">
        <v>1</v>
      </c>
    </row>
    <row r="15" spans="1:6" x14ac:dyDescent="0.25">
      <c r="A15" s="16" t="s">
        <v>965</v>
      </c>
      <c r="B15">
        <v>1</v>
      </c>
      <c r="E15" s="16" t="s">
        <v>965</v>
      </c>
      <c r="F15">
        <v>1</v>
      </c>
    </row>
    <row r="16" spans="1:6" x14ac:dyDescent="0.25">
      <c r="A16" s="16" t="s">
        <v>967</v>
      </c>
      <c r="B16">
        <v>1</v>
      </c>
      <c r="E16" s="16" t="s">
        <v>967</v>
      </c>
      <c r="F16">
        <v>1</v>
      </c>
    </row>
    <row r="17" spans="1:6" x14ac:dyDescent="0.25">
      <c r="A17" s="16" t="s">
        <v>968</v>
      </c>
      <c r="B17">
        <v>1</v>
      </c>
      <c r="E17" s="16" t="s">
        <v>968</v>
      </c>
      <c r="F17">
        <v>1</v>
      </c>
    </row>
    <row r="18" spans="1:6" x14ac:dyDescent="0.25">
      <c r="A18" s="16" t="s">
        <v>970</v>
      </c>
      <c r="B18">
        <v>1</v>
      </c>
      <c r="E18" s="16" t="s">
        <v>970</v>
      </c>
      <c r="F18">
        <v>1</v>
      </c>
    </row>
    <row r="19" spans="1:6" x14ac:dyDescent="0.25">
      <c r="A19" s="16" t="s">
        <v>971</v>
      </c>
      <c r="B19">
        <v>1</v>
      </c>
      <c r="E19" s="16" t="s">
        <v>971</v>
      </c>
      <c r="F19">
        <v>1</v>
      </c>
    </row>
    <row r="20" spans="1:6" x14ac:dyDescent="0.25">
      <c r="A20" s="16" t="s">
        <v>973</v>
      </c>
      <c r="B20">
        <v>1</v>
      </c>
      <c r="E20" s="16" t="s">
        <v>973</v>
      </c>
      <c r="F20">
        <v>1</v>
      </c>
    </row>
    <row r="21" spans="1:6" x14ac:dyDescent="0.25">
      <c r="A21" s="16" t="s">
        <v>975</v>
      </c>
      <c r="B21">
        <v>2</v>
      </c>
      <c r="E21" s="16" t="s">
        <v>977</v>
      </c>
      <c r="F21">
        <v>1</v>
      </c>
    </row>
    <row r="22" spans="1:6" x14ac:dyDescent="0.25">
      <c r="A22" s="16" t="s">
        <v>977</v>
      </c>
      <c r="B22">
        <v>1</v>
      </c>
      <c r="E22" s="16" t="s">
        <v>979</v>
      </c>
      <c r="F22">
        <v>1</v>
      </c>
    </row>
    <row r="23" spans="1:6" x14ac:dyDescent="0.25">
      <c r="A23" s="16" t="s">
        <v>979</v>
      </c>
      <c r="B23">
        <v>1</v>
      </c>
      <c r="E23" s="16" t="s">
        <v>981</v>
      </c>
      <c r="F23">
        <v>1</v>
      </c>
    </row>
    <row r="24" spans="1:6" x14ac:dyDescent="0.25">
      <c r="A24" s="16" t="s">
        <v>981</v>
      </c>
      <c r="B24">
        <v>1</v>
      </c>
      <c r="E24" s="16" t="s">
        <v>983</v>
      </c>
      <c r="F24">
        <v>1</v>
      </c>
    </row>
    <row r="25" spans="1:6" x14ac:dyDescent="0.25">
      <c r="A25" s="16" t="s">
        <v>983</v>
      </c>
      <c r="B25">
        <v>1</v>
      </c>
      <c r="E25" s="16" t="s">
        <v>984</v>
      </c>
      <c r="F25">
        <v>1</v>
      </c>
    </row>
    <row r="26" spans="1:6" x14ac:dyDescent="0.25">
      <c r="A26" s="16" t="s">
        <v>984</v>
      </c>
      <c r="B26">
        <v>1</v>
      </c>
      <c r="E26" s="16" t="s">
        <v>986</v>
      </c>
      <c r="F26">
        <v>1</v>
      </c>
    </row>
    <row r="27" spans="1:6" x14ac:dyDescent="0.25">
      <c r="A27" s="16" t="s">
        <v>986</v>
      </c>
      <c r="B27">
        <v>1</v>
      </c>
      <c r="E27" s="16" t="s">
        <v>988</v>
      </c>
      <c r="F27">
        <v>1</v>
      </c>
    </row>
    <row r="28" spans="1:6" x14ac:dyDescent="0.25">
      <c r="A28" s="16" t="s">
        <v>988</v>
      </c>
      <c r="B28">
        <v>1</v>
      </c>
      <c r="E28" s="16" t="s">
        <v>989</v>
      </c>
      <c r="F28">
        <v>1</v>
      </c>
    </row>
    <row r="29" spans="1:6" x14ac:dyDescent="0.25">
      <c r="A29" s="16" t="s">
        <v>989</v>
      </c>
      <c r="B29">
        <v>1</v>
      </c>
      <c r="E29" s="16" t="s">
        <v>990</v>
      </c>
      <c r="F29">
        <v>1</v>
      </c>
    </row>
    <row r="30" spans="1:6" x14ac:dyDescent="0.25">
      <c r="A30" s="16" t="s">
        <v>990</v>
      </c>
      <c r="B30">
        <v>1</v>
      </c>
      <c r="E30" s="16" t="s">
        <v>992</v>
      </c>
      <c r="F30">
        <v>1</v>
      </c>
    </row>
    <row r="31" spans="1:6" x14ac:dyDescent="0.25">
      <c r="A31" s="16" t="s">
        <v>992</v>
      </c>
      <c r="B31">
        <v>1</v>
      </c>
      <c r="E31" s="16" t="s">
        <v>993</v>
      </c>
      <c r="F31">
        <v>1</v>
      </c>
    </row>
    <row r="32" spans="1:6" x14ac:dyDescent="0.25">
      <c r="A32" s="16" t="s">
        <v>993</v>
      </c>
      <c r="B32">
        <v>1</v>
      </c>
      <c r="E32" s="16" t="s">
        <v>994</v>
      </c>
      <c r="F32">
        <v>1</v>
      </c>
    </row>
    <row r="33" spans="1:6" x14ac:dyDescent="0.25">
      <c r="A33" s="16" t="s">
        <v>994</v>
      </c>
      <c r="B33">
        <v>1</v>
      </c>
      <c r="E33" s="16" t="s">
        <v>996</v>
      </c>
      <c r="F33">
        <v>1</v>
      </c>
    </row>
    <row r="34" spans="1:6" x14ac:dyDescent="0.25">
      <c r="A34" s="16" t="s">
        <v>996</v>
      </c>
      <c r="B34">
        <v>1</v>
      </c>
      <c r="E34" s="16" t="s">
        <v>999</v>
      </c>
      <c r="F34">
        <v>1</v>
      </c>
    </row>
    <row r="35" spans="1:6" x14ac:dyDescent="0.25">
      <c r="A35" s="16" t="s">
        <v>999</v>
      </c>
      <c r="B35">
        <v>1</v>
      </c>
      <c r="E35" s="16" t="s">
        <v>1001</v>
      </c>
      <c r="F35">
        <v>1</v>
      </c>
    </row>
    <row r="36" spans="1:6" x14ac:dyDescent="0.25">
      <c r="A36" s="16" t="s">
        <v>1001</v>
      </c>
      <c r="B36">
        <v>1</v>
      </c>
      <c r="E36" s="16" t="s">
        <v>1003</v>
      </c>
      <c r="F36">
        <v>1</v>
      </c>
    </row>
    <row r="37" spans="1:6" x14ac:dyDescent="0.25">
      <c r="A37" s="16" t="s">
        <v>1003</v>
      </c>
      <c r="B37">
        <v>1</v>
      </c>
      <c r="E37" s="16" t="s">
        <v>1005</v>
      </c>
      <c r="F37">
        <v>1</v>
      </c>
    </row>
    <row r="38" spans="1:6" x14ac:dyDescent="0.25">
      <c r="A38" s="16" t="s">
        <v>1005</v>
      </c>
      <c r="B38">
        <v>1</v>
      </c>
      <c r="E38" s="16" t="s">
        <v>1007</v>
      </c>
      <c r="F38">
        <v>1</v>
      </c>
    </row>
    <row r="39" spans="1:6" x14ac:dyDescent="0.25">
      <c r="A39" s="16" t="s">
        <v>1007</v>
      </c>
      <c r="B39">
        <v>1</v>
      </c>
      <c r="E39" s="16" t="s">
        <v>1008</v>
      </c>
      <c r="F39">
        <v>1</v>
      </c>
    </row>
    <row r="40" spans="1:6" x14ac:dyDescent="0.25">
      <c r="A40" s="16" t="s">
        <v>1008</v>
      </c>
      <c r="B40">
        <v>1</v>
      </c>
      <c r="E40" s="16" t="s">
        <v>1009</v>
      </c>
      <c r="F40">
        <v>1</v>
      </c>
    </row>
    <row r="41" spans="1:6" x14ac:dyDescent="0.25">
      <c r="A41" s="16" t="s">
        <v>1009</v>
      </c>
      <c r="B41">
        <v>1</v>
      </c>
      <c r="E41" s="16" t="s">
        <v>1011</v>
      </c>
      <c r="F41">
        <v>1</v>
      </c>
    </row>
    <row r="42" spans="1:6" x14ac:dyDescent="0.25">
      <c r="A42" s="16" t="s">
        <v>1011</v>
      </c>
      <c r="B42">
        <v>1</v>
      </c>
      <c r="E42" s="16" t="s">
        <v>1013</v>
      </c>
      <c r="F42">
        <v>1</v>
      </c>
    </row>
    <row r="43" spans="1:6" x14ac:dyDescent="0.25">
      <c r="A43" s="16" t="s">
        <v>1013</v>
      </c>
      <c r="B43">
        <v>1</v>
      </c>
      <c r="E43" s="16" t="s">
        <v>1015</v>
      </c>
      <c r="F43">
        <v>1</v>
      </c>
    </row>
    <row r="44" spans="1:6" x14ac:dyDescent="0.25">
      <c r="A44" s="16" t="s">
        <v>1015</v>
      </c>
      <c r="B44">
        <v>1</v>
      </c>
      <c r="E44" s="16" t="s">
        <v>1016</v>
      </c>
      <c r="F44">
        <v>1</v>
      </c>
    </row>
    <row r="45" spans="1:6" x14ac:dyDescent="0.25">
      <c r="A45" s="16" t="s">
        <v>1016</v>
      </c>
      <c r="B45">
        <v>1</v>
      </c>
      <c r="E45" s="16" t="s">
        <v>1018</v>
      </c>
      <c r="F45">
        <v>1</v>
      </c>
    </row>
    <row r="46" spans="1:6" x14ac:dyDescent="0.25">
      <c r="A46" s="16" t="s">
        <v>1018</v>
      </c>
      <c r="B46">
        <v>1</v>
      </c>
      <c r="E46" s="16" t="s">
        <v>1020</v>
      </c>
      <c r="F46">
        <v>1</v>
      </c>
    </row>
    <row r="47" spans="1:6" x14ac:dyDescent="0.25">
      <c r="A47" s="16" t="s">
        <v>1020</v>
      </c>
      <c r="B47">
        <v>1</v>
      </c>
      <c r="E47" s="16" t="s">
        <v>1022</v>
      </c>
      <c r="F47">
        <v>1</v>
      </c>
    </row>
    <row r="48" spans="1:6" x14ac:dyDescent="0.25">
      <c r="A48" s="16" t="s">
        <v>1022</v>
      </c>
      <c r="B48">
        <v>1</v>
      </c>
      <c r="E48" s="16" t="s">
        <v>1024</v>
      </c>
      <c r="F48">
        <v>1</v>
      </c>
    </row>
    <row r="49" spans="1:6" x14ac:dyDescent="0.25">
      <c r="A49" s="16" t="s">
        <v>1024</v>
      </c>
      <c r="B49">
        <v>1</v>
      </c>
      <c r="E49" s="16" t="s">
        <v>1026</v>
      </c>
      <c r="F49">
        <v>1</v>
      </c>
    </row>
    <row r="50" spans="1:6" x14ac:dyDescent="0.25">
      <c r="A50" s="16" t="s">
        <v>1026</v>
      </c>
      <c r="B50">
        <v>1</v>
      </c>
      <c r="E50" s="16" t="s">
        <v>1028</v>
      </c>
      <c r="F50">
        <v>1</v>
      </c>
    </row>
    <row r="51" spans="1:6" x14ac:dyDescent="0.25">
      <c r="A51" s="16" t="s">
        <v>1028</v>
      </c>
      <c r="B51">
        <v>1</v>
      </c>
      <c r="E51" s="16" t="s">
        <v>1030</v>
      </c>
      <c r="F51">
        <v>1</v>
      </c>
    </row>
    <row r="52" spans="1:6" x14ac:dyDescent="0.25">
      <c r="A52" s="16" t="s">
        <v>1030</v>
      </c>
      <c r="B52">
        <v>1</v>
      </c>
      <c r="E52" s="16" t="s">
        <v>1031</v>
      </c>
      <c r="F52">
        <v>1</v>
      </c>
    </row>
    <row r="53" spans="1:6" x14ac:dyDescent="0.25">
      <c r="A53" s="16" t="s">
        <v>1031</v>
      </c>
      <c r="B53">
        <v>1</v>
      </c>
      <c r="E53" s="16" t="s">
        <v>1033</v>
      </c>
      <c r="F53">
        <v>1</v>
      </c>
    </row>
    <row r="54" spans="1:6" x14ac:dyDescent="0.25">
      <c r="A54" s="16" t="s">
        <v>1033</v>
      </c>
      <c r="B54">
        <v>1</v>
      </c>
      <c r="E54" s="16" t="s">
        <v>1035</v>
      </c>
      <c r="F54">
        <v>1</v>
      </c>
    </row>
    <row r="55" spans="1:6" x14ac:dyDescent="0.25">
      <c r="A55" s="16" t="s">
        <v>1035</v>
      </c>
      <c r="B55">
        <v>1</v>
      </c>
      <c r="E55" s="16" t="s">
        <v>1037</v>
      </c>
      <c r="F55">
        <v>1</v>
      </c>
    </row>
    <row r="56" spans="1:6" x14ac:dyDescent="0.25">
      <c r="A56" s="16" t="s">
        <v>1037</v>
      </c>
      <c r="B56">
        <v>1</v>
      </c>
      <c r="E56" s="16" t="s">
        <v>1039</v>
      </c>
      <c r="F56">
        <v>1</v>
      </c>
    </row>
    <row r="57" spans="1:6" x14ac:dyDescent="0.25">
      <c r="A57" s="16" t="s">
        <v>1039</v>
      </c>
      <c r="B57">
        <v>1</v>
      </c>
      <c r="E57" s="16" t="s">
        <v>1040</v>
      </c>
      <c r="F57">
        <v>1</v>
      </c>
    </row>
    <row r="58" spans="1:6" x14ac:dyDescent="0.25">
      <c r="A58" s="16" t="s">
        <v>1040</v>
      </c>
      <c r="B58">
        <v>1</v>
      </c>
      <c r="E58" s="16" t="s">
        <v>1042</v>
      </c>
      <c r="F58">
        <v>1</v>
      </c>
    </row>
    <row r="59" spans="1:6" x14ac:dyDescent="0.25">
      <c r="A59" s="16" t="s">
        <v>1042</v>
      </c>
      <c r="B59">
        <v>1</v>
      </c>
      <c r="E59" s="16" t="s">
        <v>1044</v>
      </c>
      <c r="F59">
        <v>1</v>
      </c>
    </row>
    <row r="60" spans="1:6" x14ac:dyDescent="0.25">
      <c r="A60" s="16" t="s">
        <v>1044</v>
      </c>
      <c r="B60">
        <v>1</v>
      </c>
      <c r="E60" s="16" t="s">
        <v>1046</v>
      </c>
      <c r="F60">
        <v>1</v>
      </c>
    </row>
    <row r="61" spans="1:6" x14ac:dyDescent="0.25">
      <c r="A61" s="16" t="s">
        <v>1046</v>
      </c>
      <c r="B61">
        <v>1</v>
      </c>
      <c r="E61" s="16" t="s">
        <v>1048</v>
      </c>
      <c r="F61">
        <v>1</v>
      </c>
    </row>
    <row r="62" spans="1:6" x14ac:dyDescent="0.25">
      <c r="A62" s="16" t="s">
        <v>1048</v>
      </c>
      <c r="B62">
        <v>1</v>
      </c>
      <c r="E62" s="16" t="s">
        <v>1050</v>
      </c>
      <c r="F62">
        <v>1</v>
      </c>
    </row>
    <row r="63" spans="1:6" x14ac:dyDescent="0.25">
      <c r="A63" s="16" t="s">
        <v>1050</v>
      </c>
      <c r="B63">
        <v>1</v>
      </c>
      <c r="E63" s="16" t="s">
        <v>1051</v>
      </c>
      <c r="F63">
        <v>1</v>
      </c>
    </row>
    <row r="64" spans="1:6" x14ac:dyDescent="0.25">
      <c r="A64" s="16" t="s">
        <v>1051</v>
      </c>
      <c r="B64">
        <v>1</v>
      </c>
      <c r="E64" s="16" t="s">
        <v>1053</v>
      </c>
      <c r="F64">
        <v>1</v>
      </c>
    </row>
    <row r="65" spans="1:6" x14ac:dyDescent="0.25">
      <c r="A65" s="16" t="s">
        <v>1053</v>
      </c>
      <c r="B65">
        <v>1</v>
      </c>
      <c r="E65" s="16" t="s">
        <v>1055</v>
      </c>
      <c r="F65">
        <v>1</v>
      </c>
    </row>
    <row r="66" spans="1:6" x14ac:dyDescent="0.25">
      <c r="A66" s="16" t="s">
        <v>1055</v>
      </c>
      <c r="B66">
        <v>1</v>
      </c>
      <c r="E66" s="16" t="s">
        <v>1059</v>
      </c>
      <c r="F66">
        <v>1</v>
      </c>
    </row>
    <row r="67" spans="1:6" x14ac:dyDescent="0.25">
      <c r="A67" s="16" t="s">
        <v>1057</v>
      </c>
      <c r="B67">
        <v>2</v>
      </c>
      <c r="E67" s="16" t="s">
        <v>1061</v>
      </c>
      <c r="F67">
        <v>1</v>
      </c>
    </row>
    <row r="68" spans="1:6" x14ac:dyDescent="0.25">
      <c r="A68" s="16" t="s">
        <v>1059</v>
      </c>
      <c r="B68">
        <v>1</v>
      </c>
      <c r="E68" s="16" t="s">
        <v>1063</v>
      </c>
      <c r="F68">
        <v>1</v>
      </c>
    </row>
    <row r="69" spans="1:6" x14ac:dyDescent="0.25">
      <c r="A69" s="16" t="s">
        <v>1061</v>
      </c>
      <c r="B69">
        <v>1</v>
      </c>
      <c r="E69" s="16" t="s">
        <v>1065</v>
      </c>
      <c r="F69">
        <v>1</v>
      </c>
    </row>
    <row r="70" spans="1:6" x14ac:dyDescent="0.25">
      <c r="A70" s="16" t="s">
        <v>1063</v>
      </c>
      <c r="B70">
        <v>1</v>
      </c>
      <c r="E70" s="16" t="s">
        <v>1067</v>
      </c>
      <c r="F70">
        <v>1</v>
      </c>
    </row>
    <row r="71" spans="1:6" x14ac:dyDescent="0.25">
      <c r="A71" s="16" t="s">
        <v>1065</v>
      </c>
      <c r="B71">
        <v>1</v>
      </c>
      <c r="E71" s="16" t="s">
        <v>1069</v>
      </c>
      <c r="F71">
        <v>1</v>
      </c>
    </row>
    <row r="72" spans="1:6" x14ac:dyDescent="0.25">
      <c r="A72" s="16" t="s">
        <v>1067</v>
      </c>
      <c r="B72">
        <v>1</v>
      </c>
      <c r="E72" s="16" t="s">
        <v>1071</v>
      </c>
      <c r="F72">
        <v>1</v>
      </c>
    </row>
    <row r="73" spans="1:6" x14ac:dyDescent="0.25">
      <c r="A73" s="16" t="s">
        <v>1069</v>
      </c>
      <c r="B73">
        <v>1</v>
      </c>
      <c r="E73" s="16" t="s">
        <v>1073</v>
      </c>
      <c r="F73">
        <v>1</v>
      </c>
    </row>
    <row r="74" spans="1:6" x14ac:dyDescent="0.25">
      <c r="A74" s="16" t="s">
        <v>1071</v>
      </c>
      <c r="B74">
        <v>1</v>
      </c>
      <c r="E74" s="16" t="s">
        <v>1074</v>
      </c>
      <c r="F74">
        <v>1</v>
      </c>
    </row>
    <row r="75" spans="1:6" x14ac:dyDescent="0.25">
      <c r="A75" s="16" t="s">
        <v>1073</v>
      </c>
      <c r="B75">
        <v>1</v>
      </c>
      <c r="E75" s="16" t="s">
        <v>1076</v>
      </c>
      <c r="F75">
        <v>1</v>
      </c>
    </row>
    <row r="76" spans="1:6" x14ac:dyDescent="0.25">
      <c r="A76" s="16" t="s">
        <v>1074</v>
      </c>
      <c r="B76">
        <v>1</v>
      </c>
      <c r="E76" s="16" t="s">
        <v>1078</v>
      </c>
      <c r="F76">
        <v>1</v>
      </c>
    </row>
    <row r="77" spans="1:6" x14ac:dyDescent="0.25">
      <c r="A77" s="16" t="s">
        <v>1076</v>
      </c>
      <c r="B77">
        <v>1</v>
      </c>
      <c r="E77" s="16" t="s">
        <v>1080</v>
      </c>
      <c r="F77">
        <v>1</v>
      </c>
    </row>
    <row r="78" spans="1:6" x14ac:dyDescent="0.25">
      <c r="A78" s="16" t="s">
        <v>1078</v>
      </c>
      <c r="B78">
        <v>1</v>
      </c>
      <c r="E78" s="16" t="s">
        <v>1082</v>
      </c>
      <c r="F78">
        <v>1</v>
      </c>
    </row>
    <row r="79" spans="1:6" x14ac:dyDescent="0.25">
      <c r="A79" s="16" t="s">
        <v>1080</v>
      </c>
      <c r="B79">
        <v>1</v>
      </c>
      <c r="E79" s="16" t="s">
        <v>1083</v>
      </c>
      <c r="F79">
        <v>1</v>
      </c>
    </row>
    <row r="80" spans="1:6" x14ac:dyDescent="0.25">
      <c r="A80" s="16" t="s">
        <v>1082</v>
      </c>
      <c r="B80">
        <v>1</v>
      </c>
      <c r="E80" s="16" t="s">
        <v>1084</v>
      </c>
      <c r="F80">
        <v>1</v>
      </c>
    </row>
    <row r="81" spans="1:6" x14ac:dyDescent="0.25">
      <c r="A81" s="16" t="s">
        <v>1083</v>
      </c>
      <c r="B81">
        <v>1</v>
      </c>
      <c r="E81" s="16" t="s">
        <v>1085</v>
      </c>
      <c r="F81">
        <v>1</v>
      </c>
    </row>
    <row r="82" spans="1:6" x14ac:dyDescent="0.25">
      <c r="A82" s="16" t="s">
        <v>1084</v>
      </c>
      <c r="B82">
        <v>1</v>
      </c>
      <c r="E82" s="16" t="s">
        <v>1086</v>
      </c>
      <c r="F82">
        <v>1</v>
      </c>
    </row>
    <row r="83" spans="1:6" x14ac:dyDescent="0.25">
      <c r="A83" s="16" t="s">
        <v>1085</v>
      </c>
      <c r="B83">
        <v>1</v>
      </c>
      <c r="E83" s="16" t="s">
        <v>1088</v>
      </c>
      <c r="F83">
        <v>1</v>
      </c>
    </row>
    <row r="84" spans="1:6" x14ac:dyDescent="0.25">
      <c r="A84" s="16" t="s">
        <v>1086</v>
      </c>
      <c r="B84">
        <v>1</v>
      </c>
      <c r="E84" s="16" t="s">
        <v>1090</v>
      </c>
      <c r="F84">
        <v>1</v>
      </c>
    </row>
    <row r="85" spans="1:6" x14ac:dyDescent="0.25">
      <c r="A85" s="16" t="s">
        <v>1088</v>
      </c>
      <c r="B85">
        <v>1</v>
      </c>
      <c r="E85" s="16" t="s">
        <v>1092</v>
      </c>
      <c r="F85">
        <v>1</v>
      </c>
    </row>
    <row r="86" spans="1:6" x14ac:dyDescent="0.25">
      <c r="A86" s="16" t="s">
        <v>1090</v>
      </c>
      <c r="B86">
        <v>1</v>
      </c>
      <c r="E86" s="16" t="s">
        <v>1093</v>
      </c>
      <c r="F86">
        <v>1</v>
      </c>
    </row>
    <row r="87" spans="1:6" x14ac:dyDescent="0.25">
      <c r="A87" s="16" t="s">
        <v>1092</v>
      </c>
      <c r="B87">
        <v>1</v>
      </c>
      <c r="E87" s="16" t="s">
        <v>1097</v>
      </c>
      <c r="F87">
        <v>1</v>
      </c>
    </row>
    <row r="88" spans="1:6" x14ac:dyDescent="0.25">
      <c r="A88" s="16" t="s">
        <v>1093</v>
      </c>
      <c r="B88">
        <v>1</v>
      </c>
      <c r="E88" s="16" t="s">
        <v>1099</v>
      </c>
      <c r="F88">
        <v>1</v>
      </c>
    </row>
    <row r="89" spans="1:6" x14ac:dyDescent="0.25">
      <c r="A89" s="16" t="s">
        <v>1095</v>
      </c>
      <c r="B89">
        <v>2</v>
      </c>
      <c r="E89" s="16" t="s">
        <v>1101</v>
      </c>
      <c r="F89">
        <v>1</v>
      </c>
    </row>
    <row r="90" spans="1:6" x14ac:dyDescent="0.25">
      <c r="A90" s="16" t="s">
        <v>1097</v>
      </c>
      <c r="B90">
        <v>1</v>
      </c>
      <c r="E90" s="16" t="s">
        <v>1103</v>
      </c>
      <c r="F90">
        <v>1</v>
      </c>
    </row>
    <row r="91" spans="1:6" x14ac:dyDescent="0.25">
      <c r="A91" s="16" t="s">
        <v>1099</v>
      </c>
      <c r="B91">
        <v>1</v>
      </c>
      <c r="E91" s="16" t="s">
        <v>1105</v>
      </c>
      <c r="F91">
        <v>1</v>
      </c>
    </row>
    <row r="92" spans="1:6" x14ac:dyDescent="0.25">
      <c r="A92" s="16" t="s">
        <v>1101</v>
      </c>
      <c r="B92">
        <v>1</v>
      </c>
      <c r="E92" s="16" t="s">
        <v>1107</v>
      </c>
      <c r="F92">
        <v>1</v>
      </c>
    </row>
    <row r="93" spans="1:6" x14ac:dyDescent="0.25">
      <c r="A93" s="16" t="s">
        <v>1103</v>
      </c>
      <c r="B93">
        <v>1</v>
      </c>
      <c r="E93" s="16" t="s">
        <v>1109</v>
      </c>
      <c r="F93">
        <v>1</v>
      </c>
    </row>
    <row r="94" spans="1:6" x14ac:dyDescent="0.25">
      <c r="A94" s="16" t="s">
        <v>1105</v>
      </c>
      <c r="B94">
        <v>1</v>
      </c>
      <c r="E94" s="16" t="s">
        <v>1111</v>
      </c>
      <c r="F94">
        <v>1</v>
      </c>
    </row>
    <row r="95" spans="1:6" x14ac:dyDescent="0.25">
      <c r="A95" s="16" t="s">
        <v>1107</v>
      </c>
      <c r="B95">
        <v>1</v>
      </c>
      <c r="E95" s="16" t="s">
        <v>1113</v>
      </c>
      <c r="F95">
        <v>1</v>
      </c>
    </row>
    <row r="96" spans="1:6" x14ac:dyDescent="0.25">
      <c r="A96" s="16" t="s">
        <v>1109</v>
      </c>
      <c r="B96">
        <v>1</v>
      </c>
      <c r="E96" s="16" t="s">
        <v>1115</v>
      </c>
      <c r="F96">
        <v>1</v>
      </c>
    </row>
    <row r="97" spans="1:6" x14ac:dyDescent="0.25">
      <c r="A97" s="16" t="s">
        <v>1111</v>
      </c>
      <c r="B97">
        <v>1</v>
      </c>
      <c r="E97" s="16" t="s">
        <v>1117</v>
      </c>
      <c r="F97">
        <v>1</v>
      </c>
    </row>
    <row r="98" spans="1:6" x14ac:dyDescent="0.25">
      <c r="A98" s="16" t="s">
        <v>1113</v>
      </c>
      <c r="B98">
        <v>1</v>
      </c>
      <c r="E98" s="16" t="s">
        <v>1119</v>
      </c>
      <c r="F98">
        <v>1</v>
      </c>
    </row>
    <row r="99" spans="1:6" x14ac:dyDescent="0.25">
      <c r="A99" s="16" t="s">
        <v>1115</v>
      </c>
      <c r="B99">
        <v>1</v>
      </c>
      <c r="E99" s="16" t="s">
        <v>1121</v>
      </c>
      <c r="F99">
        <v>1</v>
      </c>
    </row>
    <row r="100" spans="1:6" x14ac:dyDescent="0.25">
      <c r="A100" s="16" t="s">
        <v>1117</v>
      </c>
      <c r="B100">
        <v>1</v>
      </c>
      <c r="E100" s="16" t="s">
        <v>1123</v>
      </c>
      <c r="F100">
        <v>1</v>
      </c>
    </row>
    <row r="101" spans="1:6" x14ac:dyDescent="0.25">
      <c r="A101" s="16" t="s">
        <v>1119</v>
      </c>
      <c r="B101">
        <v>1</v>
      </c>
      <c r="E101" s="16" t="s">
        <v>1125</v>
      </c>
      <c r="F101">
        <v>1</v>
      </c>
    </row>
    <row r="102" spans="1:6" x14ac:dyDescent="0.25">
      <c r="A102" s="16" t="s">
        <v>1121</v>
      </c>
      <c r="B102">
        <v>1</v>
      </c>
      <c r="E102" s="16" t="s">
        <v>1127</v>
      </c>
      <c r="F102">
        <v>1</v>
      </c>
    </row>
    <row r="103" spans="1:6" x14ac:dyDescent="0.25">
      <c r="A103" s="16" t="s">
        <v>1123</v>
      </c>
      <c r="B103">
        <v>1</v>
      </c>
      <c r="E103" s="16" t="s">
        <v>1128</v>
      </c>
      <c r="F103">
        <v>1</v>
      </c>
    </row>
    <row r="104" spans="1:6" x14ac:dyDescent="0.25">
      <c r="A104" s="16" t="s">
        <v>1125</v>
      </c>
      <c r="B104">
        <v>1</v>
      </c>
      <c r="E104" s="16" t="s">
        <v>1129</v>
      </c>
      <c r="F104">
        <v>1</v>
      </c>
    </row>
    <row r="105" spans="1:6" x14ac:dyDescent="0.25">
      <c r="A105" s="16" t="s">
        <v>1127</v>
      </c>
      <c r="B105">
        <v>1</v>
      </c>
      <c r="E105" s="16" t="s">
        <v>1131</v>
      </c>
      <c r="F105">
        <v>1</v>
      </c>
    </row>
    <row r="106" spans="1:6" x14ac:dyDescent="0.25">
      <c r="A106" s="16" t="s">
        <v>1128</v>
      </c>
      <c r="B106">
        <v>1</v>
      </c>
      <c r="E106" s="16" t="s">
        <v>1133</v>
      </c>
      <c r="F106">
        <v>1</v>
      </c>
    </row>
    <row r="107" spans="1:6" x14ac:dyDescent="0.25">
      <c r="A107" s="16" t="s">
        <v>1129</v>
      </c>
      <c r="B107">
        <v>1</v>
      </c>
      <c r="E107" s="16" t="s">
        <v>1135</v>
      </c>
      <c r="F107">
        <v>1</v>
      </c>
    </row>
    <row r="108" spans="1:6" x14ac:dyDescent="0.25">
      <c r="A108" s="16" t="s">
        <v>1131</v>
      </c>
      <c r="B108">
        <v>1</v>
      </c>
      <c r="E108" s="16" t="s">
        <v>1136</v>
      </c>
      <c r="F108">
        <v>1</v>
      </c>
    </row>
    <row r="109" spans="1:6" x14ac:dyDescent="0.25">
      <c r="A109" s="16" t="s">
        <v>1133</v>
      </c>
      <c r="B109">
        <v>1</v>
      </c>
      <c r="E109" s="16" t="s">
        <v>1138</v>
      </c>
      <c r="F109">
        <v>1</v>
      </c>
    </row>
    <row r="110" spans="1:6" x14ac:dyDescent="0.25">
      <c r="A110" s="16" t="s">
        <v>1135</v>
      </c>
      <c r="B110">
        <v>1</v>
      </c>
      <c r="E110" s="16" t="s">
        <v>1140</v>
      </c>
      <c r="F110">
        <v>1</v>
      </c>
    </row>
    <row r="111" spans="1:6" x14ac:dyDescent="0.25">
      <c r="A111" s="16" t="s">
        <v>1136</v>
      </c>
      <c r="B111">
        <v>1</v>
      </c>
      <c r="E111" s="16" t="s">
        <v>1141</v>
      </c>
      <c r="F111">
        <v>1</v>
      </c>
    </row>
    <row r="112" spans="1:6" x14ac:dyDescent="0.25">
      <c r="A112" s="16" t="s">
        <v>1138</v>
      </c>
      <c r="B112">
        <v>1</v>
      </c>
      <c r="E112" s="16" t="s">
        <v>1143</v>
      </c>
      <c r="F112">
        <v>1</v>
      </c>
    </row>
    <row r="113" spans="1:6" x14ac:dyDescent="0.25">
      <c r="A113" s="16" t="s">
        <v>1140</v>
      </c>
      <c r="B113">
        <v>1</v>
      </c>
      <c r="E113" s="16" t="s">
        <v>1145</v>
      </c>
      <c r="F113">
        <v>1</v>
      </c>
    </row>
    <row r="114" spans="1:6" x14ac:dyDescent="0.25">
      <c r="A114" s="16" t="s">
        <v>1141</v>
      </c>
      <c r="B114">
        <v>1</v>
      </c>
      <c r="E114" s="16" t="s">
        <v>1147</v>
      </c>
      <c r="F114">
        <v>1</v>
      </c>
    </row>
    <row r="115" spans="1:6" x14ac:dyDescent="0.25">
      <c r="A115" s="16" t="s">
        <v>1143</v>
      </c>
      <c r="B115">
        <v>1</v>
      </c>
      <c r="E115" s="16" t="s">
        <v>1148</v>
      </c>
      <c r="F115">
        <v>1</v>
      </c>
    </row>
    <row r="116" spans="1:6" x14ac:dyDescent="0.25">
      <c r="A116" s="16" t="s">
        <v>1145</v>
      </c>
      <c r="B116">
        <v>1</v>
      </c>
      <c r="E116" s="16" t="s">
        <v>1149</v>
      </c>
      <c r="F116">
        <v>1</v>
      </c>
    </row>
    <row r="117" spans="1:6" x14ac:dyDescent="0.25">
      <c r="A117" s="16" t="s">
        <v>1147</v>
      </c>
      <c r="B117">
        <v>1</v>
      </c>
      <c r="E117" s="16" t="s">
        <v>1150</v>
      </c>
      <c r="F117">
        <v>1</v>
      </c>
    </row>
    <row r="118" spans="1:6" x14ac:dyDescent="0.25">
      <c r="A118" s="16" t="s">
        <v>1148</v>
      </c>
      <c r="B118">
        <v>1</v>
      </c>
      <c r="E118" s="16" t="s">
        <v>1151</v>
      </c>
      <c r="F118">
        <v>1</v>
      </c>
    </row>
    <row r="119" spans="1:6" x14ac:dyDescent="0.25">
      <c r="A119" s="16" t="s">
        <v>1149</v>
      </c>
      <c r="B119">
        <v>1</v>
      </c>
      <c r="E119" s="16" t="s">
        <v>1152</v>
      </c>
      <c r="F119">
        <v>1</v>
      </c>
    </row>
    <row r="120" spans="1:6" x14ac:dyDescent="0.25">
      <c r="A120" s="16" t="s">
        <v>1150</v>
      </c>
      <c r="B120">
        <v>1</v>
      </c>
      <c r="E120" s="16" t="s">
        <v>1153</v>
      </c>
      <c r="F120">
        <v>1</v>
      </c>
    </row>
    <row r="121" spans="1:6" x14ac:dyDescent="0.25">
      <c r="A121" s="16" t="s">
        <v>1151</v>
      </c>
      <c r="B121">
        <v>1</v>
      </c>
      <c r="E121" s="16" t="s">
        <v>1154</v>
      </c>
      <c r="F121">
        <v>1</v>
      </c>
    </row>
    <row r="122" spans="1:6" x14ac:dyDescent="0.25">
      <c r="A122" s="16" t="s">
        <v>1152</v>
      </c>
      <c r="B122">
        <v>1</v>
      </c>
      <c r="E122" s="16" t="s">
        <v>1155</v>
      </c>
      <c r="F122">
        <v>1</v>
      </c>
    </row>
    <row r="123" spans="1:6" x14ac:dyDescent="0.25">
      <c r="A123" s="16" t="s">
        <v>1153</v>
      </c>
      <c r="B123">
        <v>1</v>
      </c>
      <c r="E123" s="16" t="s">
        <v>1156</v>
      </c>
      <c r="F123">
        <v>1</v>
      </c>
    </row>
    <row r="124" spans="1:6" x14ac:dyDescent="0.25">
      <c r="A124" s="16" t="s">
        <v>1154</v>
      </c>
      <c r="B124">
        <v>1</v>
      </c>
      <c r="E124" s="16" t="s">
        <v>1158</v>
      </c>
      <c r="F124">
        <v>1</v>
      </c>
    </row>
    <row r="125" spans="1:6" x14ac:dyDescent="0.25">
      <c r="A125" s="16" t="s">
        <v>1155</v>
      </c>
      <c r="B125">
        <v>1</v>
      </c>
      <c r="E125" s="16" t="s">
        <v>1160</v>
      </c>
      <c r="F125">
        <v>1</v>
      </c>
    </row>
    <row r="126" spans="1:6" x14ac:dyDescent="0.25">
      <c r="A126" s="16" t="s">
        <v>1156</v>
      </c>
      <c r="B126">
        <v>1</v>
      </c>
      <c r="E126" s="16" t="s">
        <v>1162</v>
      </c>
      <c r="F126">
        <v>1</v>
      </c>
    </row>
    <row r="127" spans="1:6" x14ac:dyDescent="0.25">
      <c r="A127" s="16" t="s">
        <v>1158</v>
      </c>
      <c r="B127">
        <v>1</v>
      </c>
      <c r="E127" s="16" t="s">
        <v>1164</v>
      </c>
      <c r="F127">
        <v>1</v>
      </c>
    </row>
    <row r="128" spans="1:6" x14ac:dyDescent="0.25">
      <c r="A128" s="16" t="s">
        <v>1160</v>
      </c>
      <c r="B128">
        <v>1</v>
      </c>
      <c r="E128" s="16" t="s">
        <v>1166</v>
      </c>
      <c r="F128">
        <v>1</v>
      </c>
    </row>
    <row r="129" spans="1:6" x14ac:dyDescent="0.25">
      <c r="A129" s="16" t="s">
        <v>1162</v>
      </c>
      <c r="B129">
        <v>1</v>
      </c>
      <c r="E129" s="16" t="s">
        <v>1168</v>
      </c>
      <c r="F129">
        <v>1</v>
      </c>
    </row>
    <row r="130" spans="1:6" x14ac:dyDescent="0.25">
      <c r="A130" s="16" t="s">
        <v>1164</v>
      </c>
      <c r="B130">
        <v>1</v>
      </c>
      <c r="E130" s="16" t="s">
        <v>1170</v>
      </c>
      <c r="F130">
        <v>1</v>
      </c>
    </row>
    <row r="131" spans="1:6" x14ac:dyDescent="0.25">
      <c r="A131" s="16" t="s">
        <v>1166</v>
      </c>
      <c r="B131">
        <v>1</v>
      </c>
      <c r="E131" s="16" t="s">
        <v>1172</v>
      </c>
      <c r="F131">
        <v>1</v>
      </c>
    </row>
    <row r="132" spans="1:6" x14ac:dyDescent="0.25">
      <c r="A132" s="16" t="s">
        <v>1168</v>
      </c>
      <c r="B132">
        <v>1</v>
      </c>
      <c r="E132" s="16" t="s">
        <v>1174</v>
      </c>
      <c r="F132">
        <v>1</v>
      </c>
    </row>
    <row r="133" spans="1:6" x14ac:dyDescent="0.25">
      <c r="A133" s="16" t="s">
        <v>1170</v>
      </c>
      <c r="B133">
        <v>1</v>
      </c>
      <c r="E133" s="16" t="s">
        <v>1176</v>
      </c>
      <c r="F133">
        <v>1</v>
      </c>
    </row>
    <row r="134" spans="1:6" x14ac:dyDescent="0.25">
      <c r="A134" s="16" t="s">
        <v>1172</v>
      </c>
      <c r="B134">
        <v>1</v>
      </c>
      <c r="E134" s="16" t="s">
        <v>1177</v>
      </c>
      <c r="F134">
        <v>1</v>
      </c>
    </row>
    <row r="135" spans="1:6" x14ac:dyDescent="0.25">
      <c r="A135" s="16" t="s">
        <v>1174</v>
      </c>
      <c r="B135">
        <v>1</v>
      </c>
      <c r="E135" s="16" t="s">
        <v>1179</v>
      </c>
      <c r="F135">
        <v>1</v>
      </c>
    </row>
    <row r="136" spans="1:6" x14ac:dyDescent="0.25">
      <c r="A136" s="16" t="s">
        <v>1176</v>
      </c>
      <c r="B136">
        <v>1</v>
      </c>
      <c r="E136" s="16" t="s">
        <v>1180</v>
      </c>
      <c r="F136">
        <v>1</v>
      </c>
    </row>
    <row r="137" spans="1:6" x14ac:dyDescent="0.25">
      <c r="A137" s="16" t="s">
        <v>1177</v>
      </c>
      <c r="B137">
        <v>1</v>
      </c>
      <c r="E137" s="16" t="s">
        <v>1181</v>
      </c>
      <c r="F137">
        <v>1</v>
      </c>
    </row>
    <row r="138" spans="1:6" x14ac:dyDescent="0.25">
      <c r="A138" s="16" t="s">
        <v>1179</v>
      </c>
      <c r="B138">
        <v>1</v>
      </c>
      <c r="E138" s="16" t="s">
        <v>1183</v>
      </c>
      <c r="F138">
        <v>1</v>
      </c>
    </row>
    <row r="139" spans="1:6" x14ac:dyDescent="0.25">
      <c r="A139" s="16" t="s">
        <v>1180</v>
      </c>
      <c r="B139">
        <v>1</v>
      </c>
      <c r="E139" s="16" t="s">
        <v>1185</v>
      </c>
      <c r="F139">
        <v>1</v>
      </c>
    </row>
    <row r="140" spans="1:6" x14ac:dyDescent="0.25">
      <c r="A140" s="16" t="s">
        <v>1181</v>
      </c>
      <c r="B140">
        <v>1</v>
      </c>
      <c r="E140" s="16" t="s">
        <v>1187</v>
      </c>
      <c r="F140">
        <v>1</v>
      </c>
    </row>
    <row r="141" spans="1:6" x14ac:dyDescent="0.25">
      <c r="A141" s="16" t="s">
        <v>1183</v>
      </c>
      <c r="B141">
        <v>1</v>
      </c>
      <c r="E141" s="16" t="s">
        <v>1188</v>
      </c>
      <c r="F141">
        <v>1</v>
      </c>
    </row>
    <row r="142" spans="1:6" x14ac:dyDescent="0.25">
      <c r="A142" s="16" t="s">
        <v>1185</v>
      </c>
      <c r="B142">
        <v>1</v>
      </c>
      <c r="E142" s="16" t="s">
        <v>1190</v>
      </c>
      <c r="F142">
        <v>1</v>
      </c>
    </row>
    <row r="143" spans="1:6" x14ac:dyDescent="0.25">
      <c r="A143" s="16" t="s">
        <v>1187</v>
      </c>
      <c r="B143">
        <v>1</v>
      </c>
      <c r="E143" s="16" t="s">
        <v>1191</v>
      </c>
      <c r="F143">
        <v>1</v>
      </c>
    </row>
    <row r="144" spans="1:6" x14ac:dyDescent="0.25">
      <c r="A144" s="16" t="s">
        <v>1188</v>
      </c>
      <c r="B144">
        <v>1</v>
      </c>
      <c r="E144" s="16" t="s">
        <v>1193</v>
      </c>
      <c r="F144">
        <v>1</v>
      </c>
    </row>
    <row r="145" spans="1:6" x14ac:dyDescent="0.25">
      <c r="A145" s="16" t="s">
        <v>1190</v>
      </c>
      <c r="B145">
        <v>1</v>
      </c>
      <c r="E145" s="16" t="s">
        <v>1194</v>
      </c>
      <c r="F145">
        <v>1</v>
      </c>
    </row>
    <row r="146" spans="1:6" x14ac:dyDescent="0.25">
      <c r="A146" s="16" t="s">
        <v>1191</v>
      </c>
      <c r="B146">
        <v>1</v>
      </c>
      <c r="E146" s="16" t="s">
        <v>1196</v>
      </c>
      <c r="F146">
        <v>1</v>
      </c>
    </row>
    <row r="147" spans="1:6" x14ac:dyDescent="0.25">
      <c r="A147" s="16" t="s">
        <v>1193</v>
      </c>
      <c r="B147">
        <v>1</v>
      </c>
      <c r="E147" s="16" t="s">
        <v>1197</v>
      </c>
      <c r="F147">
        <v>1</v>
      </c>
    </row>
    <row r="148" spans="1:6" x14ac:dyDescent="0.25">
      <c r="A148" s="16" t="s">
        <v>1194</v>
      </c>
      <c r="B148">
        <v>1</v>
      </c>
      <c r="E148" s="16" t="s">
        <v>1200</v>
      </c>
      <c r="F148">
        <v>1</v>
      </c>
    </row>
    <row r="149" spans="1:6" x14ac:dyDescent="0.25">
      <c r="A149" s="16" t="s">
        <v>1196</v>
      </c>
      <c r="B149">
        <v>1</v>
      </c>
      <c r="E149" s="16" t="s">
        <v>1201</v>
      </c>
      <c r="F149">
        <v>1</v>
      </c>
    </row>
    <row r="150" spans="1:6" x14ac:dyDescent="0.25">
      <c r="A150" s="16" t="s">
        <v>1197</v>
      </c>
      <c r="B150">
        <v>1</v>
      </c>
      <c r="E150" s="16" t="s">
        <v>1202</v>
      </c>
      <c r="F150">
        <v>1</v>
      </c>
    </row>
    <row r="151" spans="1:6" x14ac:dyDescent="0.25">
      <c r="A151" s="16" t="s">
        <v>1198</v>
      </c>
      <c r="B151">
        <v>2</v>
      </c>
      <c r="E151" s="16" t="s">
        <v>1203</v>
      </c>
      <c r="F151">
        <v>1</v>
      </c>
    </row>
    <row r="152" spans="1:6" x14ac:dyDescent="0.25">
      <c r="A152" s="16" t="s">
        <v>1200</v>
      </c>
      <c r="B152">
        <v>1</v>
      </c>
      <c r="E152" s="16" t="s">
        <v>1204</v>
      </c>
      <c r="F152">
        <v>1</v>
      </c>
    </row>
    <row r="153" spans="1:6" x14ac:dyDescent="0.25">
      <c r="A153" s="16" t="s">
        <v>1201</v>
      </c>
      <c r="B153">
        <v>1</v>
      </c>
      <c r="E153" s="16" t="s">
        <v>1206</v>
      </c>
      <c r="F153">
        <v>1</v>
      </c>
    </row>
    <row r="154" spans="1:6" x14ac:dyDescent="0.25">
      <c r="A154" s="16" t="s">
        <v>1202</v>
      </c>
      <c r="B154">
        <v>1</v>
      </c>
      <c r="E154" s="16" t="s">
        <v>1208</v>
      </c>
      <c r="F154">
        <v>1</v>
      </c>
    </row>
    <row r="155" spans="1:6" x14ac:dyDescent="0.25">
      <c r="A155" s="16" t="s">
        <v>1203</v>
      </c>
      <c r="B155">
        <v>1</v>
      </c>
      <c r="E155" s="16" t="s">
        <v>1210</v>
      </c>
      <c r="F155">
        <v>1</v>
      </c>
    </row>
    <row r="156" spans="1:6" x14ac:dyDescent="0.25">
      <c r="A156" s="16" t="s">
        <v>1204</v>
      </c>
      <c r="B156">
        <v>1</v>
      </c>
      <c r="E156" s="16" t="s">
        <v>1212</v>
      </c>
      <c r="F156">
        <v>1</v>
      </c>
    </row>
    <row r="157" spans="1:6" x14ac:dyDescent="0.25">
      <c r="A157" s="16" t="s">
        <v>1206</v>
      </c>
      <c r="B157">
        <v>1</v>
      </c>
      <c r="E157" s="16" t="s">
        <v>1214</v>
      </c>
      <c r="F157">
        <v>1</v>
      </c>
    </row>
    <row r="158" spans="1:6" x14ac:dyDescent="0.25">
      <c r="A158" s="16" t="s">
        <v>1208</v>
      </c>
      <c r="B158">
        <v>1</v>
      </c>
      <c r="E158" s="16" t="s">
        <v>1215</v>
      </c>
      <c r="F158">
        <v>1</v>
      </c>
    </row>
    <row r="159" spans="1:6" x14ac:dyDescent="0.25">
      <c r="A159" s="16" t="s">
        <v>1210</v>
      </c>
      <c r="B159">
        <v>1</v>
      </c>
      <c r="E159" s="16" t="s">
        <v>1216</v>
      </c>
      <c r="F159">
        <v>1</v>
      </c>
    </row>
    <row r="160" spans="1:6" x14ac:dyDescent="0.25">
      <c r="A160" s="16" t="s">
        <v>1212</v>
      </c>
      <c r="B160">
        <v>1</v>
      </c>
      <c r="E160" s="16" t="s">
        <v>1218</v>
      </c>
      <c r="F160">
        <v>1</v>
      </c>
    </row>
    <row r="161" spans="1:6" x14ac:dyDescent="0.25">
      <c r="A161" s="16" t="s">
        <v>1214</v>
      </c>
      <c r="B161">
        <v>1</v>
      </c>
      <c r="E161" s="16" t="s">
        <v>1219</v>
      </c>
      <c r="F161">
        <v>1</v>
      </c>
    </row>
    <row r="162" spans="1:6" x14ac:dyDescent="0.25">
      <c r="A162" s="16" t="s">
        <v>1215</v>
      </c>
      <c r="B162">
        <v>1</v>
      </c>
      <c r="E162" s="16" t="s">
        <v>1220</v>
      </c>
      <c r="F162">
        <v>1</v>
      </c>
    </row>
    <row r="163" spans="1:6" x14ac:dyDescent="0.25">
      <c r="A163" s="16" t="s">
        <v>1216</v>
      </c>
      <c r="B163">
        <v>1</v>
      </c>
      <c r="E163" s="16" t="s">
        <v>1222</v>
      </c>
      <c r="F163">
        <v>1</v>
      </c>
    </row>
    <row r="164" spans="1:6" x14ac:dyDescent="0.25">
      <c r="A164" s="16" t="s">
        <v>1218</v>
      </c>
      <c r="B164">
        <v>1</v>
      </c>
      <c r="E164" s="16" t="s">
        <v>1224</v>
      </c>
      <c r="F164">
        <v>1</v>
      </c>
    </row>
    <row r="165" spans="1:6" x14ac:dyDescent="0.25">
      <c r="A165" s="16" t="s">
        <v>1219</v>
      </c>
      <c r="B165">
        <v>1</v>
      </c>
      <c r="E165" s="16" t="s">
        <v>1225</v>
      </c>
      <c r="F165">
        <v>1</v>
      </c>
    </row>
    <row r="166" spans="1:6" x14ac:dyDescent="0.25">
      <c r="A166" s="16" t="s">
        <v>1220</v>
      </c>
      <c r="B166">
        <v>1</v>
      </c>
      <c r="E166" s="16" t="s">
        <v>1226</v>
      </c>
      <c r="F166">
        <v>1</v>
      </c>
    </row>
    <row r="167" spans="1:6" x14ac:dyDescent="0.25">
      <c r="A167" s="16" t="s">
        <v>1222</v>
      </c>
      <c r="B167">
        <v>1</v>
      </c>
      <c r="E167" s="16" t="s">
        <v>1227</v>
      </c>
      <c r="F167">
        <v>1</v>
      </c>
    </row>
    <row r="168" spans="1:6" x14ac:dyDescent="0.25">
      <c r="A168" s="16" t="s">
        <v>1224</v>
      </c>
      <c r="B168">
        <v>1</v>
      </c>
      <c r="E168" s="16" t="s">
        <v>1229</v>
      </c>
      <c r="F168">
        <v>1</v>
      </c>
    </row>
    <row r="169" spans="1:6" x14ac:dyDescent="0.25">
      <c r="A169" s="16" t="s">
        <v>1225</v>
      </c>
      <c r="B169">
        <v>1</v>
      </c>
      <c r="E169" s="16" t="s">
        <v>1231</v>
      </c>
      <c r="F169">
        <v>1</v>
      </c>
    </row>
    <row r="170" spans="1:6" x14ac:dyDescent="0.25">
      <c r="A170" s="16" t="s">
        <v>1226</v>
      </c>
      <c r="B170">
        <v>1</v>
      </c>
      <c r="E170" s="16" t="s">
        <v>1233</v>
      </c>
      <c r="F170">
        <v>1</v>
      </c>
    </row>
    <row r="171" spans="1:6" x14ac:dyDescent="0.25">
      <c r="A171" s="16" t="s">
        <v>1227</v>
      </c>
      <c r="B171">
        <v>1</v>
      </c>
      <c r="E171" s="16" t="s">
        <v>1235</v>
      </c>
      <c r="F171">
        <v>1</v>
      </c>
    </row>
    <row r="172" spans="1:6" x14ac:dyDescent="0.25">
      <c r="A172" s="16" t="s">
        <v>1229</v>
      </c>
      <c r="B172">
        <v>1</v>
      </c>
      <c r="E172" s="16" t="s">
        <v>1237</v>
      </c>
      <c r="F172">
        <v>1</v>
      </c>
    </row>
    <row r="173" spans="1:6" x14ac:dyDescent="0.25">
      <c r="A173" s="16" t="s">
        <v>1231</v>
      </c>
      <c r="B173">
        <v>1</v>
      </c>
      <c r="E173" s="16" t="s">
        <v>1239</v>
      </c>
      <c r="F173">
        <v>1</v>
      </c>
    </row>
    <row r="174" spans="1:6" x14ac:dyDescent="0.25">
      <c r="A174" s="16" t="s">
        <v>1233</v>
      </c>
      <c r="B174">
        <v>1</v>
      </c>
      <c r="E174" s="16" t="s">
        <v>1241</v>
      </c>
      <c r="F174">
        <v>1</v>
      </c>
    </row>
    <row r="175" spans="1:6" x14ac:dyDescent="0.25">
      <c r="A175" s="16" t="s">
        <v>1235</v>
      </c>
      <c r="B175">
        <v>1</v>
      </c>
      <c r="E175" s="16" t="s">
        <v>1242</v>
      </c>
      <c r="F175">
        <v>1</v>
      </c>
    </row>
    <row r="176" spans="1:6" x14ac:dyDescent="0.25">
      <c r="A176" s="16" t="s">
        <v>1237</v>
      </c>
      <c r="B176">
        <v>1</v>
      </c>
      <c r="E176" s="16" t="s">
        <v>1244</v>
      </c>
      <c r="F176">
        <v>1</v>
      </c>
    </row>
    <row r="177" spans="1:6" x14ac:dyDescent="0.25">
      <c r="A177" s="16" t="s">
        <v>1239</v>
      </c>
      <c r="B177">
        <v>1</v>
      </c>
      <c r="E177" s="16" t="s">
        <v>1247</v>
      </c>
      <c r="F177">
        <v>1</v>
      </c>
    </row>
    <row r="178" spans="1:6" x14ac:dyDescent="0.25">
      <c r="A178" s="16" t="s">
        <v>1241</v>
      </c>
      <c r="B178">
        <v>1</v>
      </c>
      <c r="E178" s="16" t="s">
        <v>1248</v>
      </c>
      <c r="F178">
        <v>1</v>
      </c>
    </row>
    <row r="179" spans="1:6" x14ac:dyDescent="0.25">
      <c r="A179" s="16" t="s">
        <v>1242</v>
      </c>
      <c r="B179">
        <v>1</v>
      </c>
      <c r="E179" s="16" t="s">
        <v>1250</v>
      </c>
      <c r="F179">
        <v>1</v>
      </c>
    </row>
    <row r="180" spans="1:6" x14ac:dyDescent="0.25">
      <c r="A180" s="16" t="s">
        <v>1244</v>
      </c>
      <c r="B180">
        <v>1</v>
      </c>
      <c r="E180" s="16" t="s">
        <v>1252</v>
      </c>
      <c r="F180">
        <v>1</v>
      </c>
    </row>
    <row r="181" spans="1:6" x14ac:dyDescent="0.25">
      <c r="A181" s="16" t="s">
        <v>1245</v>
      </c>
      <c r="B181">
        <v>2</v>
      </c>
      <c r="E181" s="16" t="s">
        <v>1254</v>
      </c>
      <c r="F181">
        <v>1</v>
      </c>
    </row>
    <row r="182" spans="1:6" x14ac:dyDescent="0.25">
      <c r="A182" s="16" t="s">
        <v>1247</v>
      </c>
      <c r="B182">
        <v>1</v>
      </c>
      <c r="E182" s="16" t="s">
        <v>1255</v>
      </c>
      <c r="F182">
        <v>1</v>
      </c>
    </row>
    <row r="183" spans="1:6" x14ac:dyDescent="0.25">
      <c r="A183" s="16" t="s">
        <v>1248</v>
      </c>
      <c r="B183">
        <v>1</v>
      </c>
      <c r="E183" s="16" t="s">
        <v>1256</v>
      </c>
      <c r="F183">
        <v>1</v>
      </c>
    </row>
    <row r="184" spans="1:6" x14ac:dyDescent="0.25">
      <c r="A184" s="16" t="s">
        <v>1250</v>
      </c>
      <c r="B184">
        <v>1</v>
      </c>
      <c r="E184" s="16" t="s">
        <v>1257</v>
      </c>
      <c r="F184">
        <v>1</v>
      </c>
    </row>
    <row r="185" spans="1:6" x14ac:dyDescent="0.25">
      <c r="A185" s="16" t="s">
        <v>1252</v>
      </c>
      <c r="B185">
        <v>1</v>
      </c>
      <c r="E185" s="16" t="s">
        <v>1259</v>
      </c>
      <c r="F185">
        <v>1</v>
      </c>
    </row>
    <row r="186" spans="1:6" x14ac:dyDescent="0.25">
      <c r="A186" s="16" t="s">
        <v>1254</v>
      </c>
      <c r="B186">
        <v>1</v>
      </c>
      <c r="E186" s="16" t="s">
        <v>1260</v>
      </c>
      <c r="F186">
        <v>1</v>
      </c>
    </row>
    <row r="187" spans="1:6" x14ac:dyDescent="0.25">
      <c r="A187" s="16" t="s">
        <v>1255</v>
      </c>
      <c r="B187">
        <v>1</v>
      </c>
      <c r="E187" s="16" t="s">
        <v>1261</v>
      </c>
      <c r="F187">
        <v>1</v>
      </c>
    </row>
    <row r="188" spans="1:6" x14ac:dyDescent="0.25">
      <c r="A188" s="16" t="s">
        <v>1256</v>
      </c>
      <c r="B188">
        <v>1</v>
      </c>
      <c r="E188" s="16" t="s">
        <v>1263</v>
      </c>
      <c r="F188">
        <v>1</v>
      </c>
    </row>
    <row r="189" spans="1:6" x14ac:dyDescent="0.25">
      <c r="A189" s="16" t="s">
        <v>1257</v>
      </c>
      <c r="B189">
        <v>1</v>
      </c>
      <c r="E189" s="16" t="s">
        <v>1264</v>
      </c>
      <c r="F189">
        <v>1</v>
      </c>
    </row>
    <row r="190" spans="1:6" x14ac:dyDescent="0.25">
      <c r="A190" s="16" t="s">
        <v>1259</v>
      </c>
      <c r="B190">
        <v>1</v>
      </c>
      <c r="E190" s="16" t="s">
        <v>1266</v>
      </c>
      <c r="F190">
        <v>1</v>
      </c>
    </row>
    <row r="191" spans="1:6" x14ac:dyDescent="0.25">
      <c r="A191" s="16" t="s">
        <v>1260</v>
      </c>
      <c r="B191">
        <v>1</v>
      </c>
      <c r="E191" s="16" t="s">
        <v>1268</v>
      </c>
      <c r="F191">
        <v>1</v>
      </c>
    </row>
    <row r="192" spans="1:6" x14ac:dyDescent="0.25">
      <c r="A192" s="16" t="s">
        <v>1261</v>
      </c>
      <c r="B192">
        <v>1</v>
      </c>
      <c r="E192" s="16" t="s">
        <v>1269</v>
      </c>
      <c r="F192">
        <v>1</v>
      </c>
    </row>
    <row r="193" spans="1:6" x14ac:dyDescent="0.25">
      <c r="A193" s="16" t="s">
        <v>1263</v>
      </c>
      <c r="B193">
        <v>1</v>
      </c>
      <c r="E193" s="16" t="s">
        <v>1270</v>
      </c>
      <c r="F193">
        <v>1</v>
      </c>
    </row>
    <row r="194" spans="1:6" x14ac:dyDescent="0.25">
      <c r="A194" s="16" t="s">
        <v>1264</v>
      </c>
      <c r="B194">
        <v>1</v>
      </c>
      <c r="E194" s="16" t="s">
        <v>1271</v>
      </c>
      <c r="F194">
        <v>1</v>
      </c>
    </row>
    <row r="195" spans="1:6" x14ac:dyDescent="0.25">
      <c r="A195" s="16" t="s">
        <v>1266</v>
      </c>
      <c r="B195">
        <v>1</v>
      </c>
      <c r="E195" s="16" t="s">
        <v>1273</v>
      </c>
      <c r="F195">
        <v>1</v>
      </c>
    </row>
    <row r="196" spans="1:6" x14ac:dyDescent="0.25">
      <c r="A196" s="16" t="s">
        <v>1268</v>
      </c>
      <c r="B196">
        <v>1</v>
      </c>
      <c r="E196" s="16" t="s">
        <v>1275</v>
      </c>
      <c r="F196">
        <v>1</v>
      </c>
    </row>
    <row r="197" spans="1:6" x14ac:dyDescent="0.25">
      <c r="A197" s="16" t="s">
        <v>1269</v>
      </c>
      <c r="B197">
        <v>1</v>
      </c>
      <c r="E197" s="16" t="s">
        <v>1277</v>
      </c>
      <c r="F197">
        <v>1</v>
      </c>
    </row>
    <row r="198" spans="1:6" x14ac:dyDescent="0.25">
      <c r="A198" s="16" t="s">
        <v>1270</v>
      </c>
      <c r="B198">
        <v>1</v>
      </c>
      <c r="E198" s="16" t="s">
        <v>1279</v>
      </c>
      <c r="F198">
        <v>1</v>
      </c>
    </row>
    <row r="199" spans="1:6" x14ac:dyDescent="0.25">
      <c r="A199" s="16" t="s">
        <v>1271</v>
      </c>
      <c r="B199">
        <v>1</v>
      </c>
      <c r="E199" s="16" t="s">
        <v>1281</v>
      </c>
      <c r="F199">
        <v>1</v>
      </c>
    </row>
    <row r="200" spans="1:6" x14ac:dyDescent="0.25">
      <c r="A200" s="16" t="s">
        <v>1273</v>
      </c>
      <c r="B200">
        <v>1</v>
      </c>
      <c r="E200" s="16" t="s">
        <v>1282</v>
      </c>
      <c r="F200">
        <v>1</v>
      </c>
    </row>
    <row r="201" spans="1:6" x14ac:dyDescent="0.25">
      <c r="A201" s="16" t="s">
        <v>1275</v>
      </c>
      <c r="B201">
        <v>1</v>
      </c>
      <c r="E201" s="16" t="s">
        <v>1284</v>
      </c>
      <c r="F201">
        <v>1</v>
      </c>
    </row>
    <row r="202" spans="1:6" x14ac:dyDescent="0.25">
      <c r="A202" s="16" t="s">
        <v>1277</v>
      </c>
      <c r="B202">
        <v>1</v>
      </c>
      <c r="E202" s="16" t="s">
        <v>1286</v>
      </c>
      <c r="F202">
        <v>1</v>
      </c>
    </row>
    <row r="203" spans="1:6" x14ac:dyDescent="0.25">
      <c r="A203" s="16" t="s">
        <v>1279</v>
      </c>
      <c r="B203">
        <v>1</v>
      </c>
      <c r="E203" s="16" t="s">
        <v>1287</v>
      </c>
      <c r="F203">
        <v>1</v>
      </c>
    </row>
    <row r="204" spans="1:6" x14ac:dyDescent="0.25">
      <c r="A204" s="16" t="s">
        <v>1281</v>
      </c>
      <c r="B204">
        <v>1</v>
      </c>
      <c r="E204" s="16" t="s">
        <v>975</v>
      </c>
      <c r="F204">
        <v>2</v>
      </c>
    </row>
    <row r="205" spans="1:6" x14ac:dyDescent="0.25">
      <c r="A205" s="16" t="s">
        <v>1282</v>
      </c>
      <c r="B205">
        <v>1</v>
      </c>
      <c r="E205" s="16" t="s">
        <v>1057</v>
      </c>
      <c r="F205">
        <v>2</v>
      </c>
    </row>
    <row r="206" spans="1:6" x14ac:dyDescent="0.25">
      <c r="A206" s="16" t="s">
        <v>1284</v>
      </c>
      <c r="B206">
        <v>1</v>
      </c>
      <c r="E206" s="16" t="s">
        <v>1095</v>
      </c>
      <c r="F206">
        <v>2</v>
      </c>
    </row>
    <row r="207" spans="1:6" x14ac:dyDescent="0.25">
      <c r="A207" s="16" t="s">
        <v>1286</v>
      </c>
      <c r="B207">
        <v>1</v>
      </c>
      <c r="E207" s="16" t="s">
        <v>1198</v>
      </c>
      <c r="F207">
        <v>2</v>
      </c>
    </row>
    <row r="208" spans="1:6" x14ac:dyDescent="0.25">
      <c r="A208" s="16" t="s">
        <v>1287</v>
      </c>
      <c r="B208">
        <v>1</v>
      </c>
      <c r="E208" s="16" t="s">
        <v>1245</v>
      </c>
      <c r="F208">
        <v>2</v>
      </c>
    </row>
    <row r="209" spans="1:5" x14ac:dyDescent="0.25">
      <c r="A209" s="16" t="s">
        <v>3132</v>
      </c>
      <c r="E209" s="16" t="s">
        <v>3132</v>
      </c>
    </row>
    <row r="210" spans="1:5" x14ac:dyDescent="0.25">
      <c r="A210" s="16" t="s">
        <v>3133</v>
      </c>
      <c r="B210">
        <v>210</v>
      </c>
    </row>
  </sheetData>
  <sortState xmlns:xlrd2="http://schemas.microsoft.com/office/spreadsheetml/2017/richdata2" ref="E4:F209">
    <sortCondition ref="F4:F20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2"/>
  <sheetViews>
    <sheetView workbookViewId="0">
      <selection activeCell="D16" sqref="D16"/>
    </sheetView>
  </sheetViews>
  <sheetFormatPr defaultRowHeight="15" x14ac:dyDescent="0.25"/>
  <sheetData>
    <row r="1" spans="1:5" x14ac:dyDescent="0.25">
      <c r="A1" s="1" t="s">
        <v>3134</v>
      </c>
      <c r="B1" s="1" t="s">
        <v>3135</v>
      </c>
      <c r="C1" s="1" t="s">
        <v>884</v>
      </c>
      <c r="D1" s="1" t="s">
        <v>3136</v>
      </c>
      <c r="E1" s="1" t="s">
        <v>883</v>
      </c>
    </row>
    <row r="2" spans="1:5" x14ac:dyDescent="0.25">
      <c r="A2">
        <v>0</v>
      </c>
      <c r="B2" t="s">
        <v>941</v>
      </c>
      <c r="C2" t="s">
        <v>887</v>
      </c>
      <c r="D2">
        <v>1</v>
      </c>
      <c r="E2" t="s">
        <v>886</v>
      </c>
    </row>
    <row r="3" spans="1:5" x14ac:dyDescent="0.25">
      <c r="A3">
        <v>1</v>
      </c>
      <c r="B3" t="s">
        <v>944</v>
      </c>
      <c r="C3" t="s">
        <v>906</v>
      </c>
      <c r="D3">
        <v>1</v>
      </c>
      <c r="E3" t="s">
        <v>905</v>
      </c>
    </row>
    <row r="4" spans="1:5" x14ac:dyDescent="0.25">
      <c r="A4">
        <v>2</v>
      </c>
      <c r="B4" t="s">
        <v>946</v>
      </c>
      <c r="C4" t="s">
        <v>903</v>
      </c>
      <c r="D4">
        <v>1</v>
      </c>
      <c r="E4" t="s">
        <v>902</v>
      </c>
    </row>
    <row r="5" spans="1:5" x14ac:dyDescent="0.25">
      <c r="A5">
        <v>3</v>
      </c>
      <c r="B5" t="s">
        <v>948</v>
      </c>
      <c r="C5" t="s">
        <v>906</v>
      </c>
      <c r="D5">
        <v>1</v>
      </c>
      <c r="E5" t="s">
        <v>905</v>
      </c>
    </row>
    <row r="6" spans="1:5" x14ac:dyDescent="0.25">
      <c r="A6">
        <v>4</v>
      </c>
      <c r="B6" t="s">
        <v>950</v>
      </c>
      <c r="C6" t="s">
        <v>906</v>
      </c>
      <c r="D6">
        <v>1</v>
      </c>
      <c r="E6" t="s">
        <v>905</v>
      </c>
    </row>
    <row r="7" spans="1:5" x14ac:dyDescent="0.25">
      <c r="A7">
        <v>5</v>
      </c>
      <c r="B7" t="s">
        <v>952</v>
      </c>
      <c r="C7" t="s">
        <v>457</v>
      </c>
      <c r="D7">
        <v>1</v>
      </c>
      <c r="E7" t="s">
        <v>892</v>
      </c>
    </row>
    <row r="8" spans="1:5" x14ac:dyDescent="0.25">
      <c r="A8">
        <v>6</v>
      </c>
      <c r="B8" t="s">
        <v>954</v>
      </c>
      <c r="C8" t="s">
        <v>903</v>
      </c>
      <c r="D8">
        <v>1</v>
      </c>
      <c r="E8" t="s">
        <v>902</v>
      </c>
    </row>
    <row r="9" spans="1:5" x14ac:dyDescent="0.25">
      <c r="A9">
        <v>7</v>
      </c>
      <c r="B9" t="s">
        <v>956</v>
      </c>
      <c r="C9" t="s">
        <v>895</v>
      </c>
      <c r="D9">
        <v>1</v>
      </c>
      <c r="E9" t="s">
        <v>894</v>
      </c>
    </row>
    <row r="10" spans="1:5" x14ac:dyDescent="0.25">
      <c r="A10">
        <v>8</v>
      </c>
      <c r="B10" t="s">
        <v>958</v>
      </c>
      <c r="C10" t="s">
        <v>895</v>
      </c>
      <c r="D10">
        <v>1</v>
      </c>
      <c r="E10" t="s">
        <v>894</v>
      </c>
    </row>
    <row r="11" spans="1:5" x14ac:dyDescent="0.25">
      <c r="A11">
        <v>9</v>
      </c>
      <c r="B11" t="s">
        <v>961</v>
      </c>
      <c r="C11" t="s">
        <v>6</v>
      </c>
      <c r="D11">
        <v>1</v>
      </c>
      <c r="E11" t="s">
        <v>908</v>
      </c>
    </row>
    <row r="12" spans="1:5" x14ac:dyDescent="0.25">
      <c r="A12">
        <v>10</v>
      </c>
      <c r="B12" t="s">
        <v>963</v>
      </c>
      <c r="C12" t="s">
        <v>906</v>
      </c>
      <c r="D12">
        <v>1</v>
      </c>
      <c r="E12" t="s">
        <v>905</v>
      </c>
    </row>
    <row r="13" spans="1:5" x14ac:dyDescent="0.25">
      <c r="A13">
        <v>11</v>
      </c>
      <c r="B13" t="s">
        <v>965</v>
      </c>
      <c r="C13" t="s">
        <v>906</v>
      </c>
      <c r="D13">
        <v>1</v>
      </c>
      <c r="E13" t="s">
        <v>905</v>
      </c>
    </row>
    <row r="14" spans="1:5" x14ac:dyDescent="0.25">
      <c r="A14">
        <v>12</v>
      </c>
      <c r="B14" t="s">
        <v>967</v>
      </c>
      <c r="C14" t="s">
        <v>906</v>
      </c>
      <c r="D14">
        <v>1</v>
      </c>
      <c r="E14" t="s">
        <v>905</v>
      </c>
    </row>
    <row r="15" spans="1:5" x14ac:dyDescent="0.25">
      <c r="A15">
        <v>13</v>
      </c>
      <c r="B15" t="s">
        <v>968</v>
      </c>
      <c r="C15" t="s">
        <v>457</v>
      </c>
      <c r="D15">
        <v>1</v>
      </c>
      <c r="E15" t="s">
        <v>892</v>
      </c>
    </row>
    <row r="16" spans="1:5" x14ac:dyDescent="0.25">
      <c r="A16">
        <v>14</v>
      </c>
      <c r="B16" t="s">
        <v>970</v>
      </c>
      <c r="C16" t="s">
        <v>906</v>
      </c>
      <c r="D16">
        <v>1</v>
      </c>
      <c r="E16" t="s">
        <v>905</v>
      </c>
    </row>
    <row r="17" spans="1:5" x14ac:dyDescent="0.25">
      <c r="A17">
        <v>15</v>
      </c>
      <c r="B17" t="s">
        <v>971</v>
      </c>
      <c r="C17" t="s">
        <v>457</v>
      </c>
      <c r="D17">
        <v>1</v>
      </c>
      <c r="E17" t="s">
        <v>892</v>
      </c>
    </row>
    <row r="18" spans="1:5" x14ac:dyDescent="0.25">
      <c r="A18">
        <v>16</v>
      </c>
      <c r="B18" t="s">
        <v>973</v>
      </c>
      <c r="C18" t="s">
        <v>457</v>
      </c>
      <c r="D18">
        <v>0.1</v>
      </c>
      <c r="E18" t="s">
        <v>892</v>
      </c>
    </row>
    <row r="19" spans="1:5" x14ac:dyDescent="0.25">
      <c r="A19">
        <v>17</v>
      </c>
      <c r="B19" t="s">
        <v>973</v>
      </c>
      <c r="C19" t="s">
        <v>895</v>
      </c>
      <c r="D19">
        <v>0.9</v>
      </c>
      <c r="E19" t="s">
        <v>894</v>
      </c>
    </row>
    <row r="20" spans="1:5" x14ac:dyDescent="0.25">
      <c r="A20">
        <v>19</v>
      </c>
      <c r="B20" t="s">
        <v>975</v>
      </c>
      <c r="C20" t="s">
        <v>457</v>
      </c>
      <c r="D20">
        <v>0.8</v>
      </c>
      <c r="E20" t="s">
        <v>892</v>
      </c>
    </row>
    <row r="21" spans="1:5" x14ac:dyDescent="0.25">
      <c r="A21">
        <v>20</v>
      </c>
      <c r="B21" t="s">
        <v>975</v>
      </c>
      <c r="C21" t="s">
        <v>895</v>
      </c>
      <c r="D21">
        <v>0.2</v>
      </c>
      <c r="E21" t="s">
        <v>894</v>
      </c>
    </row>
    <row r="22" spans="1:5" x14ac:dyDescent="0.25">
      <c r="A22">
        <v>21</v>
      </c>
      <c r="B22" t="s">
        <v>977</v>
      </c>
      <c r="C22" t="s">
        <v>457</v>
      </c>
      <c r="D22">
        <v>0.93</v>
      </c>
      <c r="E22" t="s">
        <v>892</v>
      </c>
    </row>
    <row r="23" spans="1:5" x14ac:dyDescent="0.25">
      <c r="A23">
        <v>22</v>
      </c>
      <c r="B23" t="s">
        <v>977</v>
      </c>
      <c r="C23" t="s">
        <v>895</v>
      </c>
      <c r="D23">
        <v>7.0000000000000007E-2</v>
      </c>
      <c r="E23" t="s">
        <v>894</v>
      </c>
    </row>
    <row r="24" spans="1:5" x14ac:dyDescent="0.25">
      <c r="A24">
        <v>23</v>
      </c>
      <c r="B24" t="s">
        <v>979</v>
      </c>
      <c r="C24" t="s">
        <v>457</v>
      </c>
      <c r="D24">
        <v>1</v>
      </c>
      <c r="E24" t="s">
        <v>892</v>
      </c>
    </row>
    <row r="25" spans="1:5" x14ac:dyDescent="0.25">
      <c r="A25">
        <v>24</v>
      </c>
      <c r="B25" t="s">
        <v>981</v>
      </c>
      <c r="C25" t="s">
        <v>457</v>
      </c>
      <c r="D25">
        <v>1</v>
      </c>
      <c r="E25" t="s">
        <v>892</v>
      </c>
    </row>
    <row r="26" spans="1:5" x14ac:dyDescent="0.25">
      <c r="A26">
        <v>25</v>
      </c>
      <c r="B26" t="s">
        <v>983</v>
      </c>
      <c r="C26" t="s">
        <v>6</v>
      </c>
      <c r="D26">
        <v>1</v>
      </c>
      <c r="E26" t="s">
        <v>908</v>
      </c>
    </row>
    <row r="27" spans="1:5" x14ac:dyDescent="0.25">
      <c r="A27">
        <v>26</v>
      </c>
      <c r="B27" t="s">
        <v>984</v>
      </c>
      <c r="C27" t="s">
        <v>6</v>
      </c>
      <c r="D27">
        <v>1</v>
      </c>
      <c r="E27" t="s">
        <v>908</v>
      </c>
    </row>
    <row r="28" spans="1:5" x14ac:dyDescent="0.25">
      <c r="A28">
        <v>27</v>
      </c>
      <c r="B28" t="s">
        <v>986</v>
      </c>
      <c r="C28" t="s">
        <v>6</v>
      </c>
      <c r="D28">
        <v>1</v>
      </c>
      <c r="E28" t="s">
        <v>908</v>
      </c>
    </row>
    <row r="29" spans="1:5" x14ac:dyDescent="0.25">
      <c r="A29">
        <v>28</v>
      </c>
      <c r="B29" t="s">
        <v>988</v>
      </c>
      <c r="C29" t="s">
        <v>906</v>
      </c>
      <c r="D29">
        <v>1</v>
      </c>
      <c r="E29" t="s">
        <v>905</v>
      </c>
    </row>
    <row r="30" spans="1:5" x14ac:dyDescent="0.25">
      <c r="A30">
        <v>29</v>
      </c>
      <c r="B30" t="s">
        <v>989</v>
      </c>
      <c r="C30" t="s">
        <v>903</v>
      </c>
      <c r="D30">
        <v>1</v>
      </c>
      <c r="E30" t="s">
        <v>902</v>
      </c>
    </row>
    <row r="31" spans="1:5" x14ac:dyDescent="0.25">
      <c r="A31">
        <v>30</v>
      </c>
      <c r="B31" t="s">
        <v>990</v>
      </c>
      <c r="C31" t="s">
        <v>895</v>
      </c>
      <c r="D31">
        <v>1</v>
      </c>
      <c r="E31" t="s">
        <v>894</v>
      </c>
    </row>
    <row r="32" spans="1:5" x14ac:dyDescent="0.25">
      <c r="A32">
        <v>31</v>
      </c>
      <c r="B32" t="s">
        <v>992</v>
      </c>
      <c r="C32" t="s">
        <v>906</v>
      </c>
      <c r="D32">
        <v>1</v>
      </c>
      <c r="E32" t="s">
        <v>905</v>
      </c>
    </row>
    <row r="33" spans="1:5" x14ac:dyDescent="0.25">
      <c r="A33">
        <v>32</v>
      </c>
      <c r="B33" t="s">
        <v>993</v>
      </c>
      <c r="C33" t="s">
        <v>906</v>
      </c>
      <c r="D33">
        <v>1</v>
      </c>
      <c r="E33" t="s">
        <v>905</v>
      </c>
    </row>
    <row r="34" spans="1:5" x14ac:dyDescent="0.25">
      <c r="A34">
        <v>33</v>
      </c>
      <c r="B34" t="s">
        <v>994</v>
      </c>
      <c r="C34" t="s">
        <v>457</v>
      </c>
      <c r="D34">
        <v>1</v>
      </c>
      <c r="E34" t="s">
        <v>892</v>
      </c>
    </row>
    <row r="35" spans="1:5" x14ac:dyDescent="0.25">
      <c r="A35">
        <v>34</v>
      </c>
      <c r="B35" t="s">
        <v>996</v>
      </c>
      <c r="C35" t="s">
        <v>457</v>
      </c>
      <c r="D35">
        <v>0.98</v>
      </c>
      <c r="E35" t="s">
        <v>892</v>
      </c>
    </row>
    <row r="36" spans="1:5" x14ac:dyDescent="0.25">
      <c r="A36">
        <v>35</v>
      </c>
      <c r="B36" t="s">
        <v>996</v>
      </c>
      <c r="C36" t="s">
        <v>258</v>
      </c>
      <c r="D36">
        <v>0.02</v>
      </c>
      <c r="E36" t="s">
        <v>923</v>
      </c>
    </row>
    <row r="37" spans="1:5" x14ac:dyDescent="0.25">
      <c r="A37">
        <v>36</v>
      </c>
      <c r="B37" t="s">
        <v>999</v>
      </c>
      <c r="C37" t="s">
        <v>258</v>
      </c>
      <c r="D37">
        <v>1</v>
      </c>
      <c r="E37" t="s">
        <v>923</v>
      </c>
    </row>
    <row r="38" spans="1:5" x14ac:dyDescent="0.25">
      <c r="A38">
        <v>37</v>
      </c>
      <c r="B38" t="s">
        <v>1001</v>
      </c>
      <c r="C38" t="s">
        <v>457</v>
      </c>
      <c r="D38">
        <v>1</v>
      </c>
      <c r="E38" t="s">
        <v>892</v>
      </c>
    </row>
    <row r="39" spans="1:5" x14ac:dyDescent="0.25">
      <c r="A39">
        <v>38</v>
      </c>
      <c r="B39" t="s">
        <v>1003</v>
      </c>
      <c r="C39" t="s">
        <v>895</v>
      </c>
      <c r="D39">
        <v>1</v>
      </c>
      <c r="E39" t="s">
        <v>894</v>
      </c>
    </row>
    <row r="40" spans="1:5" x14ac:dyDescent="0.25">
      <c r="A40">
        <v>39</v>
      </c>
      <c r="B40" t="s">
        <v>1005</v>
      </c>
      <c r="C40" t="s">
        <v>903</v>
      </c>
      <c r="D40">
        <v>1</v>
      </c>
      <c r="E40" t="s">
        <v>902</v>
      </c>
    </row>
    <row r="41" spans="1:5" x14ac:dyDescent="0.25">
      <c r="A41">
        <v>40</v>
      </c>
      <c r="B41" t="s">
        <v>1007</v>
      </c>
      <c r="C41" t="s">
        <v>903</v>
      </c>
      <c r="D41">
        <v>1</v>
      </c>
      <c r="E41" t="s">
        <v>902</v>
      </c>
    </row>
    <row r="42" spans="1:5" x14ac:dyDescent="0.25">
      <c r="A42">
        <v>41</v>
      </c>
      <c r="B42" t="s">
        <v>1008</v>
      </c>
      <c r="C42" t="s">
        <v>903</v>
      </c>
      <c r="D42">
        <v>1</v>
      </c>
      <c r="E42" t="s">
        <v>902</v>
      </c>
    </row>
    <row r="43" spans="1:5" x14ac:dyDescent="0.25">
      <c r="A43">
        <v>42</v>
      </c>
      <c r="B43" t="s">
        <v>1009</v>
      </c>
      <c r="C43" t="s">
        <v>906</v>
      </c>
      <c r="D43">
        <v>1</v>
      </c>
      <c r="E43" t="s">
        <v>905</v>
      </c>
    </row>
    <row r="44" spans="1:5" x14ac:dyDescent="0.25">
      <c r="A44">
        <v>43</v>
      </c>
      <c r="B44" t="s">
        <v>1011</v>
      </c>
      <c r="C44" t="s">
        <v>895</v>
      </c>
      <c r="D44">
        <v>1</v>
      </c>
      <c r="E44" t="s">
        <v>894</v>
      </c>
    </row>
    <row r="45" spans="1:5" x14ac:dyDescent="0.25">
      <c r="A45">
        <v>44</v>
      </c>
      <c r="B45" t="s">
        <v>1013</v>
      </c>
      <c r="C45" t="s">
        <v>457</v>
      </c>
      <c r="D45">
        <v>1</v>
      </c>
      <c r="E45" t="s">
        <v>892</v>
      </c>
    </row>
    <row r="46" spans="1:5" x14ac:dyDescent="0.25">
      <c r="A46">
        <v>45</v>
      </c>
      <c r="B46" t="s">
        <v>1015</v>
      </c>
      <c r="C46" t="s">
        <v>906</v>
      </c>
      <c r="D46">
        <v>1</v>
      </c>
      <c r="E46" t="s">
        <v>905</v>
      </c>
    </row>
    <row r="47" spans="1:5" x14ac:dyDescent="0.25">
      <c r="A47">
        <v>46</v>
      </c>
      <c r="B47" t="s">
        <v>1016</v>
      </c>
      <c r="C47" t="s">
        <v>6</v>
      </c>
      <c r="D47">
        <v>1</v>
      </c>
      <c r="E47" t="s">
        <v>908</v>
      </c>
    </row>
    <row r="48" spans="1:5" x14ac:dyDescent="0.25">
      <c r="A48">
        <v>47</v>
      </c>
      <c r="B48" t="s">
        <v>1018</v>
      </c>
      <c r="C48" t="s">
        <v>906</v>
      </c>
      <c r="D48">
        <v>1</v>
      </c>
      <c r="E48" t="s">
        <v>905</v>
      </c>
    </row>
    <row r="49" spans="1:5" x14ac:dyDescent="0.25">
      <c r="A49">
        <v>48</v>
      </c>
      <c r="B49" t="s">
        <v>1020</v>
      </c>
      <c r="C49" t="s">
        <v>895</v>
      </c>
      <c r="D49">
        <v>1</v>
      </c>
      <c r="E49" t="s">
        <v>894</v>
      </c>
    </row>
    <row r="50" spans="1:5" x14ac:dyDescent="0.25">
      <c r="A50">
        <v>49</v>
      </c>
      <c r="B50" t="s">
        <v>1022</v>
      </c>
      <c r="C50" t="s">
        <v>457</v>
      </c>
      <c r="D50">
        <v>0.87</v>
      </c>
      <c r="E50" t="s">
        <v>892</v>
      </c>
    </row>
    <row r="51" spans="1:5" x14ac:dyDescent="0.25">
      <c r="A51">
        <v>50</v>
      </c>
      <c r="B51" t="s">
        <v>1022</v>
      </c>
      <c r="C51" t="s">
        <v>895</v>
      </c>
      <c r="D51">
        <v>0.13</v>
      </c>
      <c r="E51" t="s">
        <v>894</v>
      </c>
    </row>
    <row r="52" spans="1:5" x14ac:dyDescent="0.25">
      <c r="A52">
        <v>51</v>
      </c>
      <c r="B52" t="s">
        <v>1024</v>
      </c>
      <c r="C52" t="s">
        <v>906</v>
      </c>
      <c r="D52">
        <v>1</v>
      </c>
      <c r="E52" t="s">
        <v>905</v>
      </c>
    </row>
    <row r="53" spans="1:5" x14ac:dyDescent="0.25">
      <c r="A53">
        <v>52</v>
      </c>
      <c r="B53" t="s">
        <v>1026</v>
      </c>
      <c r="C53" t="s">
        <v>906</v>
      </c>
      <c r="D53">
        <v>1</v>
      </c>
      <c r="E53" t="s">
        <v>905</v>
      </c>
    </row>
    <row r="54" spans="1:5" x14ac:dyDescent="0.25">
      <c r="A54">
        <v>53</v>
      </c>
      <c r="B54" t="s">
        <v>1028</v>
      </c>
      <c r="C54" t="s">
        <v>457</v>
      </c>
      <c r="D54">
        <v>1</v>
      </c>
      <c r="E54" t="s">
        <v>892</v>
      </c>
    </row>
    <row r="55" spans="1:5" x14ac:dyDescent="0.25">
      <c r="A55">
        <v>54</v>
      </c>
      <c r="B55" t="s">
        <v>1030</v>
      </c>
      <c r="C55" t="s">
        <v>895</v>
      </c>
      <c r="D55">
        <v>1</v>
      </c>
      <c r="E55" t="s">
        <v>894</v>
      </c>
    </row>
    <row r="56" spans="1:5" x14ac:dyDescent="0.25">
      <c r="A56">
        <v>55</v>
      </c>
      <c r="B56" t="s">
        <v>1031</v>
      </c>
      <c r="C56" t="s">
        <v>457</v>
      </c>
      <c r="D56">
        <v>1</v>
      </c>
      <c r="E56" t="s">
        <v>892</v>
      </c>
    </row>
    <row r="57" spans="1:5" x14ac:dyDescent="0.25">
      <c r="A57">
        <v>56</v>
      </c>
      <c r="B57" t="s">
        <v>1033</v>
      </c>
      <c r="C57" t="s">
        <v>457</v>
      </c>
      <c r="D57">
        <v>1</v>
      </c>
      <c r="E57" t="s">
        <v>892</v>
      </c>
    </row>
    <row r="58" spans="1:5" x14ac:dyDescent="0.25">
      <c r="A58">
        <v>57</v>
      </c>
      <c r="B58" t="s">
        <v>1035</v>
      </c>
      <c r="C58" t="s">
        <v>6</v>
      </c>
      <c r="D58">
        <v>1</v>
      </c>
      <c r="E58" t="s">
        <v>908</v>
      </c>
    </row>
    <row r="59" spans="1:5" x14ac:dyDescent="0.25">
      <c r="A59">
        <v>58</v>
      </c>
      <c r="B59" t="s">
        <v>1037</v>
      </c>
      <c r="C59" t="s">
        <v>895</v>
      </c>
      <c r="D59">
        <v>1</v>
      </c>
      <c r="E59" t="s">
        <v>894</v>
      </c>
    </row>
    <row r="60" spans="1:5" x14ac:dyDescent="0.25">
      <c r="A60">
        <v>59</v>
      </c>
      <c r="B60" t="s">
        <v>1039</v>
      </c>
      <c r="C60" t="s">
        <v>903</v>
      </c>
      <c r="D60">
        <v>1</v>
      </c>
      <c r="E60" t="s">
        <v>902</v>
      </c>
    </row>
    <row r="61" spans="1:5" x14ac:dyDescent="0.25">
      <c r="A61">
        <v>60</v>
      </c>
      <c r="B61" t="s">
        <v>1040</v>
      </c>
      <c r="C61" t="s">
        <v>6</v>
      </c>
      <c r="D61">
        <v>1</v>
      </c>
      <c r="E61" t="s">
        <v>908</v>
      </c>
    </row>
    <row r="62" spans="1:5" x14ac:dyDescent="0.25">
      <c r="A62">
        <v>61</v>
      </c>
      <c r="B62" t="s">
        <v>1042</v>
      </c>
      <c r="C62" t="s">
        <v>906</v>
      </c>
      <c r="D62">
        <v>1</v>
      </c>
      <c r="E62" t="s">
        <v>905</v>
      </c>
    </row>
    <row r="63" spans="1:5" x14ac:dyDescent="0.25">
      <c r="A63">
        <v>62</v>
      </c>
      <c r="B63" t="s">
        <v>1044</v>
      </c>
      <c r="C63" t="s">
        <v>906</v>
      </c>
      <c r="D63">
        <v>1</v>
      </c>
      <c r="E63" t="s">
        <v>905</v>
      </c>
    </row>
    <row r="64" spans="1:5" x14ac:dyDescent="0.25">
      <c r="A64">
        <v>63</v>
      </c>
      <c r="B64" t="s">
        <v>1046</v>
      </c>
      <c r="C64" t="s">
        <v>906</v>
      </c>
      <c r="D64">
        <v>1</v>
      </c>
      <c r="E64" t="s">
        <v>905</v>
      </c>
    </row>
    <row r="65" spans="1:5" x14ac:dyDescent="0.25">
      <c r="A65">
        <v>64</v>
      </c>
      <c r="B65" t="s">
        <v>1048</v>
      </c>
      <c r="C65" t="s">
        <v>895</v>
      </c>
      <c r="D65">
        <v>1</v>
      </c>
      <c r="E65" t="s">
        <v>894</v>
      </c>
    </row>
    <row r="66" spans="1:5" x14ac:dyDescent="0.25">
      <c r="A66">
        <v>65</v>
      </c>
      <c r="B66" t="s">
        <v>1050</v>
      </c>
      <c r="C66" t="s">
        <v>906</v>
      </c>
      <c r="D66">
        <v>1</v>
      </c>
      <c r="E66" t="s">
        <v>905</v>
      </c>
    </row>
    <row r="67" spans="1:5" x14ac:dyDescent="0.25">
      <c r="A67">
        <v>66</v>
      </c>
      <c r="B67" t="s">
        <v>1051</v>
      </c>
      <c r="C67" t="s">
        <v>895</v>
      </c>
      <c r="D67">
        <v>1</v>
      </c>
      <c r="E67" t="s">
        <v>894</v>
      </c>
    </row>
    <row r="68" spans="1:5" x14ac:dyDescent="0.25">
      <c r="A68">
        <v>67</v>
      </c>
      <c r="B68" t="s">
        <v>1053</v>
      </c>
      <c r="C68" t="s">
        <v>887</v>
      </c>
      <c r="D68">
        <v>1</v>
      </c>
      <c r="E68" t="s">
        <v>886</v>
      </c>
    </row>
    <row r="69" spans="1:5" x14ac:dyDescent="0.25">
      <c r="A69">
        <v>68</v>
      </c>
      <c r="B69" t="s">
        <v>1055</v>
      </c>
      <c r="C69" t="s">
        <v>457</v>
      </c>
      <c r="D69">
        <v>1</v>
      </c>
      <c r="E69" t="s">
        <v>892</v>
      </c>
    </row>
    <row r="70" spans="1:5" x14ac:dyDescent="0.25">
      <c r="A70">
        <v>70</v>
      </c>
      <c r="B70" t="s">
        <v>1057</v>
      </c>
      <c r="C70" t="s">
        <v>457</v>
      </c>
      <c r="D70">
        <v>0.95</v>
      </c>
      <c r="E70" t="s">
        <v>892</v>
      </c>
    </row>
    <row r="71" spans="1:5" x14ac:dyDescent="0.25">
      <c r="A71">
        <v>71</v>
      </c>
      <c r="B71" t="s">
        <v>1057</v>
      </c>
      <c r="C71" t="s">
        <v>895</v>
      </c>
      <c r="D71">
        <v>0.05</v>
      </c>
      <c r="E71" t="s">
        <v>894</v>
      </c>
    </row>
    <row r="72" spans="1:5" x14ac:dyDescent="0.25">
      <c r="A72">
        <v>72</v>
      </c>
      <c r="B72" t="s">
        <v>1059</v>
      </c>
      <c r="C72" t="s">
        <v>457</v>
      </c>
      <c r="D72">
        <v>0.92</v>
      </c>
      <c r="E72" t="s">
        <v>892</v>
      </c>
    </row>
    <row r="73" spans="1:5" x14ac:dyDescent="0.25">
      <c r="A73">
        <v>73</v>
      </c>
      <c r="B73" t="s">
        <v>1059</v>
      </c>
      <c r="C73" t="s">
        <v>895</v>
      </c>
      <c r="D73">
        <v>0.08</v>
      </c>
      <c r="E73" t="s">
        <v>894</v>
      </c>
    </row>
    <row r="74" spans="1:5" x14ac:dyDescent="0.25">
      <c r="A74">
        <v>74</v>
      </c>
      <c r="B74" t="s">
        <v>1061</v>
      </c>
      <c r="C74" t="s">
        <v>906</v>
      </c>
      <c r="D74">
        <v>1</v>
      </c>
      <c r="E74" t="s">
        <v>905</v>
      </c>
    </row>
    <row r="75" spans="1:5" x14ac:dyDescent="0.25">
      <c r="A75">
        <v>75</v>
      </c>
      <c r="B75" t="s">
        <v>1063</v>
      </c>
      <c r="C75" t="s">
        <v>6</v>
      </c>
      <c r="D75">
        <v>1</v>
      </c>
      <c r="E75" t="s">
        <v>908</v>
      </c>
    </row>
    <row r="76" spans="1:5" x14ac:dyDescent="0.25">
      <c r="A76">
        <v>76</v>
      </c>
      <c r="B76" t="s">
        <v>1065</v>
      </c>
      <c r="C76" t="s">
        <v>6</v>
      </c>
      <c r="D76">
        <v>1</v>
      </c>
      <c r="E76" t="s">
        <v>908</v>
      </c>
    </row>
    <row r="77" spans="1:5" x14ac:dyDescent="0.25">
      <c r="A77">
        <v>77</v>
      </c>
      <c r="B77" t="s">
        <v>1067</v>
      </c>
      <c r="C77" t="s">
        <v>906</v>
      </c>
      <c r="D77">
        <v>1</v>
      </c>
      <c r="E77" t="s">
        <v>905</v>
      </c>
    </row>
    <row r="78" spans="1:5" x14ac:dyDescent="0.25">
      <c r="A78">
        <v>78</v>
      </c>
      <c r="B78" t="s">
        <v>1069</v>
      </c>
      <c r="C78" t="s">
        <v>457</v>
      </c>
      <c r="D78">
        <v>1</v>
      </c>
      <c r="E78" t="s">
        <v>892</v>
      </c>
    </row>
    <row r="79" spans="1:5" x14ac:dyDescent="0.25">
      <c r="A79">
        <v>79</v>
      </c>
      <c r="B79" t="s">
        <v>1071</v>
      </c>
      <c r="C79" t="s">
        <v>457</v>
      </c>
      <c r="D79">
        <v>1</v>
      </c>
      <c r="E79" t="s">
        <v>892</v>
      </c>
    </row>
    <row r="80" spans="1:5" x14ac:dyDescent="0.25">
      <c r="A80">
        <v>80</v>
      </c>
      <c r="B80" t="s">
        <v>1073</v>
      </c>
      <c r="C80" t="s">
        <v>906</v>
      </c>
      <c r="D80">
        <v>1</v>
      </c>
      <c r="E80" t="s">
        <v>905</v>
      </c>
    </row>
    <row r="81" spans="1:5" x14ac:dyDescent="0.25">
      <c r="A81">
        <v>81</v>
      </c>
      <c r="B81" t="s">
        <v>1074</v>
      </c>
      <c r="C81" t="s">
        <v>887</v>
      </c>
      <c r="D81">
        <v>1</v>
      </c>
      <c r="E81" t="s">
        <v>886</v>
      </c>
    </row>
    <row r="82" spans="1:5" x14ac:dyDescent="0.25">
      <c r="A82">
        <v>82</v>
      </c>
      <c r="B82" t="s">
        <v>1076</v>
      </c>
      <c r="C82" t="s">
        <v>906</v>
      </c>
      <c r="D82">
        <v>1</v>
      </c>
      <c r="E82" t="s">
        <v>905</v>
      </c>
    </row>
    <row r="83" spans="1:5" x14ac:dyDescent="0.25">
      <c r="A83">
        <v>83</v>
      </c>
      <c r="B83" t="s">
        <v>1078</v>
      </c>
      <c r="C83" t="s">
        <v>906</v>
      </c>
      <c r="D83">
        <v>1</v>
      </c>
      <c r="E83" t="s">
        <v>905</v>
      </c>
    </row>
    <row r="84" spans="1:5" x14ac:dyDescent="0.25">
      <c r="A84">
        <v>84</v>
      </c>
      <c r="B84" t="s">
        <v>1080</v>
      </c>
      <c r="C84" t="s">
        <v>895</v>
      </c>
      <c r="D84">
        <v>1</v>
      </c>
      <c r="E84" t="s">
        <v>894</v>
      </c>
    </row>
    <row r="85" spans="1:5" x14ac:dyDescent="0.25">
      <c r="A85">
        <v>85</v>
      </c>
      <c r="B85" t="s">
        <v>1082</v>
      </c>
      <c r="C85" t="s">
        <v>906</v>
      </c>
      <c r="D85">
        <v>1</v>
      </c>
      <c r="E85" t="s">
        <v>905</v>
      </c>
    </row>
    <row r="86" spans="1:5" x14ac:dyDescent="0.25">
      <c r="A86">
        <v>86</v>
      </c>
      <c r="B86" t="s">
        <v>1083</v>
      </c>
      <c r="C86" t="s">
        <v>887</v>
      </c>
      <c r="D86">
        <v>1</v>
      </c>
      <c r="E86" t="s">
        <v>886</v>
      </c>
    </row>
    <row r="87" spans="1:5" x14ac:dyDescent="0.25">
      <c r="A87">
        <v>87</v>
      </c>
      <c r="B87" t="s">
        <v>1084</v>
      </c>
      <c r="C87" t="s">
        <v>906</v>
      </c>
      <c r="D87">
        <v>1</v>
      </c>
      <c r="E87" t="s">
        <v>905</v>
      </c>
    </row>
    <row r="88" spans="1:5" x14ac:dyDescent="0.25">
      <c r="A88">
        <v>88</v>
      </c>
      <c r="B88" t="s">
        <v>1085</v>
      </c>
      <c r="C88" t="s">
        <v>906</v>
      </c>
      <c r="D88">
        <v>1</v>
      </c>
      <c r="E88" t="s">
        <v>905</v>
      </c>
    </row>
    <row r="89" spans="1:5" x14ac:dyDescent="0.25">
      <c r="A89">
        <v>89</v>
      </c>
      <c r="B89" t="s">
        <v>1086</v>
      </c>
      <c r="C89" t="s">
        <v>895</v>
      </c>
      <c r="D89">
        <v>1</v>
      </c>
      <c r="E89" t="s">
        <v>894</v>
      </c>
    </row>
    <row r="90" spans="1:5" x14ac:dyDescent="0.25">
      <c r="A90">
        <v>90</v>
      </c>
      <c r="B90" t="s">
        <v>1088</v>
      </c>
      <c r="C90" t="s">
        <v>895</v>
      </c>
      <c r="D90">
        <v>1</v>
      </c>
      <c r="E90" t="s">
        <v>894</v>
      </c>
    </row>
    <row r="91" spans="1:5" x14ac:dyDescent="0.25">
      <c r="A91">
        <v>91</v>
      </c>
      <c r="B91" t="s">
        <v>1090</v>
      </c>
      <c r="C91" t="s">
        <v>457</v>
      </c>
      <c r="D91">
        <v>1</v>
      </c>
      <c r="E91" t="s">
        <v>892</v>
      </c>
    </row>
    <row r="92" spans="1:5" x14ac:dyDescent="0.25">
      <c r="A92">
        <v>92</v>
      </c>
      <c r="B92" t="s">
        <v>1092</v>
      </c>
      <c r="C92" t="s">
        <v>906</v>
      </c>
      <c r="D92">
        <v>1</v>
      </c>
      <c r="E92" t="s">
        <v>905</v>
      </c>
    </row>
    <row r="93" spans="1:5" x14ac:dyDescent="0.25">
      <c r="A93">
        <v>93</v>
      </c>
      <c r="B93" t="s">
        <v>1093</v>
      </c>
      <c r="C93" t="s">
        <v>906</v>
      </c>
      <c r="D93">
        <v>1</v>
      </c>
      <c r="E93" t="s">
        <v>905</v>
      </c>
    </row>
    <row r="94" spans="1:5" x14ac:dyDescent="0.25">
      <c r="A94">
        <v>95</v>
      </c>
      <c r="B94" t="s">
        <v>1095</v>
      </c>
      <c r="C94" t="s">
        <v>457</v>
      </c>
      <c r="D94">
        <v>1</v>
      </c>
      <c r="E94" t="s">
        <v>892</v>
      </c>
    </row>
    <row r="95" spans="1:5" x14ac:dyDescent="0.25">
      <c r="A95">
        <v>96</v>
      </c>
      <c r="B95" t="s">
        <v>1097</v>
      </c>
      <c r="C95" t="s">
        <v>457</v>
      </c>
      <c r="D95">
        <v>0.98</v>
      </c>
      <c r="E95" t="s">
        <v>892</v>
      </c>
    </row>
    <row r="96" spans="1:5" x14ac:dyDescent="0.25">
      <c r="A96">
        <v>97</v>
      </c>
      <c r="B96" t="s">
        <v>1097</v>
      </c>
      <c r="C96" t="s">
        <v>895</v>
      </c>
      <c r="D96">
        <v>0.02</v>
      </c>
      <c r="E96" t="s">
        <v>894</v>
      </c>
    </row>
    <row r="97" spans="1:5" x14ac:dyDescent="0.25">
      <c r="A97">
        <v>98</v>
      </c>
      <c r="B97" t="s">
        <v>1099</v>
      </c>
      <c r="C97" t="s">
        <v>895</v>
      </c>
      <c r="D97">
        <v>1</v>
      </c>
      <c r="E97" t="s">
        <v>894</v>
      </c>
    </row>
    <row r="98" spans="1:5" x14ac:dyDescent="0.25">
      <c r="A98">
        <v>99</v>
      </c>
      <c r="B98" t="s">
        <v>1101</v>
      </c>
      <c r="C98" t="s">
        <v>457</v>
      </c>
      <c r="D98">
        <v>1</v>
      </c>
      <c r="E98" t="s">
        <v>892</v>
      </c>
    </row>
    <row r="99" spans="1:5" x14ac:dyDescent="0.25">
      <c r="A99">
        <v>100</v>
      </c>
      <c r="B99" t="s">
        <v>1103</v>
      </c>
      <c r="C99" t="s">
        <v>457</v>
      </c>
      <c r="D99">
        <v>1</v>
      </c>
      <c r="E99" t="s">
        <v>892</v>
      </c>
    </row>
    <row r="100" spans="1:5" x14ac:dyDescent="0.25">
      <c r="A100">
        <v>101</v>
      </c>
      <c r="B100" t="s">
        <v>1105</v>
      </c>
      <c r="C100" t="s">
        <v>457</v>
      </c>
      <c r="D100">
        <v>0.95</v>
      </c>
      <c r="E100" t="s">
        <v>892</v>
      </c>
    </row>
    <row r="101" spans="1:5" x14ac:dyDescent="0.25">
      <c r="A101">
        <v>102</v>
      </c>
      <c r="B101" t="s">
        <v>1105</v>
      </c>
      <c r="C101" t="s">
        <v>895</v>
      </c>
      <c r="D101">
        <v>0.05</v>
      </c>
      <c r="E101" t="s">
        <v>894</v>
      </c>
    </row>
    <row r="102" spans="1:5" x14ac:dyDescent="0.25">
      <c r="A102">
        <v>103</v>
      </c>
      <c r="B102" t="s">
        <v>1107</v>
      </c>
      <c r="C102" t="s">
        <v>457</v>
      </c>
      <c r="D102">
        <v>1</v>
      </c>
      <c r="E102" t="s">
        <v>892</v>
      </c>
    </row>
    <row r="103" spans="1:5" x14ac:dyDescent="0.25">
      <c r="A103">
        <v>104</v>
      </c>
      <c r="B103" t="s">
        <v>1109</v>
      </c>
      <c r="C103" t="s">
        <v>457</v>
      </c>
      <c r="D103">
        <v>0.9</v>
      </c>
      <c r="E103" t="s">
        <v>892</v>
      </c>
    </row>
    <row r="104" spans="1:5" x14ac:dyDescent="0.25">
      <c r="A104">
        <v>105</v>
      </c>
      <c r="B104" t="s">
        <v>1109</v>
      </c>
      <c r="C104" t="s">
        <v>895</v>
      </c>
      <c r="D104">
        <v>0.1</v>
      </c>
      <c r="E104" t="s">
        <v>894</v>
      </c>
    </row>
    <row r="105" spans="1:5" x14ac:dyDescent="0.25">
      <c r="A105">
        <v>106</v>
      </c>
      <c r="B105" t="s">
        <v>1111</v>
      </c>
      <c r="C105" t="s">
        <v>6</v>
      </c>
      <c r="D105">
        <v>1</v>
      </c>
      <c r="E105" t="s">
        <v>908</v>
      </c>
    </row>
    <row r="106" spans="1:5" x14ac:dyDescent="0.25">
      <c r="A106">
        <v>107</v>
      </c>
      <c r="B106" t="s">
        <v>1113</v>
      </c>
      <c r="C106" t="s">
        <v>895</v>
      </c>
      <c r="D106">
        <v>1</v>
      </c>
      <c r="E106" t="s">
        <v>894</v>
      </c>
    </row>
    <row r="107" spans="1:5" x14ac:dyDescent="0.25">
      <c r="A107">
        <v>108</v>
      </c>
      <c r="B107" t="s">
        <v>1115</v>
      </c>
      <c r="C107" t="s">
        <v>457</v>
      </c>
      <c r="D107">
        <v>0.83</v>
      </c>
      <c r="E107" t="s">
        <v>892</v>
      </c>
    </row>
    <row r="108" spans="1:5" x14ac:dyDescent="0.25">
      <c r="A108">
        <v>109</v>
      </c>
      <c r="B108" t="s">
        <v>1115</v>
      </c>
      <c r="C108" t="s">
        <v>895</v>
      </c>
      <c r="D108">
        <v>0.17</v>
      </c>
      <c r="E108" t="s">
        <v>894</v>
      </c>
    </row>
    <row r="109" spans="1:5" x14ac:dyDescent="0.25">
      <c r="A109">
        <v>110</v>
      </c>
      <c r="B109" t="s">
        <v>1117</v>
      </c>
      <c r="C109" t="s">
        <v>457</v>
      </c>
      <c r="D109">
        <v>1</v>
      </c>
      <c r="E109" t="s">
        <v>892</v>
      </c>
    </row>
    <row r="110" spans="1:5" x14ac:dyDescent="0.25">
      <c r="A110">
        <v>111</v>
      </c>
      <c r="B110" t="s">
        <v>1119</v>
      </c>
      <c r="C110" t="s">
        <v>895</v>
      </c>
      <c r="D110">
        <v>1</v>
      </c>
      <c r="E110" t="s">
        <v>894</v>
      </c>
    </row>
    <row r="111" spans="1:5" x14ac:dyDescent="0.25">
      <c r="A111">
        <v>112</v>
      </c>
      <c r="B111" t="s">
        <v>1121</v>
      </c>
      <c r="C111" t="s">
        <v>906</v>
      </c>
      <c r="D111">
        <v>1</v>
      </c>
      <c r="E111" t="s">
        <v>905</v>
      </c>
    </row>
    <row r="112" spans="1:5" x14ac:dyDescent="0.25">
      <c r="A112">
        <v>113</v>
      </c>
      <c r="B112" t="s">
        <v>1123</v>
      </c>
      <c r="C112" t="s">
        <v>895</v>
      </c>
      <c r="D112">
        <v>1</v>
      </c>
      <c r="E112" t="s">
        <v>894</v>
      </c>
    </row>
    <row r="113" spans="1:5" x14ac:dyDescent="0.25">
      <c r="A113">
        <v>114</v>
      </c>
      <c r="B113" t="s">
        <v>1125</v>
      </c>
      <c r="C113" t="s">
        <v>906</v>
      </c>
      <c r="D113">
        <v>1</v>
      </c>
      <c r="E113" t="s">
        <v>905</v>
      </c>
    </row>
    <row r="114" spans="1:5" x14ac:dyDescent="0.25">
      <c r="A114">
        <v>115</v>
      </c>
      <c r="B114" t="s">
        <v>1127</v>
      </c>
      <c r="C114" t="s">
        <v>906</v>
      </c>
      <c r="D114">
        <v>1</v>
      </c>
      <c r="E114" t="s">
        <v>905</v>
      </c>
    </row>
    <row r="115" spans="1:5" x14ac:dyDescent="0.25">
      <c r="A115">
        <v>116</v>
      </c>
      <c r="B115" t="s">
        <v>1128</v>
      </c>
      <c r="C115" t="s">
        <v>906</v>
      </c>
      <c r="D115">
        <v>1</v>
      </c>
      <c r="E115" t="s">
        <v>905</v>
      </c>
    </row>
    <row r="116" spans="1:5" x14ac:dyDescent="0.25">
      <c r="A116">
        <v>117</v>
      </c>
      <c r="B116" t="s">
        <v>1129</v>
      </c>
      <c r="C116" t="s">
        <v>906</v>
      </c>
      <c r="D116">
        <v>1</v>
      </c>
      <c r="E116" t="s">
        <v>905</v>
      </c>
    </row>
    <row r="117" spans="1:5" x14ac:dyDescent="0.25">
      <c r="A117">
        <v>118</v>
      </c>
      <c r="B117" t="s">
        <v>1131</v>
      </c>
      <c r="C117" t="s">
        <v>906</v>
      </c>
      <c r="D117">
        <v>1</v>
      </c>
      <c r="E117" t="s">
        <v>905</v>
      </c>
    </row>
    <row r="118" spans="1:5" x14ac:dyDescent="0.25">
      <c r="A118">
        <v>119</v>
      </c>
      <c r="B118" t="s">
        <v>1133</v>
      </c>
      <c r="C118" t="s">
        <v>906</v>
      </c>
      <c r="D118">
        <v>1</v>
      </c>
      <c r="E118" t="s">
        <v>905</v>
      </c>
    </row>
    <row r="119" spans="1:5" x14ac:dyDescent="0.25">
      <c r="A119">
        <v>120</v>
      </c>
      <c r="B119" t="s">
        <v>1135</v>
      </c>
      <c r="C119" t="s">
        <v>906</v>
      </c>
      <c r="D119">
        <v>1</v>
      </c>
      <c r="E119" t="s">
        <v>905</v>
      </c>
    </row>
    <row r="120" spans="1:5" x14ac:dyDescent="0.25">
      <c r="A120">
        <v>121</v>
      </c>
      <c r="B120" t="s">
        <v>1136</v>
      </c>
      <c r="C120" t="s">
        <v>903</v>
      </c>
      <c r="D120">
        <v>1</v>
      </c>
      <c r="E120" t="s">
        <v>902</v>
      </c>
    </row>
    <row r="121" spans="1:5" x14ac:dyDescent="0.25">
      <c r="A121">
        <v>122</v>
      </c>
      <c r="B121" t="s">
        <v>1138</v>
      </c>
      <c r="C121" t="s">
        <v>895</v>
      </c>
      <c r="D121">
        <v>1</v>
      </c>
      <c r="E121" t="s">
        <v>894</v>
      </c>
    </row>
    <row r="122" spans="1:5" x14ac:dyDescent="0.25">
      <c r="A122">
        <v>123</v>
      </c>
      <c r="B122" t="s">
        <v>1140</v>
      </c>
      <c r="C122" t="s">
        <v>903</v>
      </c>
      <c r="D122">
        <v>1</v>
      </c>
      <c r="E122" t="s">
        <v>902</v>
      </c>
    </row>
    <row r="123" spans="1:5" x14ac:dyDescent="0.25">
      <c r="A123">
        <v>124</v>
      </c>
      <c r="B123" t="s">
        <v>1141</v>
      </c>
      <c r="C123" t="s">
        <v>895</v>
      </c>
      <c r="D123">
        <v>1</v>
      </c>
      <c r="E123" t="s">
        <v>894</v>
      </c>
    </row>
    <row r="124" spans="1:5" x14ac:dyDescent="0.25">
      <c r="A124">
        <v>125</v>
      </c>
      <c r="B124" t="s">
        <v>1143</v>
      </c>
      <c r="C124" t="s">
        <v>887</v>
      </c>
      <c r="D124">
        <v>1</v>
      </c>
      <c r="E124" t="s">
        <v>886</v>
      </c>
    </row>
    <row r="125" spans="1:5" x14ac:dyDescent="0.25">
      <c r="A125">
        <v>126</v>
      </c>
      <c r="B125" t="s">
        <v>1145</v>
      </c>
      <c r="C125" t="s">
        <v>895</v>
      </c>
      <c r="D125">
        <v>1</v>
      </c>
      <c r="E125" t="s">
        <v>894</v>
      </c>
    </row>
    <row r="126" spans="1:5" x14ac:dyDescent="0.25">
      <c r="A126">
        <v>127</v>
      </c>
      <c r="B126" t="s">
        <v>1147</v>
      </c>
      <c r="C126" t="s">
        <v>906</v>
      </c>
      <c r="D126">
        <v>1</v>
      </c>
      <c r="E126" t="s">
        <v>905</v>
      </c>
    </row>
    <row r="127" spans="1:5" x14ac:dyDescent="0.25">
      <c r="A127">
        <v>128</v>
      </c>
      <c r="B127" t="s">
        <v>1148</v>
      </c>
      <c r="C127" t="s">
        <v>906</v>
      </c>
      <c r="D127">
        <v>1</v>
      </c>
      <c r="E127" t="s">
        <v>905</v>
      </c>
    </row>
    <row r="128" spans="1:5" x14ac:dyDescent="0.25">
      <c r="A128">
        <v>129</v>
      </c>
      <c r="B128" t="s">
        <v>1149</v>
      </c>
      <c r="C128" t="s">
        <v>895</v>
      </c>
      <c r="D128">
        <v>1</v>
      </c>
      <c r="E128" t="s">
        <v>894</v>
      </c>
    </row>
    <row r="129" spans="1:5" x14ac:dyDescent="0.25">
      <c r="A129">
        <v>130</v>
      </c>
      <c r="B129" t="s">
        <v>1150</v>
      </c>
      <c r="C129" t="s">
        <v>906</v>
      </c>
      <c r="D129">
        <v>1</v>
      </c>
      <c r="E129" t="s">
        <v>905</v>
      </c>
    </row>
    <row r="130" spans="1:5" x14ac:dyDescent="0.25">
      <c r="A130">
        <v>131</v>
      </c>
      <c r="B130" t="s">
        <v>1151</v>
      </c>
      <c r="C130" t="s">
        <v>906</v>
      </c>
      <c r="D130">
        <v>1</v>
      </c>
      <c r="E130" t="s">
        <v>905</v>
      </c>
    </row>
    <row r="131" spans="1:5" x14ac:dyDescent="0.25">
      <c r="A131">
        <v>132</v>
      </c>
      <c r="B131" t="s">
        <v>1152</v>
      </c>
      <c r="C131" t="s">
        <v>906</v>
      </c>
      <c r="D131">
        <v>1</v>
      </c>
      <c r="E131" t="s">
        <v>905</v>
      </c>
    </row>
    <row r="132" spans="1:5" x14ac:dyDescent="0.25">
      <c r="A132">
        <v>133</v>
      </c>
      <c r="B132" t="s">
        <v>1153</v>
      </c>
      <c r="C132" t="s">
        <v>906</v>
      </c>
      <c r="D132">
        <v>1</v>
      </c>
      <c r="E132" t="s">
        <v>905</v>
      </c>
    </row>
    <row r="133" spans="1:5" x14ac:dyDescent="0.25">
      <c r="A133">
        <v>134</v>
      </c>
      <c r="B133" t="s">
        <v>1154</v>
      </c>
      <c r="C133" t="s">
        <v>906</v>
      </c>
      <c r="D133">
        <v>1</v>
      </c>
      <c r="E133" t="s">
        <v>905</v>
      </c>
    </row>
    <row r="134" spans="1:5" x14ac:dyDescent="0.25">
      <c r="A134">
        <v>135</v>
      </c>
      <c r="B134" t="s">
        <v>1155</v>
      </c>
      <c r="C134" t="s">
        <v>906</v>
      </c>
      <c r="D134">
        <v>1</v>
      </c>
      <c r="E134" t="s">
        <v>905</v>
      </c>
    </row>
    <row r="135" spans="1:5" x14ac:dyDescent="0.25">
      <c r="A135">
        <v>136</v>
      </c>
      <c r="B135" t="s">
        <v>1156</v>
      </c>
      <c r="C135" t="s">
        <v>906</v>
      </c>
      <c r="D135">
        <v>1</v>
      </c>
      <c r="E135" t="s">
        <v>905</v>
      </c>
    </row>
    <row r="136" spans="1:5" x14ac:dyDescent="0.25">
      <c r="A136">
        <v>137</v>
      </c>
      <c r="B136" t="s">
        <v>1158</v>
      </c>
      <c r="C136" t="s">
        <v>895</v>
      </c>
      <c r="D136">
        <v>1</v>
      </c>
      <c r="E136" t="s">
        <v>894</v>
      </c>
    </row>
    <row r="137" spans="1:5" x14ac:dyDescent="0.25">
      <c r="A137">
        <v>138</v>
      </c>
      <c r="B137" t="s">
        <v>1160</v>
      </c>
      <c r="C137" t="s">
        <v>906</v>
      </c>
      <c r="D137">
        <v>1</v>
      </c>
      <c r="E137" t="s">
        <v>905</v>
      </c>
    </row>
    <row r="138" spans="1:5" x14ac:dyDescent="0.25">
      <c r="A138">
        <v>139</v>
      </c>
      <c r="B138" t="s">
        <v>1162</v>
      </c>
      <c r="C138" t="s">
        <v>6</v>
      </c>
      <c r="D138">
        <v>1</v>
      </c>
      <c r="E138" t="s">
        <v>908</v>
      </c>
    </row>
    <row r="139" spans="1:5" x14ac:dyDescent="0.25">
      <c r="A139">
        <v>140</v>
      </c>
      <c r="B139" t="s">
        <v>1164</v>
      </c>
      <c r="C139" t="s">
        <v>6</v>
      </c>
      <c r="D139">
        <v>1</v>
      </c>
      <c r="E139" t="s">
        <v>908</v>
      </c>
    </row>
    <row r="140" spans="1:5" x14ac:dyDescent="0.25">
      <c r="A140">
        <v>141</v>
      </c>
      <c r="B140" t="s">
        <v>1166</v>
      </c>
      <c r="C140" t="s">
        <v>457</v>
      </c>
      <c r="D140">
        <v>0.77</v>
      </c>
      <c r="E140" t="s">
        <v>892</v>
      </c>
    </row>
    <row r="141" spans="1:5" x14ac:dyDescent="0.25">
      <c r="A141">
        <v>142</v>
      </c>
      <c r="B141" t="s">
        <v>1166</v>
      </c>
      <c r="C141" t="s">
        <v>895</v>
      </c>
      <c r="D141">
        <v>0.23</v>
      </c>
      <c r="E141" t="s">
        <v>894</v>
      </c>
    </row>
    <row r="142" spans="1:5" x14ac:dyDescent="0.25">
      <c r="A142">
        <v>143</v>
      </c>
      <c r="B142" t="s">
        <v>1168</v>
      </c>
      <c r="C142" t="s">
        <v>6</v>
      </c>
      <c r="D142">
        <v>1</v>
      </c>
      <c r="E142" t="s">
        <v>908</v>
      </c>
    </row>
    <row r="143" spans="1:5" x14ac:dyDescent="0.25">
      <c r="A143">
        <v>144</v>
      </c>
      <c r="B143" t="s">
        <v>1170</v>
      </c>
      <c r="C143" t="s">
        <v>895</v>
      </c>
      <c r="D143">
        <v>1</v>
      </c>
      <c r="E143" t="s">
        <v>894</v>
      </c>
    </row>
    <row r="144" spans="1:5" x14ac:dyDescent="0.25">
      <c r="A144">
        <v>145</v>
      </c>
      <c r="B144" t="s">
        <v>1172</v>
      </c>
      <c r="C144" t="s">
        <v>6</v>
      </c>
      <c r="D144">
        <v>1</v>
      </c>
      <c r="E144" t="s">
        <v>908</v>
      </c>
    </row>
    <row r="145" spans="1:5" x14ac:dyDescent="0.25">
      <c r="A145">
        <v>146</v>
      </c>
      <c r="B145" t="s">
        <v>1174</v>
      </c>
      <c r="C145" t="s">
        <v>6</v>
      </c>
      <c r="D145">
        <v>1</v>
      </c>
      <c r="E145" t="s">
        <v>908</v>
      </c>
    </row>
    <row r="146" spans="1:5" x14ac:dyDescent="0.25">
      <c r="A146">
        <v>147</v>
      </c>
      <c r="B146" t="s">
        <v>1176</v>
      </c>
      <c r="C146" t="s">
        <v>895</v>
      </c>
      <c r="D146">
        <v>1</v>
      </c>
      <c r="E146" t="s">
        <v>894</v>
      </c>
    </row>
    <row r="147" spans="1:5" x14ac:dyDescent="0.25">
      <c r="A147">
        <v>148</v>
      </c>
      <c r="B147" t="s">
        <v>1177</v>
      </c>
      <c r="C147" t="s">
        <v>6</v>
      </c>
      <c r="D147">
        <v>1</v>
      </c>
      <c r="E147" t="s">
        <v>908</v>
      </c>
    </row>
    <row r="148" spans="1:5" x14ac:dyDescent="0.25">
      <c r="A148">
        <v>149</v>
      </c>
      <c r="B148" t="s">
        <v>1179</v>
      </c>
      <c r="C148" t="s">
        <v>906</v>
      </c>
      <c r="D148">
        <v>1</v>
      </c>
      <c r="E148" t="s">
        <v>905</v>
      </c>
    </row>
    <row r="149" spans="1:5" x14ac:dyDescent="0.25">
      <c r="A149">
        <v>150</v>
      </c>
      <c r="B149" t="s">
        <v>1180</v>
      </c>
      <c r="C149" t="s">
        <v>895</v>
      </c>
      <c r="D149">
        <v>1</v>
      </c>
      <c r="E149" t="s">
        <v>894</v>
      </c>
    </row>
    <row r="150" spans="1:5" x14ac:dyDescent="0.25">
      <c r="A150">
        <v>151</v>
      </c>
      <c r="B150" t="s">
        <v>1181</v>
      </c>
      <c r="C150" t="s">
        <v>6</v>
      </c>
      <c r="D150">
        <v>1</v>
      </c>
      <c r="E150" t="s">
        <v>908</v>
      </c>
    </row>
    <row r="151" spans="1:5" x14ac:dyDescent="0.25">
      <c r="A151">
        <v>152</v>
      </c>
      <c r="B151" t="s">
        <v>1183</v>
      </c>
      <c r="C151" t="s">
        <v>457</v>
      </c>
      <c r="D151">
        <v>0.86</v>
      </c>
      <c r="E151" t="s">
        <v>892</v>
      </c>
    </row>
    <row r="152" spans="1:5" x14ac:dyDescent="0.25">
      <c r="A152">
        <v>153</v>
      </c>
      <c r="B152" t="s">
        <v>1183</v>
      </c>
      <c r="C152" t="s">
        <v>895</v>
      </c>
      <c r="D152">
        <v>0.14000000000000001</v>
      </c>
      <c r="E152" t="s">
        <v>894</v>
      </c>
    </row>
    <row r="153" spans="1:5" x14ac:dyDescent="0.25">
      <c r="A153">
        <v>154</v>
      </c>
      <c r="B153" t="s">
        <v>1185</v>
      </c>
      <c r="C153" t="s">
        <v>457</v>
      </c>
      <c r="D153">
        <v>0.94</v>
      </c>
      <c r="E153" t="s">
        <v>892</v>
      </c>
    </row>
    <row r="154" spans="1:5" x14ac:dyDescent="0.25">
      <c r="A154">
        <v>155</v>
      </c>
      <c r="B154" t="s">
        <v>1185</v>
      </c>
      <c r="C154" t="s">
        <v>895</v>
      </c>
      <c r="D154">
        <v>0.06</v>
      </c>
      <c r="E154" t="s">
        <v>894</v>
      </c>
    </row>
    <row r="155" spans="1:5" x14ac:dyDescent="0.25">
      <c r="A155">
        <v>156</v>
      </c>
      <c r="B155" t="s">
        <v>1187</v>
      </c>
      <c r="C155" t="s">
        <v>895</v>
      </c>
      <c r="D155">
        <v>1</v>
      </c>
      <c r="E155" t="s">
        <v>894</v>
      </c>
    </row>
    <row r="156" spans="1:5" x14ac:dyDescent="0.25">
      <c r="A156">
        <v>157</v>
      </c>
      <c r="B156" t="s">
        <v>1188</v>
      </c>
      <c r="C156" t="s">
        <v>457</v>
      </c>
      <c r="D156">
        <v>0.75</v>
      </c>
      <c r="E156" t="s">
        <v>892</v>
      </c>
    </row>
    <row r="157" spans="1:5" x14ac:dyDescent="0.25">
      <c r="A157">
        <v>158</v>
      </c>
      <c r="B157" t="s">
        <v>1188</v>
      </c>
      <c r="C157" t="s">
        <v>895</v>
      </c>
      <c r="D157">
        <v>0.25</v>
      </c>
      <c r="E157" t="s">
        <v>894</v>
      </c>
    </row>
    <row r="158" spans="1:5" x14ac:dyDescent="0.25">
      <c r="A158">
        <v>159</v>
      </c>
      <c r="B158" t="s">
        <v>1190</v>
      </c>
      <c r="C158" t="s">
        <v>895</v>
      </c>
      <c r="D158">
        <v>1</v>
      </c>
      <c r="E158" t="s">
        <v>894</v>
      </c>
    </row>
    <row r="159" spans="1:5" x14ac:dyDescent="0.25">
      <c r="A159">
        <v>160</v>
      </c>
      <c r="B159" t="s">
        <v>1191</v>
      </c>
      <c r="C159" t="s">
        <v>906</v>
      </c>
      <c r="D159">
        <v>1</v>
      </c>
      <c r="E159" t="s">
        <v>905</v>
      </c>
    </row>
    <row r="160" spans="1:5" x14ac:dyDescent="0.25">
      <c r="A160">
        <v>161</v>
      </c>
      <c r="B160" t="s">
        <v>1193</v>
      </c>
      <c r="C160" t="s">
        <v>895</v>
      </c>
      <c r="D160">
        <v>1</v>
      </c>
      <c r="E160" t="s">
        <v>894</v>
      </c>
    </row>
    <row r="161" spans="1:5" x14ac:dyDescent="0.25">
      <c r="A161">
        <v>162</v>
      </c>
      <c r="B161" t="s">
        <v>1194</v>
      </c>
      <c r="C161" t="s">
        <v>457</v>
      </c>
      <c r="D161">
        <v>1</v>
      </c>
      <c r="E161" t="s">
        <v>892</v>
      </c>
    </row>
    <row r="162" spans="1:5" x14ac:dyDescent="0.25">
      <c r="A162">
        <v>164</v>
      </c>
      <c r="B162" t="s">
        <v>1196</v>
      </c>
      <c r="C162" t="s">
        <v>887</v>
      </c>
      <c r="D162">
        <v>1</v>
      </c>
      <c r="E162" t="s">
        <v>886</v>
      </c>
    </row>
    <row r="163" spans="1:5" x14ac:dyDescent="0.25">
      <c r="A163">
        <v>165</v>
      </c>
      <c r="B163" t="s">
        <v>1197</v>
      </c>
      <c r="C163" t="s">
        <v>895</v>
      </c>
      <c r="D163">
        <v>1</v>
      </c>
      <c r="E163" t="s">
        <v>894</v>
      </c>
    </row>
    <row r="164" spans="1:5" x14ac:dyDescent="0.25">
      <c r="A164">
        <v>167</v>
      </c>
      <c r="B164" t="s">
        <v>1198</v>
      </c>
      <c r="C164" t="s">
        <v>895</v>
      </c>
      <c r="D164">
        <v>1</v>
      </c>
      <c r="E164" t="s">
        <v>894</v>
      </c>
    </row>
    <row r="165" spans="1:5" x14ac:dyDescent="0.25">
      <c r="A165">
        <v>168</v>
      </c>
      <c r="B165" t="s">
        <v>1200</v>
      </c>
      <c r="C165" t="s">
        <v>895</v>
      </c>
      <c r="D165">
        <v>1</v>
      </c>
      <c r="E165" t="s">
        <v>894</v>
      </c>
    </row>
    <row r="166" spans="1:5" x14ac:dyDescent="0.25">
      <c r="A166">
        <v>169</v>
      </c>
      <c r="B166" t="s">
        <v>1201</v>
      </c>
      <c r="C166" t="s">
        <v>895</v>
      </c>
      <c r="D166">
        <v>1</v>
      </c>
      <c r="E166" t="s">
        <v>894</v>
      </c>
    </row>
    <row r="167" spans="1:5" x14ac:dyDescent="0.25">
      <c r="A167">
        <v>170</v>
      </c>
      <c r="B167" t="s">
        <v>1202</v>
      </c>
      <c r="C167" t="s">
        <v>906</v>
      </c>
      <c r="D167">
        <v>1</v>
      </c>
      <c r="E167" t="s">
        <v>905</v>
      </c>
    </row>
    <row r="168" spans="1:5" x14ac:dyDescent="0.25">
      <c r="A168">
        <v>171</v>
      </c>
      <c r="B168" t="s">
        <v>1203</v>
      </c>
      <c r="C168" t="s">
        <v>906</v>
      </c>
      <c r="D168">
        <v>1</v>
      </c>
      <c r="E168" t="s">
        <v>905</v>
      </c>
    </row>
    <row r="169" spans="1:5" x14ac:dyDescent="0.25">
      <c r="A169">
        <v>172</v>
      </c>
      <c r="B169" t="s">
        <v>1204</v>
      </c>
      <c r="C169" t="s">
        <v>6</v>
      </c>
      <c r="D169">
        <v>1</v>
      </c>
      <c r="E169" t="s">
        <v>908</v>
      </c>
    </row>
    <row r="170" spans="1:5" x14ac:dyDescent="0.25">
      <c r="A170">
        <v>173</v>
      </c>
      <c r="B170" t="s">
        <v>1206</v>
      </c>
      <c r="C170" t="s">
        <v>903</v>
      </c>
      <c r="D170">
        <v>1</v>
      </c>
      <c r="E170" t="s">
        <v>902</v>
      </c>
    </row>
    <row r="171" spans="1:5" x14ac:dyDescent="0.25">
      <c r="A171">
        <v>174</v>
      </c>
      <c r="B171" t="s">
        <v>1208</v>
      </c>
      <c r="C171" t="s">
        <v>906</v>
      </c>
      <c r="D171">
        <v>1</v>
      </c>
      <c r="E171" t="s">
        <v>905</v>
      </c>
    </row>
    <row r="172" spans="1:5" x14ac:dyDescent="0.25">
      <c r="A172">
        <v>175</v>
      </c>
      <c r="B172" t="s">
        <v>1210</v>
      </c>
      <c r="C172" t="s">
        <v>895</v>
      </c>
      <c r="D172">
        <v>1</v>
      </c>
      <c r="E172" t="s">
        <v>894</v>
      </c>
    </row>
    <row r="173" spans="1:5" x14ac:dyDescent="0.25">
      <c r="A173">
        <v>176</v>
      </c>
      <c r="B173" t="s">
        <v>1212</v>
      </c>
      <c r="C173" t="s">
        <v>457</v>
      </c>
      <c r="D173">
        <v>1</v>
      </c>
      <c r="E173" t="s">
        <v>892</v>
      </c>
    </row>
    <row r="174" spans="1:5" x14ac:dyDescent="0.25">
      <c r="A174">
        <v>177</v>
      </c>
      <c r="B174" t="s">
        <v>1214</v>
      </c>
      <c r="C174" t="s">
        <v>906</v>
      </c>
      <c r="D174">
        <v>1</v>
      </c>
      <c r="E174" t="s">
        <v>905</v>
      </c>
    </row>
    <row r="175" spans="1:5" x14ac:dyDescent="0.25">
      <c r="A175">
        <v>178</v>
      </c>
      <c r="B175" t="s">
        <v>1215</v>
      </c>
      <c r="C175" t="s">
        <v>906</v>
      </c>
      <c r="D175">
        <v>1</v>
      </c>
      <c r="E175" t="s">
        <v>905</v>
      </c>
    </row>
    <row r="176" spans="1:5" x14ac:dyDescent="0.25">
      <c r="A176">
        <v>179</v>
      </c>
      <c r="B176" t="s">
        <v>1216</v>
      </c>
      <c r="C176" t="s">
        <v>906</v>
      </c>
      <c r="D176">
        <v>1</v>
      </c>
      <c r="E176" t="s">
        <v>905</v>
      </c>
    </row>
    <row r="177" spans="1:5" x14ac:dyDescent="0.25">
      <c r="A177">
        <v>180</v>
      </c>
      <c r="B177" t="s">
        <v>1218</v>
      </c>
      <c r="C177" t="s">
        <v>906</v>
      </c>
      <c r="D177">
        <v>1</v>
      </c>
      <c r="E177" t="s">
        <v>905</v>
      </c>
    </row>
    <row r="178" spans="1:5" x14ac:dyDescent="0.25">
      <c r="A178">
        <v>181</v>
      </c>
      <c r="B178" t="s">
        <v>1219</v>
      </c>
      <c r="C178" t="s">
        <v>906</v>
      </c>
      <c r="D178">
        <v>1</v>
      </c>
      <c r="E178" t="s">
        <v>905</v>
      </c>
    </row>
    <row r="179" spans="1:5" x14ac:dyDescent="0.25">
      <c r="A179">
        <v>182</v>
      </c>
      <c r="B179" t="s">
        <v>1220</v>
      </c>
      <c r="C179" t="s">
        <v>6</v>
      </c>
      <c r="D179">
        <v>1</v>
      </c>
      <c r="E179" t="s">
        <v>908</v>
      </c>
    </row>
    <row r="180" spans="1:5" x14ac:dyDescent="0.25">
      <c r="A180">
        <v>183</v>
      </c>
      <c r="B180" t="s">
        <v>1222</v>
      </c>
      <c r="C180" t="s">
        <v>906</v>
      </c>
      <c r="D180">
        <v>1</v>
      </c>
      <c r="E180" t="s">
        <v>905</v>
      </c>
    </row>
    <row r="181" spans="1:5" x14ac:dyDescent="0.25">
      <c r="A181">
        <v>184</v>
      </c>
      <c r="B181" t="s">
        <v>1224</v>
      </c>
      <c r="C181" t="s">
        <v>906</v>
      </c>
      <c r="D181">
        <v>1</v>
      </c>
      <c r="E181" t="s">
        <v>905</v>
      </c>
    </row>
    <row r="182" spans="1:5" x14ac:dyDescent="0.25">
      <c r="A182">
        <v>185</v>
      </c>
      <c r="B182" t="s">
        <v>1225</v>
      </c>
      <c r="C182" t="s">
        <v>906</v>
      </c>
      <c r="D182">
        <v>1</v>
      </c>
      <c r="E182" t="s">
        <v>905</v>
      </c>
    </row>
    <row r="183" spans="1:5" x14ac:dyDescent="0.25">
      <c r="A183">
        <v>186</v>
      </c>
      <c r="B183" t="s">
        <v>1226</v>
      </c>
      <c r="C183" t="s">
        <v>906</v>
      </c>
      <c r="D183">
        <v>1</v>
      </c>
      <c r="E183" t="s">
        <v>905</v>
      </c>
    </row>
    <row r="184" spans="1:5" x14ac:dyDescent="0.25">
      <c r="A184">
        <v>187</v>
      </c>
      <c r="B184" t="s">
        <v>1227</v>
      </c>
      <c r="C184" t="s">
        <v>895</v>
      </c>
      <c r="D184">
        <v>1</v>
      </c>
      <c r="E184" t="s">
        <v>894</v>
      </c>
    </row>
    <row r="185" spans="1:5" x14ac:dyDescent="0.25">
      <c r="A185">
        <v>188</v>
      </c>
      <c r="B185" t="s">
        <v>1229</v>
      </c>
      <c r="C185" t="s">
        <v>906</v>
      </c>
      <c r="D185">
        <v>1</v>
      </c>
      <c r="E185" t="s">
        <v>905</v>
      </c>
    </row>
    <row r="186" spans="1:5" x14ac:dyDescent="0.25">
      <c r="A186">
        <v>189</v>
      </c>
      <c r="B186" t="s">
        <v>1231</v>
      </c>
      <c r="C186" t="s">
        <v>895</v>
      </c>
      <c r="D186">
        <v>1</v>
      </c>
      <c r="E186" t="s">
        <v>894</v>
      </c>
    </row>
    <row r="187" spans="1:5" x14ac:dyDescent="0.25">
      <c r="A187">
        <v>190</v>
      </c>
      <c r="B187" t="s">
        <v>1233</v>
      </c>
      <c r="C187" t="s">
        <v>6</v>
      </c>
      <c r="D187">
        <v>1</v>
      </c>
      <c r="E187" t="s">
        <v>908</v>
      </c>
    </row>
    <row r="188" spans="1:5" x14ac:dyDescent="0.25">
      <c r="A188">
        <v>191</v>
      </c>
      <c r="B188" t="s">
        <v>1235</v>
      </c>
      <c r="C188" t="s">
        <v>457</v>
      </c>
      <c r="D188">
        <v>1</v>
      </c>
      <c r="E188" t="s">
        <v>892</v>
      </c>
    </row>
    <row r="189" spans="1:5" x14ac:dyDescent="0.25">
      <c r="A189">
        <v>193</v>
      </c>
      <c r="B189" t="s">
        <v>1237</v>
      </c>
      <c r="C189" t="s">
        <v>457</v>
      </c>
      <c r="D189">
        <v>1</v>
      </c>
      <c r="E189" t="s">
        <v>892</v>
      </c>
    </row>
    <row r="190" spans="1:5" x14ac:dyDescent="0.25">
      <c r="A190">
        <v>195</v>
      </c>
      <c r="B190" t="s">
        <v>1239</v>
      </c>
      <c r="C190" t="s">
        <v>457</v>
      </c>
      <c r="D190">
        <v>1</v>
      </c>
      <c r="E190" t="s">
        <v>892</v>
      </c>
    </row>
    <row r="191" spans="1:5" x14ac:dyDescent="0.25">
      <c r="A191">
        <v>196</v>
      </c>
      <c r="B191" t="s">
        <v>1241</v>
      </c>
      <c r="C191" t="s">
        <v>906</v>
      </c>
      <c r="D191">
        <v>1</v>
      </c>
      <c r="E191" t="s">
        <v>905</v>
      </c>
    </row>
    <row r="192" spans="1:5" x14ac:dyDescent="0.25">
      <c r="A192">
        <v>197</v>
      </c>
      <c r="B192" t="s">
        <v>1242</v>
      </c>
      <c r="C192" t="s">
        <v>887</v>
      </c>
      <c r="D192">
        <v>1</v>
      </c>
      <c r="E192" t="s">
        <v>886</v>
      </c>
    </row>
    <row r="193" spans="1:5" x14ac:dyDescent="0.25">
      <c r="A193">
        <v>198</v>
      </c>
      <c r="B193" t="s">
        <v>1244</v>
      </c>
      <c r="C193" t="s">
        <v>906</v>
      </c>
      <c r="D193">
        <v>1</v>
      </c>
      <c r="E193" t="s">
        <v>905</v>
      </c>
    </row>
    <row r="194" spans="1:5" x14ac:dyDescent="0.25">
      <c r="A194">
        <v>200</v>
      </c>
      <c r="B194" t="s">
        <v>1245</v>
      </c>
      <c r="C194" t="s">
        <v>903</v>
      </c>
      <c r="D194">
        <v>1</v>
      </c>
      <c r="E194" t="s">
        <v>902</v>
      </c>
    </row>
    <row r="195" spans="1:5" x14ac:dyDescent="0.25">
      <c r="A195">
        <v>201</v>
      </c>
      <c r="B195" t="s">
        <v>1247</v>
      </c>
      <c r="C195" t="s">
        <v>906</v>
      </c>
      <c r="D195">
        <v>1</v>
      </c>
      <c r="E195" t="s">
        <v>905</v>
      </c>
    </row>
    <row r="196" spans="1:5" x14ac:dyDescent="0.25">
      <c r="A196">
        <v>202</v>
      </c>
      <c r="B196" t="s">
        <v>1248</v>
      </c>
      <c r="C196" t="s">
        <v>906</v>
      </c>
      <c r="D196">
        <v>1</v>
      </c>
      <c r="E196" t="s">
        <v>905</v>
      </c>
    </row>
    <row r="197" spans="1:5" x14ac:dyDescent="0.25">
      <c r="A197">
        <v>203</v>
      </c>
      <c r="B197" t="s">
        <v>1250</v>
      </c>
      <c r="C197" t="s">
        <v>906</v>
      </c>
      <c r="D197">
        <v>1</v>
      </c>
      <c r="E197" t="s">
        <v>905</v>
      </c>
    </row>
    <row r="198" spans="1:5" x14ac:dyDescent="0.25">
      <c r="A198">
        <v>204</v>
      </c>
      <c r="B198" t="s">
        <v>1252</v>
      </c>
      <c r="C198" t="s">
        <v>906</v>
      </c>
      <c r="D198">
        <v>1</v>
      </c>
      <c r="E198" t="s">
        <v>905</v>
      </c>
    </row>
    <row r="199" spans="1:5" x14ac:dyDescent="0.25">
      <c r="A199">
        <v>205</v>
      </c>
      <c r="B199" t="s">
        <v>1254</v>
      </c>
      <c r="C199" t="s">
        <v>906</v>
      </c>
      <c r="D199">
        <v>1</v>
      </c>
      <c r="E199" t="s">
        <v>905</v>
      </c>
    </row>
    <row r="200" spans="1:5" x14ac:dyDescent="0.25">
      <c r="A200">
        <v>206</v>
      </c>
      <c r="B200" t="s">
        <v>1255</v>
      </c>
      <c r="C200" t="s">
        <v>906</v>
      </c>
      <c r="D200">
        <v>1</v>
      </c>
      <c r="E200" t="s">
        <v>905</v>
      </c>
    </row>
    <row r="201" spans="1:5" x14ac:dyDescent="0.25">
      <c r="A201">
        <v>207</v>
      </c>
      <c r="B201" t="s">
        <v>1256</v>
      </c>
      <c r="C201" t="s">
        <v>906</v>
      </c>
      <c r="D201">
        <v>1</v>
      </c>
      <c r="E201" t="s">
        <v>905</v>
      </c>
    </row>
    <row r="202" spans="1:5" x14ac:dyDescent="0.25">
      <c r="A202">
        <v>208</v>
      </c>
      <c r="B202" t="s">
        <v>1257</v>
      </c>
      <c r="C202" t="s">
        <v>895</v>
      </c>
      <c r="D202">
        <v>1</v>
      </c>
      <c r="E202" t="s">
        <v>894</v>
      </c>
    </row>
    <row r="203" spans="1:5" x14ac:dyDescent="0.25">
      <c r="A203">
        <v>209</v>
      </c>
      <c r="B203" t="s">
        <v>1259</v>
      </c>
      <c r="C203" t="s">
        <v>906</v>
      </c>
      <c r="D203">
        <v>1</v>
      </c>
      <c r="E203" t="s">
        <v>905</v>
      </c>
    </row>
    <row r="204" spans="1:5" x14ac:dyDescent="0.25">
      <c r="A204">
        <v>210</v>
      </c>
      <c r="B204" t="s">
        <v>1260</v>
      </c>
      <c r="C204" t="s">
        <v>906</v>
      </c>
      <c r="D204">
        <v>1</v>
      </c>
      <c r="E204" t="s">
        <v>905</v>
      </c>
    </row>
    <row r="205" spans="1:5" x14ac:dyDescent="0.25">
      <c r="A205">
        <v>211</v>
      </c>
      <c r="B205" t="s">
        <v>1261</v>
      </c>
      <c r="C205" t="s">
        <v>6</v>
      </c>
      <c r="D205">
        <v>1</v>
      </c>
      <c r="E205" t="s">
        <v>908</v>
      </c>
    </row>
    <row r="206" spans="1:5" x14ac:dyDescent="0.25">
      <c r="A206">
        <v>212</v>
      </c>
      <c r="B206" t="s">
        <v>1263</v>
      </c>
      <c r="C206" t="s">
        <v>906</v>
      </c>
      <c r="D206">
        <v>1</v>
      </c>
      <c r="E206" t="s">
        <v>905</v>
      </c>
    </row>
    <row r="207" spans="1:5" x14ac:dyDescent="0.25">
      <c r="A207">
        <v>213</v>
      </c>
      <c r="B207" t="s">
        <v>1264</v>
      </c>
      <c r="C207" t="s">
        <v>895</v>
      </c>
      <c r="D207">
        <v>1</v>
      </c>
      <c r="E207" t="s">
        <v>894</v>
      </c>
    </row>
    <row r="208" spans="1:5" x14ac:dyDescent="0.25">
      <c r="A208">
        <v>214</v>
      </c>
      <c r="B208" t="s">
        <v>1266</v>
      </c>
      <c r="C208" t="s">
        <v>887</v>
      </c>
      <c r="D208">
        <v>1</v>
      </c>
      <c r="E208" t="s">
        <v>886</v>
      </c>
    </row>
    <row r="209" spans="1:5" x14ac:dyDescent="0.25">
      <c r="A209">
        <v>215</v>
      </c>
      <c r="B209" t="s">
        <v>1268</v>
      </c>
      <c r="C209" t="s">
        <v>906</v>
      </c>
      <c r="D209">
        <v>1</v>
      </c>
      <c r="E209" t="s">
        <v>905</v>
      </c>
    </row>
    <row r="210" spans="1:5" x14ac:dyDescent="0.25">
      <c r="A210">
        <v>216</v>
      </c>
      <c r="B210" t="s">
        <v>1269</v>
      </c>
      <c r="C210" t="s">
        <v>906</v>
      </c>
      <c r="D210">
        <v>1</v>
      </c>
      <c r="E210" t="s">
        <v>905</v>
      </c>
    </row>
    <row r="211" spans="1:5" x14ac:dyDescent="0.25">
      <c r="A211">
        <v>217</v>
      </c>
      <c r="B211" t="s">
        <v>1270</v>
      </c>
      <c r="C211" t="s">
        <v>906</v>
      </c>
      <c r="D211">
        <v>1</v>
      </c>
      <c r="E211" t="s">
        <v>905</v>
      </c>
    </row>
    <row r="212" spans="1:5" x14ac:dyDescent="0.25">
      <c r="A212">
        <v>218</v>
      </c>
      <c r="B212" t="s">
        <v>1271</v>
      </c>
      <c r="C212" t="s">
        <v>895</v>
      </c>
      <c r="D212">
        <v>1</v>
      </c>
      <c r="E212" t="s">
        <v>894</v>
      </c>
    </row>
    <row r="213" spans="1:5" x14ac:dyDescent="0.25">
      <c r="A213">
        <v>219</v>
      </c>
      <c r="B213" t="s">
        <v>1273</v>
      </c>
      <c r="C213" t="s">
        <v>457</v>
      </c>
      <c r="D213">
        <v>1</v>
      </c>
      <c r="E213" t="s">
        <v>892</v>
      </c>
    </row>
    <row r="214" spans="1:5" x14ac:dyDescent="0.25">
      <c r="A214">
        <v>220</v>
      </c>
      <c r="B214" t="s">
        <v>1275</v>
      </c>
      <c r="C214" t="s">
        <v>6</v>
      </c>
      <c r="D214">
        <v>1</v>
      </c>
      <c r="E214" t="s">
        <v>908</v>
      </c>
    </row>
    <row r="215" spans="1:5" x14ac:dyDescent="0.25">
      <c r="A215">
        <v>221</v>
      </c>
      <c r="B215" t="s">
        <v>1277</v>
      </c>
      <c r="C215" t="s">
        <v>6</v>
      </c>
      <c r="D215">
        <v>1</v>
      </c>
      <c r="E215" t="s">
        <v>908</v>
      </c>
    </row>
    <row r="216" spans="1:5" x14ac:dyDescent="0.25">
      <c r="A216">
        <v>222</v>
      </c>
      <c r="B216" t="s">
        <v>1279</v>
      </c>
      <c r="C216" t="s">
        <v>457</v>
      </c>
      <c r="D216">
        <v>0.7</v>
      </c>
      <c r="E216" t="s">
        <v>892</v>
      </c>
    </row>
    <row r="217" spans="1:5" x14ac:dyDescent="0.25">
      <c r="A217">
        <v>223</v>
      </c>
      <c r="B217" t="s">
        <v>1279</v>
      </c>
      <c r="C217" t="s">
        <v>895</v>
      </c>
      <c r="D217">
        <v>0.3</v>
      </c>
      <c r="E217" t="s">
        <v>894</v>
      </c>
    </row>
    <row r="218" spans="1:5" x14ac:dyDescent="0.25">
      <c r="A218">
        <v>224</v>
      </c>
      <c r="B218" t="s">
        <v>1281</v>
      </c>
      <c r="C218" t="s">
        <v>906</v>
      </c>
      <c r="D218">
        <v>1</v>
      </c>
      <c r="E218" t="s">
        <v>905</v>
      </c>
    </row>
    <row r="219" spans="1:5" x14ac:dyDescent="0.25">
      <c r="A219">
        <v>225</v>
      </c>
      <c r="B219" t="s">
        <v>1282</v>
      </c>
      <c r="C219" t="s">
        <v>895</v>
      </c>
      <c r="D219">
        <v>1</v>
      </c>
      <c r="E219" t="s">
        <v>894</v>
      </c>
    </row>
    <row r="220" spans="1:5" x14ac:dyDescent="0.25">
      <c r="A220">
        <v>226</v>
      </c>
      <c r="B220" t="s">
        <v>1284</v>
      </c>
      <c r="C220" t="s">
        <v>457</v>
      </c>
      <c r="D220">
        <v>1</v>
      </c>
      <c r="E220" t="s">
        <v>892</v>
      </c>
    </row>
    <row r="221" spans="1:5" x14ac:dyDescent="0.25">
      <c r="A221">
        <v>227</v>
      </c>
      <c r="B221" t="s">
        <v>1286</v>
      </c>
      <c r="C221" t="s">
        <v>906</v>
      </c>
      <c r="D221">
        <v>1</v>
      </c>
      <c r="E221" t="s">
        <v>905</v>
      </c>
    </row>
    <row r="222" spans="1:5" x14ac:dyDescent="0.25">
      <c r="A222">
        <v>228</v>
      </c>
      <c r="B222" t="s">
        <v>1287</v>
      </c>
      <c r="C222" t="s">
        <v>906</v>
      </c>
      <c r="D222">
        <v>1</v>
      </c>
      <c r="E222" t="s">
        <v>905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3137</v>
      </c>
    </row>
    <row r="2" spans="1:1" x14ac:dyDescent="0.25">
      <c r="A2" t="s">
        <v>3138</v>
      </c>
    </row>
    <row r="3" spans="1:1" x14ac:dyDescent="0.25">
      <c r="A3" t="s">
        <v>3139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27"/>
  <sheetViews>
    <sheetView workbookViewId="0">
      <selection activeCell="G23" sqref="G23"/>
    </sheetView>
  </sheetViews>
  <sheetFormatPr defaultRowHeight="15" x14ac:dyDescent="0.25"/>
  <cols>
    <col min="1" max="1" width="9.7109375" bestFit="1" customWidth="1"/>
    <col min="2" max="2" width="13.140625" bestFit="1" customWidth="1"/>
    <col min="3" max="3" width="11.5703125" bestFit="1" customWidth="1"/>
    <col min="4" max="4" width="14.140625" customWidth="1"/>
    <col min="5" max="5" width="12.5703125" bestFit="1" customWidth="1"/>
    <col min="6" max="6" width="18" bestFit="1" customWidth="1"/>
    <col min="7" max="7" width="16.28515625" style="19" bestFit="1" customWidth="1"/>
    <col min="8" max="8" width="14.28515625" style="19" customWidth="1"/>
    <col min="9" max="9" width="23.140625" customWidth="1"/>
  </cols>
  <sheetData>
    <row r="1" spans="1:9" x14ac:dyDescent="0.25">
      <c r="A1" s="10" t="s">
        <v>3135</v>
      </c>
      <c r="B1" s="10" t="s">
        <v>3137</v>
      </c>
      <c r="C1" s="10" t="s">
        <v>3140</v>
      </c>
      <c r="D1" s="10" t="s">
        <v>3141</v>
      </c>
      <c r="E1" s="10" t="s">
        <v>3142</v>
      </c>
      <c r="F1" s="10" t="s">
        <v>3136</v>
      </c>
      <c r="G1" s="21" t="s">
        <v>3143</v>
      </c>
      <c r="H1" s="21" t="s">
        <v>3144</v>
      </c>
      <c r="I1" s="10" t="s">
        <v>18</v>
      </c>
    </row>
    <row r="2" spans="1:9" x14ac:dyDescent="0.25">
      <c r="A2" t="s">
        <v>941</v>
      </c>
      <c r="B2" t="s">
        <v>3138</v>
      </c>
      <c r="C2" t="s">
        <v>3145</v>
      </c>
      <c r="D2">
        <f>(G2+H2)/G2</f>
        <v>1</v>
      </c>
      <c r="E2" t="s">
        <v>637</v>
      </c>
      <c r="F2">
        <v>1</v>
      </c>
      <c r="G2" s="19">
        <v>100000</v>
      </c>
      <c r="H2" s="19">
        <v>0</v>
      </c>
      <c r="I2" t="s">
        <v>13</v>
      </c>
    </row>
    <row r="3" spans="1:9" x14ac:dyDescent="0.25">
      <c r="A3" t="s">
        <v>944</v>
      </c>
      <c r="B3" t="s">
        <v>3138</v>
      </c>
      <c r="C3" t="s">
        <v>3145</v>
      </c>
      <c r="D3">
        <f t="shared" ref="D3:D66" si="0">(G3+H3)/G3</f>
        <v>1</v>
      </c>
      <c r="E3" t="s">
        <v>564</v>
      </c>
      <c r="F3">
        <v>1</v>
      </c>
      <c r="G3" s="19">
        <v>3300000</v>
      </c>
      <c r="H3" s="19">
        <v>0</v>
      </c>
      <c r="I3" t="s">
        <v>564</v>
      </c>
    </row>
    <row r="4" spans="1:9" x14ac:dyDescent="0.25">
      <c r="A4" t="s">
        <v>946</v>
      </c>
      <c r="B4" t="s">
        <v>3138</v>
      </c>
      <c r="C4" t="s">
        <v>3145</v>
      </c>
      <c r="D4">
        <f t="shared" si="0"/>
        <v>1</v>
      </c>
      <c r="E4" t="s">
        <v>564</v>
      </c>
      <c r="F4">
        <v>1</v>
      </c>
      <c r="G4" s="19">
        <v>1200000</v>
      </c>
      <c r="H4" s="19">
        <v>0</v>
      </c>
      <c r="I4" t="s">
        <v>564</v>
      </c>
    </row>
    <row r="5" spans="1:9" x14ac:dyDescent="0.25">
      <c r="A5" t="s">
        <v>948</v>
      </c>
      <c r="B5" t="s">
        <v>3138</v>
      </c>
      <c r="C5" t="s">
        <v>3145</v>
      </c>
      <c r="D5">
        <f t="shared" si="0"/>
        <v>1</v>
      </c>
      <c r="E5" t="s">
        <v>564</v>
      </c>
      <c r="F5">
        <v>1</v>
      </c>
      <c r="G5" s="19">
        <v>4700000</v>
      </c>
      <c r="H5" s="19">
        <v>0</v>
      </c>
      <c r="I5" t="s">
        <v>564</v>
      </c>
    </row>
    <row r="6" spans="1:9" x14ac:dyDescent="0.25">
      <c r="A6" t="s">
        <v>950</v>
      </c>
      <c r="B6" t="s">
        <v>3138</v>
      </c>
      <c r="C6" t="s">
        <v>3145</v>
      </c>
      <c r="D6">
        <f t="shared" si="0"/>
        <v>1</v>
      </c>
      <c r="E6" t="s">
        <v>564</v>
      </c>
      <c r="F6">
        <v>1</v>
      </c>
      <c r="G6" s="19">
        <v>5500000</v>
      </c>
      <c r="H6" s="19">
        <v>0</v>
      </c>
      <c r="I6" t="s">
        <v>564</v>
      </c>
    </row>
    <row r="7" spans="1:9" x14ac:dyDescent="0.25">
      <c r="A7" t="s">
        <v>952</v>
      </c>
      <c r="B7" t="s">
        <v>3138</v>
      </c>
      <c r="C7" t="s">
        <v>3145</v>
      </c>
      <c r="D7">
        <f t="shared" si="0"/>
        <v>1</v>
      </c>
      <c r="E7" t="s">
        <v>595</v>
      </c>
      <c r="F7">
        <v>1</v>
      </c>
      <c r="G7" s="19">
        <v>1500000</v>
      </c>
      <c r="H7" s="19">
        <v>0</v>
      </c>
      <c r="I7" t="s">
        <v>13</v>
      </c>
    </row>
    <row r="8" spans="1:9" x14ac:dyDescent="0.25">
      <c r="A8" t="s">
        <v>954</v>
      </c>
      <c r="B8" t="s">
        <v>3138</v>
      </c>
      <c r="C8" t="s">
        <v>3145</v>
      </c>
      <c r="D8">
        <f t="shared" si="0"/>
        <v>1</v>
      </c>
      <c r="E8" t="s">
        <v>564</v>
      </c>
      <c r="F8">
        <v>1</v>
      </c>
      <c r="G8" s="19">
        <v>3000000</v>
      </c>
      <c r="H8" s="19">
        <v>0</v>
      </c>
      <c r="I8" t="s">
        <v>564</v>
      </c>
    </row>
    <row r="9" spans="1:9" x14ac:dyDescent="0.25">
      <c r="A9" t="s">
        <v>956</v>
      </c>
      <c r="B9" t="s">
        <v>3138</v>
      </c>
      <c r="C9" t="s">
        <v>3145</v>
      </c>
      <c r="D9">
        <f t="shared" si="0"/>
        <v>1</v>
      </c>
      <c r="E9" t="s">
        <v>15</v>
      </c>
      <c r="F9">
        <v>1</v>
      </c>
      <c r="G9" s="19">
        <v>600000</v>
      </c>
      <c r="H9" s="19">
        <v>0</v>
      </c>
      <c r="I9" t="s">
        <v>15</v>
      </c>
    </row>
    <row r="10" spans="1:9" x14ac:dyDescent="0.25">
      <c r="A10" t="s">
        <v>958</v>
      </c>
      <c r="B10" t="s">
        <v>3138</v>
      </c>
      <c r="C10" t="s">
        <v>3145</v>
      </c>
      <c r="D10">
        <f t="shared" si="0"/>
        <v>1</v>
      </c>
      <c r="E10" t="s">
        <v>564</v>
      </c>
      <c r="F10">
        <v>1</v>
      </c>
      <c r="G10" s="19">
        <v>5000000</v>
      </c>
      <c r="H10" s="19">
        <v>0</v>
      </c>
      <c r="I10" t="s">
        <v>564</v>
      </c>
    </row>
    <row r="11" spans="1:9" x14ac:dyDescent="0.25">
      <c r="A11" t="s">
        <v>961</v>
      </c>
      <c r="B11" t="s">
        <v>3138</v>
      </c>
      <c r="C11" t="s">
        <v>3145</v>
      </c>
      <c r="D11">
        <f t="shared" si="0"/>
        <v>1</v>
      </c>
      <c r="E11" t="s">
        <v>716</v>
      </c>
      <c r="F11">
        <v>1</v>
      </c>
      <c r="G11" s="19">
        <v>700000</v>
      </c>
      <c r="H11" s="19">
        <v>0</v>
      </c>
      <c r="I11" t="s">
        <v>13</v>
      </c>
    </row>
    <row r="12" spans="1:9" x14ac:dyDescent="0.25">
      <c r="A12" t="s">
        <v>963</v>
      </c>
      <c r="B12" t="s">
        <v>3138</v>
      </c>
      <c r="C12" t="s">
        <v>3145</v>
      </c>
      <c r="D12">
        <f t="shared" si="0"/>
        <v>1</v>
      </c>
      <c r="E12" t="s">
        <v>564</v>
      </c>
      <c r="F12">
        <v>1</v>
      </c>
      <c r="G12" s="19">
        <v>8700000</v>
      </c>
      <c r="H12" s="19">
        <v>0</v>
      </c>
      <c r="I12" t="s">
        <v>564</v>
      </c>
    </row>
    <row r="13" spans="1:9" x14ac:dyDescent="0.25">
      <c r="A13" t="s">
        <v>965</v>
      </c>
      <c r="B13" t="s">
        <v>3138</v>
      </c>
      <c r="C13" t="s">
        <v>3145</v>
      </c>
      <c r="D13">
        <f t="shared" si="0"/>
        <v>1</v>
      </c>
      <c r="E13" t="s">
        <v>564</v>
      </c>
      <c r="F13">
        <v>1</v>
      </c>
      <c r="G13" s="19">
        <v>3800000</v>
      </c>
      <c r="H13" s="19">
        <v>0</v>
      </c>
      <c r="I13" t="s">
        <v>564</v>
      </c>
    </row>
    <row r="14" spans="1:9" x14ac:dyDescent="0.25">
      <c r="A14" t="s">
        <v>967</v>
      </c>
      <c r="B14" t="s">
        <v>3138</v>
      </c>
      <c r="C14" t="s">
        <v>3145</v>
      </c>
      <c r="D14">
        <f t="shared" si="0"/>
        <v>1</v>
      </c>
      <c r="E14" t="s">
        <v>564</v>
      </c>
      <c r="F14">
        <v>1</v>
      </c>
      <c r="G14" s="19">
        <v>5700000</v>
      </c>
      <c r="H14" s="19">
        <v>0</v>
      </c>
      <c r="I14" t="s">
        <v>564</v>
      </c>
    </row>
    <row r="15" spans="1:9" x14ac:dyDescent="0.25">
      <c r="A15" t="s">
        <v>968</v>
      </c>
      <c r="B15" t="s">
        <v>3138</v>
      </c>
      <c r="C15" t="s">
        <v>3145</v>
      </c>
      <c r="D15">
        <f t="shared" si="0"/>
        <v>1</v>
      </c>
      <c r="E15" t="s">
        <v>637</v>
      </c>
      <c r="F15">
        <v>1</v>
      </c>
      <c r="G15" s="19">
        <v>100000</v>
      </c>
      <c r="H15" s="19">
        <v>0</v>
      </c>
      <c r="I15" t="s">
        <v>13</v>
      </c>
    </row>
    <row r="16" spans="1:9" x14ac:dyDescent="0.25">
      <c r="A16" t="s">
        <v>970</v>
      </c>
      <c r="B16" t="s">
        <v>3138</v>
      </c>
      <c r="C16" t="s">
        <v>3145</v>
      </c>
      <c r="D16">
        <f t="shared" si="0"/>
        <v>1</v>
      </c>
      <c r="E16" t="s">
        <v>564</v>
      </c>
      <c r="F16">
        <v>1</v>
      </c>
      <c r="G16" s="19">
        <v>600000</v>
      </c>
      <c r="H16" s="19">
        <v>0</v>
      </c>
      <c r="I16" t="s">
        <v>564</v>
      </c>
    </row>
    <row r="17" spans="1:9" x14ac:dyDescent="0.25">
      <c r="A17" t="s">
        <v>971</v>
      </c>
      <c r="B17" t="s">
        <v>3138</v>
      </c>
      <c r="C17" t="s">
        <v>3145</v>
      </c>
      <c r="D17">
        <f t="shared" si="0"/>
        <v>1</v>
      </c>
      <c r="E17" t="s">
        <v>550</v>
      </c>
      <c r="F17">
        <v>1</v>
      </c>
      <c r="G17" s="19">
        <v>500000</v>
      </c>
      <c r="H17" s="19">
        <v>0</v>
      </c>
      <c r="I17" t="s">
        <v>13</v>
      </c>
    </row>
    <row r="18" spans="1:9" x14ac:dyDescent="0.25">
      <c r="A18" t="s">
        <v>973</v>
      </c>
      <c r="B18" t="s">
        <v>3138</v>
      </c>
      <c r="C18" t="s">
        <v>3145</v>
      </c>
      <c r="D18">
        <f t="shared" si="0"/>
        <v>1</v>
      </c>
      <c r="E18" t="s">
        <v>564</v>
      </c>
      <c r="F18">
        <v>1</v>
      </c>
      <c r="G18" s="19">
        <v>282700000</v>
      </c>
      <c r="H18" s="19">
        <v>0</v>
      </c>
      <c r="I18" t="s">
        <v>564</v>
      </c>
    </row>
    <row r="19" spans="1:9" x14ac:dyDescent="0.25">
      <c r="A19" t="s">
        <v>975</v>
      </c>
      <c r="B19" t="s">
        <v>3138</v>
      </c>
      <c r="C19" t="s">
        <v>3145</v>
      </c>
      <c r="D19">
        <f t="shared" si="0"/>
        <v>1</v>
      </c>
      <c r="E19" t="s">
        <v>523</v>
      </c>
      <c r="F19">
        <v>1</v>
      </c>
      <c r="G19" s="19">
        <v>100000</v>
      </c>
      <c r="H19" s="19">
        <v>0</v>
      </c>
      <c r="I19" t="s">
        <v>481</v>
      </c>
    </row>
    <row r="20" spans="1:9" x14ac:dyDescent="0.25">
      <c r="A20" t="s">
        <v>975</v>
      </c>
      <c r="B20" t="s">
        <v>3138</v>
      </c>
      <c r="C20" t="s">
        <v>3145</v>
      </c>
      <c r="D20">
        <f t="shared" si="0"/>
        <v>1</v>
      </c>
      <c r="E20" t="s">
        <v>564</v>
      </c>
      <c r="F20">
        <v>1</v>
      </c>
      <c r="G20" s="19">
        <v>158000000</v>
      </c>
      <c r="H20" s="19">
        <v>0</v>
      </c>
      <c r="I20" t="s">
        <v>564</v>
      </c>
    </row>
    <row r="21" spans="1:9" x14ac:dyDescent="0.25">
      <c r="A21" t="s">
        <v>977</v>
      </c>
      <c r="B21" t="s">
        <v>3138</v>
      </c>
      <c r="C21" t="s">
        <v>3145</v>
      </c>
      <c r="D21">
        <f t="shared" si="0"/>
        <v>1</v>
      </c>
      <c r="E21" t="s">
        <v>532</v>
      </c>
      <c r="F21">
        <v>1</v>
      </c>
      <c r="G21" s="19">
        <v>198600000</v>
      </c>
      <c r="H21" s="19">
        <v>0</v>
      </c>
      <c r="I21" t="s">
        <v>481</v>
      </c>
    </row>
    <row r="22" spans="1:9" x14ac:dyDescent="0.25">
      <c r="A22" t="s">
        <v>979</v>
      </c>
      <c r="B22" t="s">
        <v>3138</v>
      </c>
      <c r="C22" t="s">
        <v>3145</v>
      </c>
      <c r="D22">
        <f t="shared" si="0"/>
        <v>1</v>
      </c>
      <c r="E22" t="s">
        <v>637</v>
      </c>
      <c r="F22">
        <v>1</v>
      </c>
      <c r="G22" s="19">
        <v>700000</v>
      </c>
      <c r="H22" s="19">
        <v>0</v>
      </c>
      <c r="I22" t="s">
        <v>13</v>
      </c>
    </row>
    <row r="23" spans="1:9" x14ac:dyDescent="0.25">
      <c r="A23" t="s">
        <v>981</v>
      </c>
      <c r="B23" t="s">
        <v>3138</v>
      </c>
      <c r="C23" t="s">
        <v>3145</v>
      </c>
      <c r="D23">
        <f t="shared" si="0"/>
        <v>1</v>
      </c>
      <c r="E23" t="s">
        <v>564</v>
      </c>
      <c r="F23">
        <v>1</v>
      </c>
      <c r="G23" s="19">
        <v>800000</v>
      </c>
      <c r="H23" s="19">
        <v>0</v>
      </c>
      <c r="I23" t="s">
        <v>564</v>
      </c>
    </row>
    <row r="24" spans="1:9" x14ac:dyDescent="0.25">
      <c r="A24" t="s">
        <v>983</v>
      </c>
      <c r="B24" t="s">
        <v>3138</v>
      </c>
      <c r="C24" t="s">
        <v>3145</v>
      </c>
      <c r="D24">
        <f t="shared" si="0"/>
        <v>1</v>
      </c>
      <c r="E24" t="s">
        <v>716</v>
      </c>
      <c r="F24">
        <v>1</v>
      </c>
      <c r="G24" s="19">
        <v>1600000</v>
      </c>
      <c r="H24" s="19">
        <v>0</v>
      </c>
      <c r="I24" t="s">
        <v>13</v>
      </c>
    </row>
    <row r="25" spans="1:9" x14ac:dyDescent="0.25">
      <c r="A25" t="s">
        <v>984</v>
      </c>
      <c r="B25" t="s">
        <v>3138</v>
      </c>
      <c r="C25" t="s">
        <v>3145</v>
      </c>
      <c r="D25">
        <f t="shared" si="0"/>
        <v>1</v>
      </c>
      <c r="E25" t="s">
        <v>564</v>
      </c>
      <c r="F25">
        <v>1</v>
      </c>
      <c r="G25" s="19">
        <v>36400000</v>
      </c>
      <c r="H25" s="19">
        <v>0</v>
      </c>
      <c r="I25" t="s">
        <v>564</v>
      </c>
    </row>
    <row r="26" spans="1:9" x14ac:dyDescent="0.25">
      <c r="A26" t="s">
        <v>986</v>
      </c>
      <c r="B26" t="s">
        <v>3138</v>
      </c>
      <c r="C26" t="s">
        <v>3145</v>
      </c>
      <c r="D26">
        <f t="shared" si="0"/>
        <v>1</v>
      </c>
      <c r="E26" t="s">
        <v>564</v>
      </c>
      <c r="F26">
        <v>1</v>
      </c>
      <c r="G26" s="19">
        <v>6400000</v>
      </c>
      <c r="H26" s="19">
        <v>0</v>
      </c>
      <c r="I26" t="s">
        <v>564</v>
      </c>
    </row>
    <row r="27" spans="1:9" x14ac:dyDescent="0.25">
      <c r="A27" t="s">
        <v>988</v>
      </c>
      <c r="B27" t="s">
        <v>3138</v>
      </c>
      <c r="C27" t="s">
        <v>3145</v>
      </c>
      <c r="D27">
        <f t="shared" si="0"/>
        <v>1</v>
      </c>
      <c r="E27" t="s">
        <v>564</v>
      </c>
      <c r="F27">
        <v>1</v>
      </c>
      <c r="G27" s="19">
        <v>800000</v>
      </c>
      <c r="H27" s="19">
        <v>0</v>
      </c>
      <c r="I27" t="s">
        <v>564</v>
      </c>
    </row>
    <row r="28" spans="1:9" x14ac:dyDescent="0.25">
      <c r="A28" t="s">
        <v>989</v>
      </c>
      <c r="B28" t="s">
        <v>3138</v>
      </c>
      <c r="C28" t="s">
        <v>3145</v>
      </c>
      <c r="D28">
        <f t="shared" si="0"/>
        <v>1</v>
      </c>
      <c r="E28" t="s">
        <v>564</v>
      </c>
      <c r="F28">
        <v>1</v>
      </c>
      <c r="G28" s="19">
        <v>3100000</v>
      </c>
      <c r="H28" s="19">
        <v>0</v>
      </c>
      <c r="I28" t="s">
        <v>564</v>
      </c>
    </row>
    <row r="29" spans="1:9" x14ac:dyDescent="0.25">
      <c r="A29" t="s">
        <v>990</v>
      </c>
      <c r="B29" t="s">
        <v>3138</v>
      </c>
      <c r="C29" t="s">
        <v>3145</v>
      </c>
      <c r="D29">
        <f t="shared" si="0"/>
        <v>1</v>
      </c>
      <c r="E29" t="s">
        <v>637</v>
      </c>
      <c r="F29">
        <v>1</v>
      </c>
      <c r="G29" s="19">
        <v>400000</v>
      </c>
      <c r="H29" s="19">
        <v>0</v>
      </c>
      <c r="I29" t="s">
        <v>13</v>
      </c>
    </row>
    <row r="30" spans="1:9" x14ac:dyDescent="0.25">
      <c r="A30" t="s">
        <v>992</v>
      </c>
      <c r="B30" t="s">
        <v>3138</v>
      </c>
      <c r="C30" t="s">
        <v>3145</v>
      </c>
      <c r="D30">
        <f t="shared" si="0"/>
        <v>1</v>
      </c>
      <c r="E30" t="s">
        <v>564</v>
      </c>
      <c r="F30">
        <v>1</v>
      </c>
      <c r="G30" s="19">
        <v>6600000</v>
      </c>
      <c r="H30" s="19">
        <v>0</v>
      </c>
      <c r="I30" t="s">
        <v>564</v>
      </c>
    </row>
    <row r="31" spans="1:9" x14ac:dyDescent="0.25">
      <c r="A31" t="s">
        <v>993</v>
      </c>
      <c r="B31" t="s">
        <v>3138</v>
      </c>
      <c r="C31" t="s">
        <v>3145</v>
      </c>
      <c r="D31">
        <f t="shared" si="0"/>
        <v>1</v>
      </c>
      <c r="E31" t="s">
        <v>564</v>
      </c>
      <c r="F31">
        <v>1</v>
      </c>
      <c r="G31" s="19">
        <v>7500000</v>
      </c>
      <c r="H31" s="19">
        <v>0</v>
      </c>
      <c r="I31" t="s">
        <v>564</v>
      </c>
    </row>
    <row r="32" spans="1:9" x14ac:dyDescent="0.25">
      <c r="A32" t="s">
        <v>994</v>
      </c>
      <c r="B32" t="s">
        <v>3138</v>
      </c>
      <c r="C32" t="s">
        <v>3145</v>
      </c>
      <c r="D32">
        <f t="shared" si="0"/>
        <v>1</v>
      </c>
      <c r="E32" t="s">
        <v>550</v>
      </c>
      <c r="F32">
        <v>1</v>
      </c>
      <c r="G32" s="19">
        <v>2200000</v>
      </c>
      <c r="H32" s="19">
        <v>0</v>
      </c>
      <c r="I32" t="s">
        <v>13</v>
      </c>
    </row>
    <row r="33" spans="1:9" x14ac:dyDescent="0.25">
      <c r="A33" t="s">
        <v>996</v>
      </c>
      <c r="B33" t="s">
        <v>3138</v>
      </c>
      <c r="C33" t="s">
        <v>3145</v>
      </c>
      <c r="D33">
        <f t="shared" si="0"/>
        <v>1</v>
      </c>
      <c r="E33" t="s">
        <v>595</v>
      </c>
      <c r="F33">
        <v>1</v>
      </c>
      <c r="G33" s="19">
        <v>600000</v>
      </c>
      <c r="H33" s="19">
        <v>0</v>
      </c>
      <c r="I33" t="s">
        <v>13</v>
      </c>
    </row>
    <row r="34" spans="1:9" x14ac:dyDescent="0.25">
      <c r="A34" t="s">
        <v>999</v>
      </c>
      <c r="B34" t="s">
        <v>3138</v>
      </c>
      <c r="C34" t="s">
        <v>3145</v>
      </c>
      <c r="D34">
        <f t="shared" si="0"/>
        <v>1</v>
      </c>
      <c r="E34" t="s">
        <v>564</v>
      </c>
      <c r="F34">
        <v>1</v>
      </c>
      <c r="G34" s="19">
        <v>2500000</v>
      </c>
      <c r="H34" s="19">
        <v>0</v>
      </c>
      <c r="I34" t="s">
        <v>564</v>
      </c>
    </row>
    <row r="35" spans="1:9" x14ac:dyDescent="0.25">
      <c r="A35" t="s">
        <v>1001</v>
      </c>
      <c r="B35" t="s">
        <v>3138</v>
      </c>
      <c r="C35" t="s">
        <v>3145</v>
      </c>
      <c r="D35">
        <f t="shared" si="0"/>
        <v>1</v>
      </c>
      <c r="E35" t="s">
        <v>550</v>
      </c>
      <c r="F35">
        <v>1</v>
      </c>
      <c r="G35" s="19">
        <v>1600000</v>
      </c>
      <c r="H35" s="19">
        <v>0</v>
      </c>
      <c r="I35" t="s">
        <v>13</v>
      </c>
    </row>
    <row r="36" spans="1:9" x14ac:dyDescent="0.25">
      <c r="A36" t="s">
        <v>1001</v>
      </c>
      <c r="B36" t="s">
        <v>3138</v>
      </c>
      <c r="C36" t="s">
        <v>3145</v>
      </c>
      <c r="D36">
        <f t="shared" si="0"/>
        <v>1</v>
      </c>
      <c r="E36" t="s">
        <v>695</v>
      </c>
      <c r="F36">
        <v>1</v>
      </c>
      <c r="G36" s="19">
        <v>400000</v>
      </c>
      <c r="H36" s="19">
        <v>0</v>
      </c>
      <c r="I36" t="s">
        <v>13</v>
      </c>
    </row>
    <row r="37" spans="1:9" x14ac:dyDescent="0.25">
      <c r="A37" t="s">
        <v>1003</v>
      </c>
      <c r="B37" t="s">
        <v>3138</v>
      </c>
      <c r="C37" t="s">
        <v>3145</v>
      </c>
      <c r="D37">
        <f t="shared" si="0"/>
        <v>1</v>
      </c>
      <c r="E37" t="s">
        <v>595</v>
      </c>
      <c r="F37">
        <v>1</v>
      </c>
      <c r="G37" s="19">
        <v>1100000</v>
      </c>
      <c r="H37" s="19">
        <v>0</v>
      </c>
      <c r="I37" t="s">
        <v>13</v>
      </c>
    </row>
    <row r="38" spans="1:9" x14ac:dyDescent="0.25">
      <c r="A38" t="s">
        <v>1005</v>
      </c>
      <c r="B38" t="s">
        <v>3138</v>
      </c>
      <c r="C38" t="s">
        <v>3145</v>
      </c>
      <c r="D38">
        <f t="shared" si="0"/>
        <v>1</v>
      </c>
      <c r="E38" t="s">
        <v>564</v>
      </c>
      <c r="F38">
        <v>1</v>
      </c>
      <c r="G38" s="19">
        <v>2800000</v>
      </c>
      <c r="H38" s="19">
        <v>0</v>
      </c>
      <c r="I38" t="s">
        <v>564</v>
      </c>
    </row>
    <row r="39" spans="1:9" x14ac:dyDescent="0.25">
      <c r="A39" t="s">
        <v>1007</v>
      </c>
      <c r="B39" t="s">
        <v>3138</v>
      </c>
      <c r="C39" t="s">
        <v>3145</v>
      </c>
      <c r="D39">
        <f t="shared" si="0"/>
        <v>1</v>
      </c>
      <c r="E39" t="s">
        <v>564</v>
      </c>
      <c r="F39">
        <v>1</v>
      </c>
      <c r="G39" s="19">
        <v>200000</v>
      </c>
      <c r="H39" s="19">
        <v>0</v>
      </c>
      <c r="I39" t="s">
        <v>564</v>
      </c>
    </row>
    <row r="40" spans="1:9" x14ac:dyDescent="0.25">
      <c r="A40" t="s">
        <v>1008</v>
      </c>
      <c r="B40" t="s">
        <v>3138</v>
      </c>
      <c r="C40" t="s">
        <v>3145</v>
      </c>
      <c r="D40">
        <f t="shared" si="0"/>
        <v>1</v>
      </c>
      <c r="E40" t="s">
        <v>564</v>
      </c>
      <c r="F40">
        <v>1</v>
      </c>
      <c r="G40" s="19">
        <v>6100000</v>
      </c>
      <c r="H40" s="19">
        <v>0</v>
      </c>
      <c r="I40" t="s">
        <v>564</v>
      </c>
    </row>
    <row r="41" spans="1:9" x14ac:dyDescent="0.25">
      <c r="A41" t="s">
        <v>1009</v>
      </c>
      <c r="B41" t="s">
        <v>3138</v>
      </c>
      <c r="C41" t="s">
        <v>3145</v>
      </c>
      <c r="D41">
        <f t="shared" si="0"/>
        <v>1</v>
      </c>
      <c r="E41" t="s">
        <v>564</v>
      </c>
      <c r="F41">
        <v>1</v>
      </c>
      <c r="G41" s="19">
        <v>3800000</v>
      </c>
      <c r="H41" s="19">
        <v>0</v>
      </c>
      <c r="I41" t="s">
        <v>564</v>
      </c>
    </row>
    <row r="42" spans="1:9" x14ac:dyDescent="0.25">
      <c r="A42" t="s">
        <v>1011</v>
      </c>
      <c r="B42" t="s">
        <v>3138</v>
      </c>
      <c r="C42" t="s">
        <v>3145</v>
      </c>
      <c r="D42">
        <f t="shared" si="0"/>
        <v>1</v>
      </c>
      <c r="E42" t="s">
        <v>564</v>
      </c>
      <c r="F42">
        <v>1</v>
      </c>
      <c r="G42" s="19">
        <v>400000</v>
      </c>
      <c r="H42" s="19">
        <v>0</v>
      </c>
      <c r="I42" t="s">
        <v>564</v>
      </c>
    </row>
    <row r="43" spans="1:9" x14ac:dyDescent="0.25">
      <c r="A43" t="s">
        <v>1013</v>
      </c>
      <c r="B43" t="s">
        <v>3138</v>
      </c>
      <c r="C43" t="s">
        <v>3145</v>
      </c>
      <c r="D43">
        <f t="shared" si="0"/>
        <v>1</v>
      </c>
      <c r="E43" t="s">
        <v>564</v>
      </c>
      <c r="F43">
        <v>1</v>
      </c>
      <c r="G43" s="19">
        <v>400000</v>
      </c>
      <c r="H43" s="19">
        <v>0</v>
      </c>
      <c r="I43" t="s">
        <v>564</v>
      </c>
    </row>
    <row r="44" spans="1:9" x14ac:dyDescent="0.25">
      <c r="A44" t="s">
        <v>1015</v>
      </c>
      <c r="B44" t="s">
        <v>3138</v>
      </c>
      <c r="C44" t="s">
        <v>3145</v>
      </c>
      <c r="D44">
        <f t="shared" si="0"/>
        <v>1</v>
      </c>
      <c r="E44" t="s">
        <v>564</v>
      </c>
      <c r="F44">
        <v>1</v>
      </c>
      <c r="G44" s="19">
        <v>3800000</v>
      </c>
      <c r="H44" s="19">
        <v>0</v>
      </c>
      <c r="I44" t="s">
        <v>564</v>
      </c>
    </row>
    <row r="45" spans="1:9" x14ac:dyDescent="0.25">
      <c r="A45" t="s">
        <v>1016</v>
      </c>
      <c r="B45" t="s">
        <v>3138</v>
      </c>
      <c r="C45" t="s">
        <v>3145</v>
      </c>
      <c r="D45">
        <f t="shared" si="0"/>
        <v>1</v>
      </c>
      <c r="E45" t="s">
        <v>564</v>
      </c>
      <c r="F45">
        <v>1</v>
      </c>
      <c r="G45" s="19">
        <v>2900000</v>
      </c>
      <c r="H45" s="19">
        <v>0</v>
      </c>
      <c r="I45" t="s">
        <v>564</v>
      </c>
    </row>
    <row r="46" spans="1:9" x14ac:dyDescent="0.25">
      <c r="A46" t="s">
        <v>1018</v>
      </c>
      <c r="B46" t="s">
        <v>3138</v>
      </c>
      <c r="C46" t="s">
        <v>3145</v>
      </c>
      <c r="D46">
        <f t="shared" si="0"/>
        <v>1</v>
      </c>
      <c r="E46" t="s">
        <v>564</v>
      </c>
      <c r="F46">
        <v>1</v>
      </c>
      <c r="G46" s="19">
        <v>4000000</v>
      </c>
      <c r="H46" s="19">
        <v>0</v>
      </c>
      <c r="I46" t="s">
        <v>564</v>
      </c>
    </row>
    <row r="47" spans="1:9" x14ac:dyDescent="0.25">
      <c r="A47" t="s">
        <v>1020</v>
      </c>
      <c r="B47" t="s">
        <v>3138</v>
      </c>
      <c r="C47" t="s">
        <v>3145</v>
      </c>
      <c r="D47">
        <f t="shared" si="0"/>
        <v>1</v>
      </c>
      <c r="E47" t="s">
        <v>564</v>
      </c>
      <c r="F47">
        <v>1</v>
      </c>
      <c r="G47" s="19">
        <v>800000</v>
      </c>
      <c r="H47" s="19">
        <v>0</v>
      </c>
      <c r="I47" t="s">
        <v>564</v>
      </c>
    </row>
    <row r="48" spans="1:9" x14ac:dyDescent="0.25">
      <c r="A48" t="s">
        <v>1022</v>
      </c>
      <c r="B48" t="s">
        <v>3138</v>
      </c>
      <c r="C48" t="s">
        <v>3145</v>
      </c>
      <c r="D48">
        <f t="shared" si="0"/>
        <v>1</v>
      </c>
      <c r="E48" t="s">
        <v>564</v>
      </c>
      <c r="F48">
        <v>1</v>
      </c>
      <c r="G48" s="19">
        <v>40300000</v>
      </c>
      <c r="H48" s="19">
        <v>0</v>
      </c>
      <c r="I48" t="s">
        <v>564</v>
      </c>
    </row>
    <row r="49" spans="1:9" x14ac:dyDescent="0.25">
      <c r="A49" t="s">
        <v>1024</v>
      </c>
      <c r="B49" t="s">
        <v>3138</v>
      </c>
      <c r="C49" t="s">
        <v>3145</v>
      </c>
      <c r="D49">
        <f t="shared" si="0"/>
        <v>1</v>
      </c>
      <c r="E49" t="s">
        <v>564</v>
      </c>
      <c r="F49">
        <v>1</v>
      </c>
      <c r="G49" s="19">
        <v>2900000</v>
      </c>
      <c r="H49" s="19">
        <v>0</v>
      </c>
      <c r="I49" t="s">
        <v>564</v>
      </c>
    </row>
    <row r="50" spans="1:9" x14ac:dyDescent="0.25">
      <c r="A50" t="s">
        <v>1026</v>
      </c>
      <c r="B50" t="s">
        <v>3138</v>
      </c>
      <c r="C50" t="s">
        <v>3145</v>
      </c>
      <c r="D50">
        <f t="shared" si="0"/>
        <v>1</v>
      </c>
      <c r="E50" t="s">
        <v>15</v>
      </c>
      <c r="F50">
        <v>1</v>
      </c>
      <c r="G50" s="19">
        <v>1000000</v>
      </c>
      <c r="H50" s="19">
        <v>0</v>
      </c>
      <c r="I50" t="s">
        <v>15</v>
      </c>
    </row>
    <row r="51" spans="1:9" x14ac:dyDescent="0.25">
      <c r="A51" t="s">
        <v>1028</v>
      </c>
      <c r="B51" t="s">
        <v>3138</v>
      </c>
      <c r="C51" t="s">
        <v>3145</v>
      </c>
      <c r="D51">
        <f t="shared" si="0"/>
        <v>1</v>
      </c>
      <c r="E51" t="s">
        <v>564</v>
      </c>
      <c r="F51">
        <v>1</v>
      </c>
      <c r="G51" s="19">
        <v>46200000</v>
      </c>
      <c r="H51" s="19">
        <v>0</v>
      </c>
      <c r="I51" t="s">
        <v>564</v>
      </c>
    </row>
    <row r="52" spans="1:9" x14ac:dyDescent="0.25">
      <c r="A52" t="s">
        <v>1030</v>
      </c>
      <c r="B52" t="s">
        <v>3138</v>
      </c>
      <c r="C52" t="s">
        <v>3145</v>
      </c>
      <c r="D52">
        <f t="shared" si="0"/>
        <v>1</v>
      </c>
      <c r="E52" t="s">
        <v>595</v>
      </c>
      <c r="F52">
        <v>1</v>
      </c>
      <c r="G52" s="19">
        <v>1000000</v>
      </c>
      <c r="H52" s="19">
        <v>0</v>
      </c>
      <c r="I52" t="s">
        <v>13</v>
      </c>
    </row>
    <row r="53" spans="1:9" x14ac:dyDescent="0.25">
      <c r="A53" t="s">
        <v>1031</v>
      </c>
      <c r="B53" t="s">
        <v>3138</v>
      </c>
      <c r="C53" t="s">
        <v>3145</v>
      </c>
      <c r="D53">
        <f t="shared" si="0"/>
        <v>1</v>
      </c>
      <c r="E53" t="s">
        <v>716</v>
      </c>
      <c r="F53">
        <v>1</v>
      </c>
      <c r="G53" s="19">
        <v>400000</v>
      </c>
      <c r="H53" s="19">
        <v>0</v>
      </c>
      <c r="I53" t="s">
        <v>13</v>
      </c>
    </row>
    <row r="54" spans="1:9" x14ac:dyDescent="0.25">
      <c r="A54" t="s">
        <v>1033</v>
      </c>
      <c r="B54" t="s">
        <v>3138</v>
      </c>
      <c r="C54" t="s">
        <v>3145</v>
      </c>
      <c r="D54">
        <f t="shared" si="0"/>
        <v>1</v>
      </c>
      <c r="E54" t="s">
        <v>637</v>
      </c>
      <c r="F54">
        <v>1</v>
      </c>
      <c r="G54" s="19">
        <v>3100000</v>
      </c>
      <c r="H54" s="19">
        <v>0</v>
      </c>
      <c r="I54" t="s">
        <v>13</v>
      </c>
    </row>
    <row r="55" spans="1:9" x14ac:dyDescent="0.25">
      <c r="A55" t="s">
        <v>1035</v>
      </c>
      <c r="B55" t="s">
        <v>3138</v>
      </c>
      <c r="C55" t="s">
        <v>3145</v>
      </c>
      <c r="D55">
        <f t="shared" si="0"/>
        <v>1</v>
      </c>
      <c r="E55" t="s">
        <v>564</v>
      </c>
      <c r="F55">
        <v>1</v>
      </c>
      <c r="G55" s="19">
        <v>44900000</v>
      </c>
      <c r="H55" s="19">
        <v>0</v>
      </c>
      <c r="I55" t="s">
        <v>564</v>
      </c>
    </row>
    <row r="56" spans="1:9" x14ac:dyDescent="0.25">
      <c r="A56" t="s">
        <v>1037</v>
      </c>
      <c r="B56" t="s">
        <v>3138</v>
      </c>
      <c r="C56" t="s">
        <v>3145</v>
      </c>
      <c r="D56">
        <f t="shared" si="0"/>
        <v>1</v>
      </c>
      <c r="E56" t="s">
        <v>564</v>
      </c>
      <c r="F56">
        <v>1</v>
      </c>
      <c r="G56" s="19">
        <v>1200000</v>
      </c>
      <c r="H56" s="19">
        <v>0</v>
      </c>
      <c r="I56" t="s">
        <v>564</v>
      </c>
    </row>
    <row r="57" spans="1:9" x14ac:dyDescent="0.25">
      <c r="A57" t="s">
        <v>1039</v>
      </c>
      <c r="B57" t="s">
        <v>3138</v>
      </c>
      <c r="C57" t="s">
        <v>3145</v>
      </c>
      <c r="D57">
        <f t="shared" si="0"/>
        <v>1</v>
      </c>
      <c r="E57" t="s">
        <v>564</v>
      </c>
      <c r="F57">
        <v>1</v>
      </c>
      <c r="G57" s="19">
        <v>400000</v>
      </c>
      <c r="H57" s="19">
        <v>0</v>
      </c>
      <c r="I57" t="s">
        <v>564</v>
      </c>
    </row>
    <row r="58" spans="1:9" x14ac:dyDescent="0.25">
      <c r="A58" t="s">
        <v>1040</v>
      </c>
      <c r="B58" t="s">
        <v>3138</v>
      </c>
      <c r="C58" t="s">
        <v>3145</v>
      </c>
      <c r="D58">
        <f t="shared" si="0"/>
        <v>1</v>
      </c>
      <c r="E58" t="s">
        <v>564</v>
      </c>
      <c r="F58">
        <v>1</v>
      </c>
      <c r="G58" s="19">
        <v>15000000</v>
      </c>
      <c r="H58" s="19">
        <v>0</v>
      </c>
      <c r="I58" t="s">
        <v>564</v>
      </c>
    </row>
    <row r="59" spans="1:9" x14ac:dyDescent="0.25">
      <c r="A59" t="s">
        <v>1042</v>
      </c>
      <c r="B59" t="s">
        <v>3138</v>
      </c>
      <c r="C59" t="s">
        <v>3145</v>
      </c>
      <c r="D59">
        <f t="shared" si="0"/>
        <v>1</v>
      </c>
      <c r="E59" t="s">
        <v>564</v>
      </c>
      <c r="F59">
        <v>1</v>
      </c>
      <c r="G59" s="19">
        <v>300000</v>
      </c>
      <c r="H59" s="19">
        <v>0</v>
      </c>
      <c r="I59" t="s">
        <v>564</v>
      </c>
    </row>
    <row r="60" spans="1:9" x14ac:dyDescent="0.25">
      <c r="A60" t="s">
        <v>1044</v>
      </c>
      <c r="B60" t="s">
        <v>3138</v>
      </c>
      <c r="C60" t="s">
        <v>3145</v>
      </c>
      <c r="D60">
        <f t="shared" si="0"/>
        <v>1</v>
      </c>
      <c r="E60" t="s">
        <v>564</v>
      </c>
      <c r="F60">
        <v>1</v>
      </c>
      <c r="G60" s="19">
        <v>600000</v>
      </c>
      <c r="H60" s="19">
        <v>0</v>
      </c>
      <c r="I60" t="s">
        <v>564</v>
      </c>
    </row>
    <row r="61" spans="1:9" x14ac:dyDescent="0.25">
      <c r="A61" t="s">
        <v>1046</v>
      </c>
      <c r="B61" t="s">
        <v>3138</v>
      </c>
      <c r="C61" t="s">
        <v>3145</v>
      </c>
      <c r="D61">
        <f t="shared" si="0"/>
        <v>1</v>
      </c>
      <c r="E61" t="s">
        <v>564</v>
      </c>
      <c r="F61">
        <v>1</v>
      </c>
      <c r="G61" s="19">
        <v>3200000</v>
      </c>
      <c r="H61" s="19">
        <v>0</v>
      </c>
      <c r="I61" t="s">
        <v>564</v>
      </c>
    </row>
    <row r="62" spans="1:9" x14ac:dyDescent="0.25">
      <c r="A62" t="s">
        <v>1048</v>
      </c>
      <c r="B62" t="s">
        <v>3138</v>
      </c>
      <c r="C62" t="s">
        <v>3145</v>
      </c>
      <c r="D62">
        <f t="shared" si="0"/>
        <v>1</v>
      </c>
      <c r="E62" t="s">
        <v>564</v>
      </c>
      <c r="F62">
        <v>1</v>
      </c>
      <c r="G62" s="19">
        <v>29000000</v>
      </c>
      <c r="H62" s="19">
        <v>0</v>
      </c>
      <c r="I62" t="s">
        <v>564</v>
      </c>
    </row>
    <row r="63" spans="1:9" x14ac:dyDescent="0.25">
      <c r="A63" t="s">
        <v>1050</v>
      </c>
      <c r="B63" t="s">
        <v>3138</v>
      </c>
      <c r="C63" t="s">
        <v>3145</v>
      </c>
      <c r="D63">
        <f t="shared" si="0"/>
        <v>1</v>
      </c>
      <c r="E63" t="s">
        <v>564</v>
      </c>
      <c r="F63">
        <v>1</v>
      </c>
      <c r="G63" s="19">
        <v>3800000</v>
      </c>
      <c r="H63" s="19">
        <v>0</v>
      </c>
      <c r="I63" t="s">
        <v>564</v>
      </c>
    </row>
    <row r="64" spans="1:9" x14ac:dyDescent="0.25">
      <c r="A64" t="s">
        <v>1051</v>
      </c>
      <c r="B64" t="s">
        <v>3138</v>
      </c>
      <c r="C64" t="s">
        <v>3145</v>
      </c>
      <c r="D64">
        <f t="shared" si="0"/>
        <v>1</v>
      </c>
      <c r="E64" t="s">
        <v>15</v>
      </c>
      <c r="F64">
        <v>1</v>
      </c>
      <c r="G64" s="19">
        <v>2200000</v>
      </c>
      <c r="H64" s="19">
        <v>0</v>
      </c>
      <c r="I64" t="s">
        <v>15</v>
      </c>
    </row>
    <row r="65" spans="1:9" x14ac:dyDescent="0.25">
      <c r="A65" t="s">
        <v>1053</v>
      </c>
      <c r="B65" t="s">
        <v>3138</v>
      </c>
      <c r="C65" t="s">
        <v>3145</v>
      </c>
      <c r="D65">
        <f t="shared" si="0"/>
        <v>1</v>
      </c>
      <c r="E65" t="s">
        <v>564</v>
      </c>
      <c r="F65">
        <v>1</v>
      </c>
      <c r="G65" s="19">
        <v>600000</v>
      </c>
      <c r="H65" s="19">
        <v>0</v>
      </c>
      <c r="I65" t="s">
        <v>564</v>
      </c>
    </row>
    <row r="66" spans="1:9" x14ac:dyDescent="0.25">
      <c r="A66" t="s">
        <v>1055</v>
      </c>
      <c r="B66" t="s">
        <v>3138</v>
      </c>
      <c r="C66" t="s">
        <v>3145</v>
      </c>
      <c r="D66">
        <f t="shared" si="0"/>
        <v>1</v>
      </c>
      <c r="E66" t="s">
        <v>564</v>
      </c>
      <c r="F66">
        <v>1</v>
      </c>
      <c r="G66" s="19">
        <v>1600000</v>
      </c>
      <c r="H66" s="19">
        <v>0</v>
      </c>
      <c r="I66" t="s">
        <v>564</v>
      </c>
    </row>
    <row r="67" spans="1:9" x14ac:dyDescent="0.25">
      <c r="A67" t="s">
        <v>1057</v>
      </c>
      <c r="B67" t="s">
        <v>3138</v>
      </c>
      <c r="C67" t="s">
        <v>3145</v>
      </c>
      <c r="D67">
        <f t="shared" ref="D67:D130" si="1">(G67+H67)/G67</f>
        <v>1</v>
      </c>
      <c r="E67" t="s">
        <v>523</v>
      </c>
      <c r="F67">
        <v>1</v>
      </c>
      <c r="G67" s="19">
        <v>9800000</v>
      </c>
      <c r="H67" s="19">
        <v>0</v>
      </c>
      <c r="I67" t="s">
        <v>481</v>
      </c>
    </row>
    <row r="68" spans="1:9" x14ac:dyDescent="0.25">
      <c r="A68" t="s">
        <v>1057</v>
      </c>
      <c r="B68" t="s">
        <v>3138</v>
      </c>
      <c r="C68" t="s">
        <v>3145</v>
      </c>
      <c r="D68">
        <f t="shared" si="1"/>
        <v>1</v>
      </c>
      <c r="E68" t="s">
        <v>564</v>
      </c>
      <c r="F68">
        <v>1</v>
      </c>
      <c r="G68" s="19">
        <v>4600000</v>
      </c>
      <c r="H68" s="19">
        <v>0</v>
      </c>
      <c r="I68" t="s">
        <v>564</v>
      </c>
    </row>
    <row r="69" spans="1:9" x14ac:dyDescent="0.25">
      <c r="A69" t="s">
        <v>1059</v>
      </c>
      <c r="B69" t="s">
        <v>3138</v>
      </c>
      <c r="C69" t="s">
        <v>3145</v>
      </c>
      <c r="D69">
        <f t="shared" si="1"/>
        <v>1</v>
      </c>
      <c r="E69" t="s">
        <v>564</v>
      </c>
      <c r="F69">
        <v>1</v>
      </c>
      <c r="G69" s="19">
        <v>9200000</v>
      </c>
      <c r="H69" s="19">
        <v>0</v>
      </c>
      <c r="I69" t="s">
        <v>564</v>
      </c>
    </row>
    <row r="70" spans="1:9" x14ac:dyDescent="0.25">
      <c r="A70" t="s">
        <v>1061</v>
      </c>
      <c r="B70" t="s">
        <v>3138</v>
      </c>
      <c r="C70" t="s">
        <v>3145</v>
      </c>
      <c r="D70">
        <f t="shared" si="1"/>
        <v>1</v>
      </c>
      <c r="E70" t="s">
        <v>564</v>
      </c>
      <c r="F70">
        <v>1</v>
      </c>
      <c r="G70" s="19">
        <v>6900000</v>
      </c>
      <c r="H70" s="19">
        <v>0</v>
      </c>
      <c r="I70" t="s">
        <v>564</v>
      </c>
    </row>
    <row r="71" spans="1:9" x14ac:dyDescent="0.25">
      <c r="A71" t="s">
        <v>1063</v>
      </c>
      <c r="B71" t="s">
        <v>3138</v>
      </c>
      <c r="C71" t="s">
        <v>3145</v>
      </c>
      <c r="D71">
        <f t="shared" si="1"/>
        <v>1</v>
      </c>
      <c r="E71" t="s">
        <v>564</v>
      </c>
      <c r="F71">
        <v>1</v>
      </c>
      <c r="G71" s="19">
        <v>900000</v>
      </c>
      <c r="H71" s="19">
        <v>0</v>
      </c>
      <c r="I71" t="s">
        <v>564</v>
      </c>
    </row>
    <row r="72" spans="1:9" x14ac:dyDescent="0.25">
      <c r="A72" t="s">
        <v>1065</v>
      </c>
      <c r="B72" t="s">
        <v>3138</v>
      </c>
      <c r="C72" t="s">
        <v>3145</v>
      </c>
      <c r="D72">
        <f t="shared" si="1"/>
        <v>1</v>
      </c>
      <c r="E72" t="s">
        <v>564</v>
      </c>
      <c r="F72">
        <v>1</v>
      </c>
      <c r="G72" s="19">
        <v>3700000</v>
      </c>
      <c r="H72" s="19">
        <v>0</v>
      </c>
      <c r="I72" t="s">
        <v>564</v>
      </c>
    </row>
    <row r="73" spans="1:9" x14ac:dyDescent="0.25">
      <c r="A73" t="s">
        <v>1067</v>
      </c>
      <c r="B73" t="s">
        <v>3138</v>
      </c>
      <c r="C73" t="s">
        <v>3145</v>
      </c>
      <c r="D73">
        <f t="shared" si="1"/>
        <v>1</v>
      </c>
      <c r="E73" t="s">
        <v>15</v>
      </c>
      <c r="F73">
        <v>1</v>
      </c>
      <c r="G73" s="19">
        <v>800000</v>
      </c>
      <c r="H73" s="19">
        <v>0</v>
      </c>
      <c r="I73" t="s">
        <v>15</v>
      </c>
    </row>
    <row r="74" spans="1:9" x14ac:dyDescent="0.25">
      <c r="A74" t="s">
        <v>1069</v>
      </c>
      <c r="B74" t="s">
        <v>3138</v>
      </c>
      <c r="C74" t="s">
        <v>3145</v>
      </c>
      <c r="D74">
        <f t="shared" si="1"/>
        <v>1</v>
      </c>
      <c r="E74" t="s">
        <v>595</v>
      </c>
      <c r="F74">
        <v>1</v>
      </c>
      <c r="G74" s="19">
        <v>900000</v>
      </c>
      <c r="H74" s="19">
        <v>0</v>
      </c>
      <c r="I74" t="s">
        <v>13</v>
      </c>
    </row>
    <row r="75" spans="1:9" x14ac:dyDescent="0.25">
      <c r="A75" t="s">
        <v>1071</v>
      </c>
      <c r="B75" t="s">
        <v>3138</v>
      </c>
      <c r="C75" t="s">
        <v>3145</v>
      </c>
      <c r="D75">
        <f t="shared" si="1"/>
        <v>1</v>
      </c>
      <c r="E75" t="s">
        <v>595</v>
      </c>
      <c r="F75">
        <v>1</v>
      </c>
      <c r="G75" s="19">
        <v>300000</v>
      </c>
      <c r="H75" s="19">
        <v>0</v>
      </c>
      <c r="I75" t="s">
        <v>13</v>
      </c>
    </row>
    <row r="76" spans="1:9" x14ac:dyDescent="0.25">
      <c r="A76" t="s">
        <v>1073</v>
      </c>
      <c r="B76" t="s">
        <v>3138</v>
      </c>
      <c r="C76" t="s">
        <v>3145</v>
      </c>
      <c r="D76">
        <f t="shared" si="1"/>
        <v>1</v>
      </c>
      <c r="E76" t="s">
        <v>564</v>
      </c>
      <c r="F76">
        <v>1</v>
      </c>
      <c r="G76" s="19">
        <v>700000</v>
      </c>
      <c r="H76" s="19">
        <v>0</v>
      </c>
      <c r="I76" t="s">
        <v>564</v>
      </c>
    </row>
    <row r="77" spans="1:9" x14ac:dyDescent="0.25">
      <c r="A77" t="s">
        <v>1074</v>
      </c>
      <c r="B77" t="s">
        <v>3138</v>
      </c>
      <c r="C77" t="s">
        <v>3145</v>
      </c>
      <c r="D77">
        <f t="shared" si="1"/>
        <v>1</v>
      </c>
      <c r="E77" t="s">
        <v>532</v>
      </c>
      <c r="F77">
        <v>1</v>
      </c>
      <c r="G77" s="19">
        <v>2400000</v>
      </c>
      <c r="H77" s="19">
        <v>0</v>
      </c>
      <c r="I77" t="s">
        <v>481</v>
      </c>
    </row>
    <row r="78" spans="1:9" x14ac:dyDescent="0.25">
      <c r="A78" t="s">
        <v>1076</v>
      </c>
      <c r="B78" t="s">
        <v>3138</v>
      </c>
      <c r="C78" t="s">
        <v>3145</v>
      </c>
      <c r="D78">
        <f t="shared" si="1"/>
        <v>1</v>
      </c>
      <c r="E78" t="s">
        <v>564</v>
      </c>
      <c r="F78">
        <v>1</v>
      </c>
      <c r="G78" s="19">
        <v>3200000</v>
      </c>
      <c r="H78" s="19">
        <v>0</v>
      </c>
      <c r="I78" t="s">
        <v>564</v>
      </c>
    </row>
    <row r="79" spans="1:9" x14ac:dyDescent="0.25">
      <c r="A79" t="s">
        <v>1078</v>
      </c>
      <c r="B79" t="s">
        <v>3138</v>
      </c>
      <c r="C79" t="s">
        <v>3145</v>
      </c>
      <c r="D79">
        <f t="shared" si="1"/>
        <v>1</v>
      </c>
      <c r="E79" t="s">
        <v>564</v>
      </c>
      <c r="F79">
        <v>1</v>
      </c>
      <c r="G79" s="19">
        <v>6700000</v>
      </c>
      <c r="H79" s="19">
        <v>0</v>
      </c>
      <c r="I79" t="s">
        <v>564</v>
      </c>
    </row>
    <row r="80" spans="1:9" x14ac:dyDescent="0.25">
      <c r="A80" t="s">
        <v>1080</v>
      </c>
      <c r="B80" t="s">
        <v>3138</v>
      </c>
      <c r="C80" t="s">
        <v>3145</v>
      </c>
      <c r="D80">
        <f t="shared" si="1"/>
        <v>1</v>
      </c>
      <c r="E80" t="s">
        <v>564</v>
      </c>
      <c r="F80">
        <v>1</v>
      </c>
      <c r="G80" s="19">
        <v>500000</v>
      </c>
      <c r="H80" s="19">
        <v>0</v>
      </c>
      <c r="I80" t="s">
        <v>564</v>
      </c>
    </row>
    <row r="81" spans="1:9" x14ac:dyDescent="0.25">
      <c r="A81" t="s">
        <v>1082</v>
      </c>
      <c r="B81" t="s">
        <v>3138</v>
      </c>
      <c r="C81" t="s">
        <v>3145</v>
      </c>
      <c r="D81">
        <f t="shared" si="1"/>
        <v>1</v>
      </c>
      <c r="E81" t="s">
        <v>564</v>
      </c>
      <c r="F81">
        <v>1</v>
      </c>
      <c r="G81" s="19">
        <v>9300000</v>
      </c>
      <c r="H81" s="19">
        <v>0</v>
      </c>
      <c r="I81" t="s">
        <v>564</v>
      </c>
    </row>
    <row r="82" spans="1:9" x14ac:dyDescent="0.25">
      <c r="A82" t="s">
        <v>1083</v>
      </c>
      <c r="B82" t="s">
        <v>3138</v>
      </c>
      <c r="C82" t="s">
        <v>3145</v>
      </c>
      <c r="D82">
        <f t="shared" si="1"/>
        <v>1</v>
      </c>
      <c r="E82" t="s">
        <v>532</v>
      </c>
      <c r="F82">
        <v>1</v>
      </c>
      <c r="G82" s="19">
        <v>500000</v>
      </c>
      <c r="H82" s="19">
        <v>0</v>
      </c>
      <c r="I82" t="s">
        <v>481</v>
      </c>
    </row>
    <row r="83" spans="1:9" x14ac:dyDescent="0.25">
      <c r="A83" t="s">
        <v>1084</v>
      </c>
      <c r="B83" t="s">
        <v>3138</v>
      </c>
      <c r="C83" t="s">
        <v>3145</v>
      </c>
      <c r="D83">
        <f t="shared" si="1"/>
        <v>1</v>
      </c>
      <c r="E83" t="s">
        <v>564</v>
      </c>
      <c r="F83">
        <v>1</v>
      </c>
      <c r="G83" s="19">
        <v>3900000</v>
      </c>
      <c r="H83" s="19">
        <v>0</v>
      </c>
      <c r="I83" t="s">
        <v>564</v>
      </c>
    </row>
    <row r="84" spans="1:9" x14ac:dyDescent="0.25">
      <c r="A84" t="s">
        <v>1085</v>
      </c>
      <c r="B84" t="s">
        <v>3138</v>
      </c>
      <c r="C84" t="s">
        <v>3145</v>
      </c>
      <c r="D84">
        <f t="shared" si="1"/>
        <v>1</v>
      </c>
      <c r="E84" t="s">
        <v>564</v>
      </c>
      <c r="F84">
        <v>1</v>
      </c>
      <c r="G84" s="19">
        <v>7900000</v>
      </c>
      <c r="H84" s="19">
        <v>0</v>
      </c>
      <c r="I84" t="s">
        <v>564</v>
      </c>
    </row>
    <row r="85" spans="1:9" x14ac:dyDescent="0.25">
      <c r="A85" t="s">
        <v>1086</v>
      </c>
      <c r="B85" t="s">
        <v>3138</v>
      </c>
      <c r="C85" t="s">
        <v>3145</v>
      </c>
      <c r="D85">
        <f t="shared" si="1"/>
        <v>1</v>
      </c>
      <c r="E85" t="s">
        <v>15</v>
      </c>
      <c r="F85">
        <v>1</v>
      </c>
      <c r="G85" s="19">
        <v>3700000</v>
      </c>
      <c r="H85" s="19">
        <v>0</v>
      </c>
      <c r="I85" t="s">
        <v>15</v>
      </c>
    </row>
    <row r="86" spans="1:9" x14ac:dyDescent="0.25">
      <c r="A86" t="s">
        <v>1088</v>
      </c>
      <c r="B86" t="s">
        <v>3138</v>
      </c>
      <c r="C86" t="s">
        <v>3145</v>
      </c>
      <c r="D86">
        <f t="shared" si="1"/>
        <v>1</v>
      </c>
      <c r="E86" t="s">
        <v>564</v>
      </c>
      <c r="F86">
        <v>1</v>
      </c>
      <c r="G86" s="19">
        <v>5900000</v>
      </c>
      <c r="H86" s="19">
        <v>0</v>
      </c>
      <c r="I86" t="s">
        <v>564</v>
      </c>
    </row>
    <row r="87" spans="1:9" x14ac:dyDescent="0.25">
      <c r="A87" t="s">
        <v>1090</v>
      </c>
      <c r="B87" t="s">
        <v>3138</v>
      </c>
      <c r="C87" t="s">
        <v>3145</v>
      </c>
      <c r="D87">
        <f t="shared" si="1"/>
        <v>1</v>
      </c>
      <c r="E87" t="s">
        <v>564</v>
      </c>
      <c r="F87">
        <v>1</v>
      </c>
      <c r="G87" s="19">
        <v>900000</v>
      </c>
      <c r="H87" s="19">
        <v>0</v>
      </c>
      <c r="I87" t="s">
        <v>564</v>
      </c>
    </row>
    <row r="88" spans="1:9" x14ac:dyDescent="0.25">
      <c r="A88" t="s">
        <v>1092</v>
      </c>
      <c r="B88" t="s">
        <v>3138</v>
      </c>
      <c r="C88" t="s">
        <v>3145</v>
      </c>
      <c r="D88">
        <f t="shared" si="1"/>
        <v>1</v>
      </c>
      <c r="E88" t="s">
        <v>564</v>
      </c>
      <c r="F88">
        <v>1</v>
      </c>
      <c r="G88" s="19">
        <v>2300000</v>
      </c>
      <c r="H88" s="19">
        <v>0</v>
      </c>
      <c r="I88" t="s">
        <v>564</v>
      </c>
    </row>
    <row r="89" spans="1:9" x14ac:dyDescent="0.25">
      <c r="A89" t="s">
        <v>1093</v>
      </c>
      <c r="B89" t="s">
        <v>3138</v>
      </c>
      <c r="C89" t="s">
        <v>3145</v>
      </c>
      <c r="D89">
        <f t="shared" si="1"/>
        <v>1</v>
      </c>
      <c r="E89" t="s">
        <v>15</v>
      </c>
      <c r="F89">
        <v>1</v>
      </c>
      <c r="G89" s="19">
        <v>3100000</v>
      </c>
      <c r="H89" s="19">
        <v>0</v>
      </c>
      <c r="I89" t="s">
        <v>15</v>
      </c>
    </row>
    <row r="90" spans="1:9" x14ac:dyDescent="0.25">
      <c r="A90" t="s">
        <v>1095</v>
      </c>
      <c r="B90" t="s">
        <v>3138</v>
      </c>
      <c r="C90" t="s">
        <v>3145</v>
      </c>
      <c r="D90">
        <f t="shared" si="1"/>
        <v>1</v>
      </c>
      <c r="E90" t="s">
        <v>532</v>
      </c>
      <c r="F90">
        <v>1</v>
      </c>
      <c r="G90" s="19">
        <v>200000</v>
      </c>
      <c r="H90" s="19">
        <v>0</v>
      </c>
      <c r="I90" t="s">
        <v>481</v>
      </c>
    </row>
    <row r="91" spans="1:9" x14ac:dyDescent="0.25">
      <c r="A91" t="s">
        <v>1095</v>
      </c>
      <c r="B91" t="s">
        <v>3138</v>
      </c>
      <c r="C91" t="s">
        <v>3145</v>
      </c>
      <c r="D91">
        <f t="shared" si="1"/>
        <v>1</v>
      </c>
      <c r="E91" t="s">
        <v>564</v>
      </c>
      <c r="F91">
        <v>1</v>
      </c>
      <c r="G91" s="19">
        <v>13200000</v>
      </c>
      <c r="H91" s="19">
        <v>0</v>
      </c>
      <c r="I91" t="s">
        <v>564</v>
      </c>
    </row>
    <row r="92" spans="1:9" x14ac:dyDescent="0.25">
      <c r="A92" t="s">
        <v>1097</v>
      </c>
      <c r="B92" t="s">
        <v>3138</v>
      </c>
      <c r="C92" t="s">
        <v>3145</v>
      </c>
      <c r="D92">
        <f t="shared" si="1"/>
        <v>1</v>
      </c>
      <c r="E92" t="s">
        <v>564</v>
      </c>
      <c r="F92">
        <v>1</v>
      </c>
      <c r="G92" s="19">
        <v>3000000</v>
      </c>
      <c r="H92" s="19">
        <v>0</v>
      </c>
      <c r="I92" t="s">
        <v>564</v>
      </c>
    </row>
    <row r="93" spans="1:9" x14ac:dyDescent="0.25">
      <c r="A93" t="s">
        <v>1099</v>
      </c>
      <c r="B93" t="s">
        <v>3138</v>
      </c>
      <c r="C93" t="s">
        <v>3145</v>
      </c>
      <c r="D93">
        <f t="shared" si="1"/>
        <v>1</v>
      </c>
      <c r="E93" t="s">
        <v>607</v>
      </c>
      <c r="F93">
        <v>1</v>
      </c>
      <c r="G93" s="19">
        <v>100000</v>
      </c>
      <c r="H93" s="19">
        <v>0</v>
      </c>
      <c r="I93" t="s">
        <v>13</v>
      </c>
    </row>
    <row r="94" spans="1:9" x14ac:dyDescent="0.25">
      <c r="A94" t="s">
        <v>1101</v>
      </c>
      <c r="B94" t="s">
        <v>3138</v>
      </c>
      <c r="C94" t="s">
        <v>3145</v>
      </c>
      <c r="D94">
        <f t="shared" si="1"/>
        <v>1</v>
      </c>
      <c r="E94" t="s">
        <v>564</v>
      </c>
      <c r="F94">
        <v>1</v>
      </c>
      <c r="G94" s="19">
        <v>34100000</v>
      </c>
      <c r="H94" s="19">
        <v>0</v>
      </c>
      <c r="I94" t="s">
        <v>564</v>
      </c>
    </row>
    <row r="95" spans="1:9" x14ac:dyDescent="0.25">
      <c r="A95" t="s">
        <v>1103</v>
      </c>
      <c r="B95" t="s">
        <v>3138</v>
      </c>
      <c r="C95" t="s">
        <v>3145</v>
      </c>
      <c r="D95">
        <f t="shared" si="1"/>
        <v>1</v>
      </c>
      <c r="E95" t="s">
        <v>637</v>
      </c>
      <c r="F95">
        <v>1</v>
      </c>
      <c r="G95" s="19">
        <v>200000</v>
      </c>
      <c r="H95" s="19">
        <v>0</v>
      </c>
      <c r="I95" t="s">
        <v>13</v>
      </c>
    </row>
    <row r="96" spans="1:9" x14ac:dyDescent="0.25">
      <c r="A96" t="s">
        <v>1105</v>
      </c>
      <c r="B96" t="s">
        <v>3138</v>
      </c>
      <c r="C96" t="s">
        <v>3145</v>
      </c>
      <c r="D96">
        <f t="shared" si="1"/>
        <v>1</v>
      </c>
      <c r="E96" t="s">
        <v>564</v>
      </c>
      <c r="F96">
        <v>1</v>
      </c>
      <c r="G96" s="19">
        <v>7900000</v>
      </c>
      <c r="H96" s="19">
        <v>0</v>
      </c>
      <c r="I96" t="s">
        <v>564</v>
      </c>
    </row>
    <row r="97" spans="1:9" x14ac:dyDescent="0.25">
      <c r="A97" t="s">
        <v>1107</v>
      </c>
      <c r="B97" t="s">
        <v>3138</v>
      </c>
      <c r="C97" t="s">
        <v>3145</v>
      </c>
      <c r="D97">
        <f t="shared" si="1"/>
        <v>1</v>
      </c>
      <c r="E97" t="s">
        <v>595</v>
      </c>
      <c r="F97">
        <v>1</v>
      </c>
      <c r="G97" s="19">
        <v>2500000</v>
      </c>
      <c r="H97" s="19">
        <v>0</v>
      </c>
      <c r="I97" t="s">
        <v>13</v>
      </c>
    </row>
    <row r="98" spans="1:9" x14ac:dyDescent="0.25">
      <c r="A98" t="s">
        <v>1109</v>
      </c>
      <c r="B98" t="s">
        <v>3138</v>
      </c>
      <c r="C98" t="s">
        <v>3145</v>
      </c>
      <c r="D98">
        <f t="shared" si="1"/>
        <v>1</v>
      </c>
      <c r="E98" t="s">
        <v>564</v>
      </c>
      <c r="F98">
        <v>1</v>
      </c>
      <c r="G98" s="19">
        <v>17200000</v>
      </c>
      <c r="H98" s="19">
        <v>0</v>
      </c>
      <c r="I98" t="s">
        <v>564</v>
      </c>
    </row>
    <row r="99" spans="1:9" x14ac:dyDescent="0.25">
      <c r="A99" t="s">
        <v>1111</v>
      </c>
      <c r="B99" t="s">
        <v>3138</v>
      </c>
      <c r="C99" t="s">
        <v>3145</v>
      </c>
      <c r="D99">
        <f t="shared" si="1"/>
        <v>1</v>
      </c>
      <c r="E99" t="s">
        <v>564</v>
      </c>
      <c r="F99">
        <v>1</v>
      </c>
      <c r="G99" s="19">
        <v>30100000</v>
      </c>
      <c r="H99" s="19">
        <v>0</v>
      </c>
      <c r="I99" t="s">
        <v>564</v>
      </c>
    </row>
    <row r="100" spans="1:9" x14ac:dyDescent="0.25">
      <c r="A100" t="s">
        <v>1113</v>
      </c>
      <c r="B100" t="s">
        <v>3138</v>
      </c>
      <c r="C100" t="s">
        <v>3145</v>
      </c>
      <c r="D100">
        <f t="shared" si="1"/>
        <v>1</v>
      </c>
      <c r="E100" t="s">
        <v>595</v>
      </c>
      <c r="F100">
        <v>1</v>
      </c>
      <c r="G100" s="19">
        <v>200000</v>
      </c>
      <c r="H100" s="19">
        <v>0</v>
      </c>
      <c r="I100" t="s">
        <v>13</v>
      </c>
    </row>
    <row r="101" spans="1:9" x14ac:dyDescent="0.25">
      <c r="A101" t="s">
        <v>1115</v>
      </c>
      <c r="B101" t="s">
        <v>3138</v>
      </c>
      <c r="C101" t="s">
        <v>3145</v>
      </c>
      <c r="D101">
        <f t="shared" si="1"/>
        <v>1</v>
      </c>
      <c r="E101" t="s">
        <v>564</v>
      </c>
      <c r="F101">
        <v>1</v>
      </c>
      <c r="G101" s="19">
        <v>4000000</v>
      </c>
      <c r="H101" s="19">
        <v>0</v>
      </c>
      <c r="I101" t="s">
        <v>564</v>
      </c>
    </row>
    <row r="102" spans="1:9" x14ac:dyDescent="0.25">
      <c r="A102" t="s">
        <v>1117</v>
      </c>
      <c r="B102" t="s">
        <v>3138</v>
      </c>
      <c r="C102" t="s">
        <v>3145</v>
      </c>
      <c r="D102">
        <f t="shared" si="1"/>
        <v>1</v>
      </c>
      <c r="E102" t="s">
        <v>564</v>
      </c>
      <c r="F102">
        <v>1</v>
      </c>
      <c r="G102" s="19">
        <v>9100000</v>
      </c>
      <c r="H102" s="19">
        <v>0</v>
      </c>
      <c r="I102" t="s">
        <v>564</v>
      </c>
    </row>
    <row r="103" spans="1:9" x14ac:dyDescent="0.25">
      <c r="A103" t="s">
        <v>1119</v>
      </c>
      <c r="B103" t="s">
        <v>3138</v>
      </c>
      <c r="C103" t="s">
        <v>3145</v>
      </c>
      <c r="D103">
        <f t="shared" si="1"/>
        <v>1</v>
      </c>
      <c r="E103" t="s">
        <v>637</v>
      </c>
      <c r="F103">
        <v>1</v>
      </c>
      <c r="G103" s="19">
        <v>200000</v>
      </c>
      <c r="H103" s="19">
        <v>0</v>
      </c>
      <c r="I103" t="s">
        <v>13</v>
      </c>
    </row>
    <row r="104" spans="1:9" x14ac:dyDescent="0.25">
      <c r="A104" t="s">
        <v>1121</v>
      </c>
      <c r="B104" t="s">
        <v>3138</v>
      </c>
      <c r="C104" t="s">
        <v>3145</v>
      </c>
      <c r="D104">
        <f t="shared" si="1"/>
        <v>1</v>
      </c>
      <c r="E104" t="s">
        <v>564</v>
      </c>
      <c r="F104">
        <v>1</v>
      </c>
      <c r="G104" s="19">
        <v>1000000</v>
      </c>
      <c r="H104" s="19">
        <v>0</v>
      </c>
      <c r="I104" t="s">
        <v>564</v>
      </c>
    </row>
    <row r="105" spans="1:9" x14ac:dyDescent="0.25">
      <c r="A105" t="s">
        <v>1123</v>
      </c>
      <c r="B105" t="s">
        <v>3138</v>
      </c>
      <c r="C105" t="s">
        <v>3145</v>
      </c>
      <c r="D105">
        <f t="shared" si="1"/>
        <v>1</v>
      </c>
      <c r="E105" t="s">
        <v>637</v>
      </c>
      <c r="F105">
        <v>1</v>
      </c>
      <c r="G105" s="19">
        <v>100000</v>
      </c>
      <c r="H105" s="19">
        <v>0</v>
      </c>
      <c r="I105" t="s">
        <v>13</v>
      </c>
    </row>
    <row r="106" spans="1:9" x14ac:dyDescent="0.25">
      <c r="A106" t="s">
        <v>1125</v>
      </c>
      <c r="B106" t="s">
        <v>3138</v>
      </c>
      <c r="C106" t="s">
        <v>3145</v>
      </c>
      <c r="D106">
        <f t="shared" si="1"/>
        <v>1</v>
      </c>
      <c r="E106" t="s">
        <v>564</v>
      </c>
      <c r="F106">
        <v>1</v>
      </c>
      <c r="G106" s="19">
        <v>17200000</v>
      </c>
      <c r="H106" s="19">
        <v>0</v>
      </c>
      <c r="I106" t="s">
        <v>564</v>
      </c>
    </row>
    <row r="107" spans="1:9" x14ac:dyDescent="0.25">
      <c r="A107" t="s">
        <v>1127</v>
      </c>
      <c r="B107" t="s">
        <v>3138</v>
      </c>
      <c r="C107" t="s">
        <v>3145</v>
      </c>
      <c r="D107">
        <f t="shared" si="1"/>
        <v>1</v>
      </c>
      <c r="E107" t="s">
        <v>564</v>
      </c>
      <c r="F107">
        <v>1</v>
      </c>
      <c r="G107" s="19">
        <v>8500000</v>
      </c>
      <c r="H107" s="19">
        <v>0</v>
      </c>
      <c r="I107" t="s">
        <v>564</v>
      </c>
    </row>
    <row r="108" spans="1:9" x14ac:dyDescent="0.25">
      <c r="A108" t="s">
        <v>1128</v>
      </c>
      <c r="B108" t="s">
        <v>3138</v>
      </c>
      <c r="C108" t="s">
        <v>3145</v>
      </c>
      <c r="D108">
        <f t="shared" si="1"/>
        <v>1</v>
      </c>
      <c r="E108" t="s">
        <v>564</v>
      </c>
      <c r="F108">
        <v>1</v>
      </c>
      <c r="G108" s="19">
        <v>4600000</v>
      </c>
      <c r="H108" s="19">
        <v>0</v>
      </c>
      <c r="I108" t="s">
        <v>564</v>
      </c>
    </row>
    <row r="109" spans="1:9" x14ac:dyDescent="0.25">
      <c r="A109" t="s">
        <v>1129</v>
      </c>
      <c r="B109" t="s">
        <v>3138</v>
      </c>
      <c r="C109" t="s">
        <v>3145</v>
      </c>
      <c r="D109">
        <f t="shared" si="1"/>
        <v>1</v>
      </c>
      <c r="E109" t="s">
        <v>564</v>
      </c>
      <c r="F109">
        <v>1</v>
      </c>
      <c r="G109" s="19">
        <v>3600000</v>
      </c>
      <c r="H109" s="19">
        <v>0</v>
      </c>
      <c r="I109" t="s">
        <v>564</v>
      </c>
    </row>
    <row r="110" spans="1:9" x14ac:dyDescent="0.25">
      <c r="A110" t="s">
        <v>1131</v>
      </c>
      <c r="B110" t="s">
        <v>3138</v>
      </c>
      <c r="C110" t="s">
        <v>3145</v>
      </c>
      <c r="D110">
        <f t="shared" si="1"/>
        <v>1.0555555555555556</v>
      </c>
      <c r="E110" t="s">
        <v>564</v>
      </c>
      <c r="F110">
        <v>1</v>
      </c>
      <c r="G110" s="19">
        <v>1800000</v>
      </c>
      <c r="H110" s="19">
        <v>100000</v>
      </c>
      <c r="I110" t="s">
        <v>564</v>
      </c>
    </row>
    <row r="111" spans="1:9" x14ac:dyDescent="0.25">
      <c r="A111" t="s">
        <v>1133</v>
      </c>
      <c r="B111" t="s">
        <v>3138</v>
      </c>
      <c r="C111" t="s">
        <v>3145</v>
      </c>
      <c r="D111">
        <f t="shared" si="1"/>
        <v>1.25</v>
      </c>
      <c r="E111" t="s">
        <v>564</v>
      </c>
      <c r="F111">
        <v>1</v>
      </c>
      <c r="G111" s="19">
        <v>400000</v>
      </c>
      <c r="H111" s="19">
        <v>100000</v>
      </c>
      <c r="I111" t="s">
        <v>564</v>
      </c>
    </row>
    <row r="112" spans="1:9" x14ac:dyDescent="0.25">
      <c r="A112" t="s">
        <v>1135</v>
      </c>
      <c r="B112" t="s">
        <v>3138</v>
      </c>
      <c r="C112" t="s">
        <v>3145</v>
      </c>
      <c r="D112">
        <f t="shared" si="1"/>
        <v>1.0740740740740742</v>
      </c>
      <c r="E112" t="s">
        <v>564</v>
      </c>
      <c r="F112">
        <v>1</v>
      </c>
      <c r="G112" s="19">
        <v>2700000</v>
      </c>
      <c r="H112" s="19">
        <v>200000</v>
      </c>
      <c r="I112" t="s">
        <v>564</v>
      </c>
    </row>
    <row r="113" spans="1:9" x14ac:dyDescent="0.25">
      <c r="A113" t="s">
        <v>1136</v>
      </c>
      <c r="B113" t="s">
        <v>3138</v>
      </c>
      <c r="C113" t="s">
        <v>3145</v>
      </c>
      <c r="D113">
        <f t="shared" si="1"/>
        <v>1.3333333333333333</v>
      </c>
      <c r="E113" t="s">
        <v>564</v>
      </c>
      <c r="F113">
        <v>1</v>
      </c>
      <c r="G113" s="19">
        <v>300000</v>
      </c>
      <c r="H113" s="19">
        <v>100000</v>
      </c>
      <c r="I113" t="s">
        <v>564</v>
      </c>
    </row>
    <row r="114" spans="1:9" x14ac:dyDescent="0.25">
      <c r="A114" t="s">
        <v>1138</v>
      </c>
      <c r="B114" t="s">
        <v>3138</v>
      </c>
      <c r="C114" t="s">
        <v>3145</v>
      </c>
      <c r="D114">
        <f t="shared" si="1"/>
        <v>2</v>
      </c>
      <c r="E114" t="s">
        <v>595</v>
      </c>
      <c r="F114">
        <v>1</v>
      </c>
      <c r="G114" s="19">
        <v>100000</v>
      </c>
      <c r="H114" s="19">
        <v>100000</v>
      </c>
      <c r="I114" t="s">
        <v>13</v>
      </c>
    </row>
    <row r="115" spans="1:9" x14ac:dyDescent="0.25">
      <c r="A115" t="s">
        <v>1140</v>
      </c>
      <c r="B115" t="s">
        <v>3138</v>
      </c>
      <c r="C115" t="s">
        <v>3145</v>
      </c>
      <c r="D115">
        <f t="shared" si="1"/>
        <v>1.2032640949554896</v>
      </c>
      <c r="E115" t="s">
        <v>564</v>
      </c>
      <c r="F115">
        <v>1</v>
      </c>
      <c r="G115" s="19">
        <v>67400000</v>
      </c>
      <c r="H115" s="19">
        <v>13700000</v>
      </c>
      <c r="I115" t="s">
        <v>564</v>
      </c>
    </row>
    <row r="116" spans="1:9" x14ac:dyDescent="0.25">
      <c r="A116" t="s">
        <v>1141</v>
      </c>
      <c r="B116" t="s">
        <v>3138</v>
      </c>
      <c r="C116" t="s">
        <v>3145</v>
      </c>
      <c r="D116">
        <f t="shared" si="1"/>
        <v>1.25</v>
      </c>
      <c r="E116" t="s">
        <v>564</v>
      </c>
      <c r="F116">
        <v>1</v>
      </c>
      <c r="G116" s="19">
        <v>400000</v>
      </c>
      <c r="H116" s="19">
        <v>100000</v>
      </c>
      <c r="I116" t="s">
        <v>564</v>
      </c>
    </row>
    <row r="117" spans="1:9" x14ac:dyDescent="0.25">
      <c r="A117" t="s">
        <v>1143</v>
      </c>
      <c r="B117" t="s">
        <v>3138</v>
      </c>
      <c r="C117" t="s">
        <v>3145</v>
      </c>
      <c r="D117">
        <f t="shared" si="1"/>
        <v>2</v>
      </c>
      <c r="E117" t="s">
        <v>607</v>
      </c>
      <c r="F117">
        <v>1</v>
      </c>
      <c r="G117" s="19">
        <v>100000</v>
      </c>
      <c r="H117" s="19">
        <v>100000</v>
      </c>
      <c r="I117" t="s">
        <v>13</v>
      </c>
    </row>
    <row r="118" spans="1:9" x14ac:dyDescent="0.25">
      <c r="A118" t="s">
        <v>1145</v>
      </c>
      <c r="B118" t="s">
        <v>3138</v>
      </c>
      <c r="C118" t="s">
        <v>3145</v>
      </c>
      <c r="D118">
        <f t="shared" si="1"/>
        <v>1.5</v>
      </c>
      <c r="E118" t="s">
        <v>564</v>
      </c>
      <c r="F118">
        <v>1</v>
      </c>
      <c r="G118" s="19">
        <v>200000</v>
      </c>
      <c r="H118" s="19">
        <v>100000</v>
      </c>
      <c r="I118" t="s">
        <v>564</v>
      </c>
    </row>
    <row r="119" spans="1:9" x14ac:dyDescent="0.25">
      <c r="A119" t="s">
        <v>1147</v>
      </c>
      <c r="B119" t="s">
        <v>3138</v>
      </c>
      <c r="C119" t="s">
        <v>3145</v>
      </c>
      <c r="D119">
        <f t="shared" si="1"/>
        <v>1.2727272727272727</v>
      </c>
      <c r="E119" t="s">
        <v>564</v>
      </c>
      <c r="F119">
        <v>1</v>
      </c>
      <c r="G119" s="19">
        <v>1100000</v>
      </c>
      <c r="H119" s="19">
        <v>300000</v>
      </c>
      <c r="I119" t="s">
        <v>564</v>
      </c>
    </row>
    <row r="120" spans="1:9" x14ac:dyDescent="0.25">
      <c r="A120" t="s">
        <v>1148</v>
      </c>
      <c r="B120" t="s">
        <v>3138</v>
      </c>
      <c r="C120" t="s">
        <v>3145</v>
      </c>
      <c r="D120">
        <f t="shared" si="1"/>
        <v>1.2352941176470589</v>
      </c>
      <c r="E120" t="s">
        <v>564</v>
      </c>
      <c r="F120">
        <v>1</v>
      </c>
      <c r="G120" s="19">
        <v>3400000</v>
      </c>
      <c r="H120" s="19">
        <v>800000</v>
      </c>
      <c r="I120" t="s">
        <v>564</v>
      </c>
    </row>
    <row r="121" spans="1:9" x14ac:dyDescent="0.25">
      <c r="A121" t="s">
        <v>1149</v>
      </c>
      <c r="B121" t="s">
        <v>3138</v>
      </c>
      <c r="C121" t="s">
        <v>3145</v>
      </c>
      <c r="D121">
        <f t="shared" si="1"/>
        <v>1.1724137931034482</v>
      </c>
      <c r="E121" t="s">
        <v>564</v>
      </c>
      <c r="F121">
        <v>1</v>
      </c>
      <c r="G121" s="19">
        <v>2900000</v>
      </c>
      <c r="H121" s="19">
        <v>500000</v>
      </c>
      <c r="I121" t="s">
        <v>564</v>
      </c>
    </row>
    <row r="122" spans="1:9" x14ac:dyDescent="0.25">
      <c r="A122" t="s">
        <v>1150</v>
      </c>
      <c r="B122" t="s">
        <v>3138</v>
      </c>
      <c r="C122" t="s">
        <v>3145</v>
      </c>
      <c r="D122">
        <f t="shared" si="1"/>
        <v>1.0434782608695652</v>
      </c>
      <c r="E122" t="s">
        <v>564</v>
      </c>
      <c r="F122">
        <v>1</v>
      </c>
      <c r="G122" s="19">
        <v>2300000</v>
      </c>
      <c r="H122" s="19">
        <v>100000</v>
      </c>
      <c r="I122" t="s">
        <v>564</v>
      </c>
    </row>
    <row r="123" spans="1:9" x14ac:dyDescent="0.25">
      <c r="A123" t="s">
        <v>1151</v>
      </c>
      <c r="B123" t="s">
        <v>3138</v>
      </c>
      <c r="C123" t="s">
        <v>3145</v>
      </c>
      <c r="D123">
        <f t="shared" si="1"/>
        <v>1.4</v>
      </c>
      <c r="E123" t="s">
        <v>564</v>
      </c>
      <c r="F123">
        <v>1</v>
      </c>
      <c r="G123" s="19">
        <v>500000</v>
      </c>
      <c r="H123" s="19">
        <v>200000</v>
      </c>
      <c r="I123" t="s">
        <v>564</v>
      </c>
    </row>
    <row r="124" spans="1:9" x14ac:dyDescent="0.25">
      <c r="A124" t="s">
        <v>1152</v>
      </c>
      <c r="B124" t="s">
        <v>3138</v>
      </c>
      <c r="C124" t="s">
        <v>3145</v>
      </c>
      <c r="D124">
        <f t="shared" si="1"/>
        <v>1.027027027027027</v>
      </c>
      <c r="E124" t="s">
        <v>564</v>
      </c>
      <c r="F124">
        <v>1</v>
      </c>
      <c r="G124" s="19">
        <v>3700000</v>
      </c>
      <c r="H124" s="19">
        <v>100000</v>
      </c>
      <c r="I124" t="s">
        <v>564</v>
      </c>
    </row>
    <row r="125" spans="1:9" x14ac:dyDescent="0.25">
      <c r="A125" t="s">
        <v>1153</v>
      </c>
      <c r="B125" t="s">
        <v>3138</v>
      </c>
      <c r="C125" t="s">
        <v>3145</v>
      </c>
      <c r="D125">
        <f t="shared" si="1"/>
        <v>1.0116279069767442</v>
      </c>
      <c r="E125" t="s">
        <v>564</v>
      </c>
      <c r="F125">
        <v>1</v>
      </c>
      <c r="G125" s="19">
        <v>8600000</v>
      </c>
      <c r="H125" s="19">
        <v>100000</v>
      </c>
      <c r="I125" t="s">
        <v>564</v>
      </c>
    </row>
    <row r="126" spans="1:9" x14ac:dyDescent="0.25">
      <c r="A126" t="s">
        <v>1154</v>
      </c>
      <c r="B126" t="s">
        <v>3138</v>
      </c>
      <c r="C126" t="s">
        <v>3145</v>
      </c>
      <c r="D126">
        <f t="shared" si="1"/>
        <v>1.1935483870967742</v>
      </c>
      <c r="E126" t="s">
        <v>564</v>
      </c>
      <c r="F126">
        <v>1</v>
      </c>
      <c r="G126" s="19">
        <v>3100000</v>
      </c>
      <c r="H126" s="19">
        <v>600000</v>
      </c>
      <c r="I126" t="s">
        <v>564</v>
      </c>
    </row>
    <row r="127" spans="1:9" x14ac:dyDescent="0.25">
      <c r="A127" t="s">
        <v>1155</v>
      </c>
      <c r="B127" t="s">
        <v>3138</v>
      </c>
      <c r="C127" t="s">
        <v>3145</v>
      </c>
      <c r="D127">
        <f t="shared" si="1"/>
        <v>1.0909090909090908</v>
      </c>
      <c r="E127" t="s">
        <v>564</v>
      </c>
      <c r="F127">
        <v>1</v>
      </c>
      <c r="G127" s="19">
        <v>3300000</v>
      </c>
      <c r="H127" s="19">
        <v>300000</v>
      </c>
      <c r="I127" t="s">
        <v>564</v>
      </c>
    </row>
    <row r="128" spans="1:9" x14ac:dyDescent="0.25">
      <c r="A128" t="s">
        <v>1156</v>
      </c>
      <c r="B128" t="s">
        <v>3138</v>
      </c>
      <c r="C128" t="s">
        <v>3145</v>
      </c>
      <c r="D128">
        <f t="shared" si="1"/>
        <v>1.2</v>
      </c>
      <c r="E128" t="s">
        <v>564</v>
      </c>
      <c r="F128">
        <v>1</v>
      </c>
      <c r="G128" s="19">
        <v>1000000</v>
      </c>
      <c r="H128" s="19">
        <v>200000</v>
      </c>
      <c r="I128" t="s">
        <v>564</v>
      </c>
    </row>
    <row r="129" spans="1:9" x14ac:dyDescent="0.25">
      <c r="A129" t="s">
        <v>1158</v>
      </c>
      <c r="B129" t="s">
        <v>3138</v>
      </c>
      <c r="C129" t="s">
        <v>3145</v>
      </c>
      <c r="D129">
        <f t="shared" si="1"/>
        <v>1.0434782608695652</v>
      </c>
      <c r="E129" t="s">
        <v>564</v>
      </c>
      <c r="F129">
        <v>1</v>
      </c>
      <c r="G129" s="19">
        <v>2300000</v>
      </c>
      <c r="H129" s="19">
        <v>100000</v>
      </c>
      <c r="I129" t="s">
        <v>564</v>
      </c>
    </row>
    <row r="130" spans="1:9" x14ac:dyDescent="0.25">
      <c r="A130" t="s">
        <v>1160</v>
      </c>
      <c r="B130" t="s">
        <v>3138</v>
      </c>
      <c r="C130" t="s">
        <v>3145</v>
      </c>
      <c r="D130">
        <f t="shared" si="1"/>
        <v>2</v>
      </c>
      <c r="E130" t="s">
        <v>15</v>
      </c>
      <c r="F130">
        <v>1</v>
      </c>
      <c r="G130" s="19">
        <v>100000</v>
      </c>
      <c r="H130" s="19">
        <v>100000</v>
      </c>
      <c r="I130" t="s">
        <v>15</v>
      </c>
    </row>
    <row r="131" spans="1:9" x14ac:dyDescent="0.25">
      <c r="A131" t="s">
        <v>1162</v>
      </c>
      <c r="B131" t="s">
        <v>3138</v>
      </c>
      <c r="C131" t="s">
        <v>3145</v>
      </c>
      <c r="D131">
        <f t="shared" ref="D131:D194" si="2">(G131+H131)/G131</f>
        <v>2</v>
      </c>
      <c r="E131" t="s">
        <v>564</v>
      </c>
      <c r="F131">
        <v>1</v>
      </c>
      <c r="G131" s="19">
        <v>100000</v>
      </c>
      <c r="H131" s="19">
        <v>100000</v>
      </c>
      <c r="I131" t="s">
        <v>564</v>
      </c>
    </row>
    <row r="132" spans="1:9" x14ac:dyDescent="0.25">
      <c r="A132" t="s">
        <v>1164</v>
      </c>
      <c r="B132" t="s">
        <v>3138</v>
      </c>
      <c r="C132" t="s">
        <v>3145</v>
      </c>
      <c r="D132">
        <f t="shared" si="2"/>
        <v>1.3333333333333333</v>
      </c>
      <c r="E132" t="s">
        <v>15</v>
      </c>
      <c r="F132">
        <v>1</v>
      </c>
      <c r="G132" s="19">
        <v>300000</v>
      </c>
      <c r="H132" s="19">
        <v>100000</v>
      </c>
      <c r="I132" t="s">
        <v>15</v>
      </c>
    </row>
    <row r="133" spans="1:9" x14ac:dyDescent="0.25">
      <c r="A133" t="s">
        <v>1166</v>
      </c>
      <c r="B133" t="s">
        <v>3138</v>
      </c>
      <c r="C133" t="s">
        <v>3145</v>
      </c>
      <c r="D133">
        <f t="shared" si="2"/>
        <v>1.25</v>
      </c>
      <c r="E133" t="s">
        <v>564</v>
      </c>
      <c r="F133">
        <v>1</v>
      </c>
      <c r="G133" s="19">
        <v>2400000</v>
      </c>
      <c r="H133" s="19">
        <v>600000</v>
      </c>
      <c r="I133" t="s">
        <v>564</v>
      </c>
    </row>
    <row r="134" spans="1:9" x14ac:dyDescent="0.25">
      <c r="A134" t="s">
        <v>1168</v>
      </c>
      <c r="B134" t="s">
        <v>3138</v>
      </c>
      <c r="C134" t="s">
        <v>3145</v>
      </c>
      <c r="D134">
        <f t="shared" si="2"/>
        <v>1.25</v>
      </c>
      <c r="E134" t="s">
        <v>564</v>
      </c>
      <c r="F134">
        <v>1</v>
      </c>
      <c r="G134" s="19">
        <v>800000</v>
      </c>
      <c r="H134" s="19">
        <v>200000</v>
      </c>
      <c r="I134" t="s">
        <v>564</v>
      </c>
    </row>
    <row r="135" spans="1:9" x14ac:dyDescent="0.25">
      <c r="A135" t="s">
        <v>1170</v>
      </c>
      <c r="B135" t="s">
        <v>3138</v>
      </c>
      <c r="C135" t="s">
        <v>3145</v>
      </c>
      <c r="D135">
        <f t="shared" si="2"/>
        <v>1.1578341013824884</v>
      </c>
      <c r="E135" t="s">
        <v>550</v>
      </c>
      <c r="F135">
        <v>1</v>
      </c>
      <c r="G135" s="19">
        <v>86800000</v>
      </c>
      <c r="H135" s="19">
        <v>13700000</v>
      </c>
      <c r="I135" t="s">
        <v>13</v>
      </c>
    </row>
    <row r="136" spans="1:9" x14ac:dyDescent="0.25">
      <c r="A136" t="s">
        <v>1172</v>
      </c>
      <c r="B136" t="s">
        <v>3138</v>
      </c>
      <c r="C136" t="s">
        <v>3145</v>
      </c>
      <c r="D136">
        <f t="shared" si="2"/>
        <v>1.0833333333333333</v>
      </c>
      <c r="E136" t="s">
        <v>564</v>
      </c>
      <c r="F136">
        <v>1</v>
      </c>
      <c r="G136" s="19">
        <v>7200000</v>
      </c>
      <c r="H136" s="19">
        <v>600000</v>
      </c>
      <c r="I136" t="s">
        <v>564</v>
      </c>
    </row>
    <row r="137" spans="1:9" x14ac:dyDescent="0.25">
      <c r="A137" t="s">
        <v>1174</v>
      </c>
      <c r="B137" t="s">
        <v>3138</v>
      </c>
      <c r="C137" t="s">
        <v>3145</v>
      </c>
      <c r="D137">
        <f t="shared" si="2"/>
        <v>1.5</v>
      </c>
      <c r="E137" t="s">
        <v>637</v>
      </c>
      <c r="F137">
        <v>1</v>
      </c>
      <c r="G137" s="19">
        <v>200000</v>
      </c>
      <c r="H137" s="19">
        <v>100000</v>
      </c>
      <c r="I137" t="s">
        <v>13</v>
      </c>
    </row>
    <row r="138" spans="1:9" x14ac:dyDescent="0.25">
      <c r="A138" t="s">
        <v>1176</v>
      </c>
      <c r="B138" t="s">
        <v>3138</v>
      </c>
      <c r="C138" t="s">
        <v>3145</v>
      </c>
      <c r="D138">
        <f t="shared" si="2"/>
        <v>1.5</v>
      </c>
      <c r="E138" t="s">
        <v>564</v>
      </c>
      <c r="F138">
        <v>1</v>
      </c>
      <c r="G138" s="19">
        <v>200000</v>
      </c>
      <c r="H138" s="19">
        <v>100000</v>
      </c>
      <c r="I138" t="s">
        <v>564</v>
      </c>
    </row>
    <row r="139" spans="1:9" x14ac:dyDescent="0.25">
      <c r="A139" t="s">
        <v>1177</v>
      </c>
      <c r="B139" t="s">
        <v>3138</v>
      </c>
      <c r="C139" t="s">
        <v>3145</v>
      </c>
      <c r="D139">
        <f t="shared" si="2"/>
        <v>1.0625</v>
      </c>
      <c r="E139" t="s">
        <v>607</v>
      </c>
      <c r="F139">
        <v>1</v>
      </c>
      <c r="G139" s="19">
        <v>1600000</v>
      </c>
      <c r="H139" s="19">
        <v>100000</v>
      </c>
      <c r="I139" t="s">
        <v>13</v>
      </c>
    </row>
    <row r="140" spans="1:9" x14ac:dyDescent="0.25">
      <c r="A140" t="s">
        <v>1179</v>
      </c>
      <c r="B140" t="s">
        <v>3138</v>
      </c>
      <c r="C140" t="s">
        <v>3145</v>
      </c>
      <c r="D140">
        <f t="shared" si="2"/>
        <v>1.1724137931034482</v>
      </c>
      <c r="E140" t="s">
        <v>564</v>
      </c>
      <c r="F140">
        <v>1</v>
      </c>
      <c r="G140" s="19">
        <v>2900000</v>
      </c>
      <c r="H140" s="19">
        <v>500000</v>
      </c>
      <c r="I140" t="s">
        <v>564</v>
      </c>
    </row>
    <row r="141" spans="1:9" x14ac:dyDescent="0.25">
      <c r="A141" t="s">
        <v>1180</v>
      </c>
      <c r="B141" t="s">
        <v>3138</v>
      </c>
      <c r="C141" t="s">
        <v>3145</v>
      </c>
      <c r="D141">
        <f t="shared" si="2"/>
        <v>1.2857142857142858</v>
      </c>
      <c r="E141" t="s">
        <v>564</v>
      </c>
      <c r="F141">
        <v>1</v>
      </c>
      <c r="G141" s="19">
        <v>700000</v>
      </c>
      <c r="H141" s="19">
        <v>200000</v>
      </c>
      <c r="I141" t="s">
        <v>564</v>
      </c>
    </row>
    <row r="142" spans="1:9" x14ac:dyDescent="0.25">
      <c r="A142" t="s">
        <v>1181</v>
      </c>
      <c r="B142" t="s">
        <v>3138</v>
      </c>
      <c r="C142" t="s">
        <v>3145</v>
      </c>
      <c r="D142">
        <f t="shared" si="2"/>
        <v>1.1935483870967742</v>
      </c>
      <c r="E142" t="s">
        <v>564</v>
      </c>
      <c r="F142">
        <v>1</v>
      </c>
      <c r="G142" s="19">
        <v>3100000</v>
      </c>
      <c r="H142" s="19">
        <v>600000</v>
      </c>
      <c r="I142" t="s">
        <v>564</v>
      </c>
    </row>
    <row r="143" spans="1:9" x14ac:dyDescent="0.25">
      <c r="A143" t="s">
        <v>1183</v>
      </c>
      <c r="B143" t="s">
        <v>3138</v>
      </c>
      <c r="C143" t="s">
        <v>3145</v>
      </c>
      <c r="D143">
        <f t="shared" si="2"/>
        <v>1.0714285714285714</v>
      </c>
      <c r="E143" t="s">
        <v>564</v>
      </c>
      <c r="F143">
        <v>1</v>
      </c>
      <c r="G143" s="19">
        <v>1400000</v>
      </c>
      <c r="H143" s="19">
        <v>100000</v>
      </c>
      <c r="I143" t="s">
        <v>564</v>
      </c>
    </row>
    <row r="144" spans="1:9" x14ac:dyDescent="0.25">
      <c r="A144" t="s">
        <v>1185</v>
      </c>
      <c r="B144" t="s">
        <v>3138</v>
      </c>
      <c r="C144" t="s">
        <v>3145</v>
      </c>
      <c r="D144">
        <f t="shared" si="2"/>
        <v>1.0285714285714285</v>
      </c>
      <c r="E144" t="s">
        <v>564</v>
      </c>
      <c r="F144">
        <v>1</v>
      </c>
      <c r="G144" s="19">
        <v>3500000</v>
      </c>
      <c r="H144" s="19">
        <v>100000</v>
      </c>
      <c r="I144" t="s">
        <v>564</v>
      </c>
    </row>
    <row r="145" spans="1:9" x14ac:dyDescent="0.25">
      <c r="A145" t="s">
        <v>1187</v>
      </c>
      <c r="B145" t="s">
        <v>3138</v>
      </c>
      <c r="C145" t="s">
        <v>3145</v>
      </c>
      <c r="D145">
        <f t="shared" si="2"/>
        <v>1.25</v>
      </c>
      <c r="E145" t="s">
        <v>564</v>
      </c>
      <c r="F145">
        <v>1</v>
      </c>
      <c r="G145" s="19">
        <v>400000</v>
      </c>
      <c r="H145" s="19">
        <v>100000</v>
      </c>
      <c r="I145" t="s">
        <v>564</v>
      </c>
    </row>
    <row r="146" spans="1:9" x14ac:dyDescent="0.25">
      <c r="A146" t="s">
        <v>1188</v>
      </c>
      <c r="B146" t="s">
        <v>3138</v>
      </c>
      <c r="C146" t="s">
        <v>3145</v>
      </c>
      <c r="D146">
        <f t="shared" si="2"/>
        <v>1.2162162162162162</v>
      </c>
      <c r="E146" t="s">
        <v>564</v>
      </c>
      <c r="F146">
        <v>1</v>
      </c>
      <c r="G146" s="19">
        <v>144300000</v>
      </c>
      <c r="H146" s="19">
        <v>31200000</v>
      </c>
      <c r="I146" t="s">
        <v>564</v>
      </c>
    </row>
    <row r="147" spans="1:9" x14ac:dyDescent="0.25">
      <c r="A147" t="s">
        <v>1190</v>
      </c>
      <c r="B147" t="s">
        <v>3138</v>
      </c>
      <c r="C147" t="s">
        <v>3145</v>
      </c>
      <c r="D147">
        <f t="shared" si="2"/>
        <v>2</v>
      </c>
      <c r="E147" t="s">
        <v>564</v>
      </c>
      <c r="F147">
        <v>1</v>
      </c>
      <c r="G147" s="19">
        <v>100000</v>
      </c>
      <c r="H147" s="19">
        <v>100000</v>
      </c>
      <c r="I147" t="s">
        <v>564</v>
      </c>
    </row>
    <row r="148" spans="1:9" x14ac:dyDescent="0.25">
      <c r="A148" t="s">
        <v>1191</v>
      </c>
      <c r="B148" t="s">
        <v>3138</v>
      </c>
      <c r="C148" t="s">
        <v>3145</v>
      </c>
      <c r="D148">
        <f t="shared" si="2"/>
        <v>1.0285714285714285</v>
      </c>
      <c r="E148" t="s">
        <v>564</v>
      </c>
      <c r="F148">
        <v>1</v>
      </c>
      <c r="G148" s="19">
        <v>3500000</v>
      </c>
      <c r="H148" s="19">
        <v>100000</v>
      </c>
      <c r="I148" t="s">
        <v>564</v>
      </c>
    </row>
    <row r="149" spans="1:9" x14ac:dyDescent="0.25">
      <c r="A149" t="s">
        <v>1193</v>
      </c>
      <c r="B149" t="s">
        <v>3138</v>
      </c>
      <c r="C149" t="s">
        <v>3145</v>
      </c>
      <c r="D149">
        <f t="shared" si="2"/>
        <v>1.1666666666666667</v>
      </c>
      <c r="E149" t="s">
        <v>564</v>
      </c>
      <c r="F149">
        <v>1</v>
      </c>
      <c r="G149" s="19">
        <v>600000</v>
      </c>
      <c r="H149" s="19">
        <v>100000</v>
      </c>
      <c r="I149" t="s">
        <v>564</v>
      </c>
    </row>
    <row r="150" spans="1:9" x14ac:dyDescent="0.25">
      <c r="A150" t="s">
        <v>1194</v>
      </c>
      <c r="B150" t="s">
        <v>3138</v>
      </c>
      <c r="C150" t="s">
        <v>3145</v>
      </c>
      <c r="D150">
        <f t="shared" si="2"/>
        <v>1.2857142857142858</v>
      </c>
      <c r="E150" t="s">
        <v>564</v>
      </c>
      <c r="F150">
        <v>1</v>
      </c>
      <c r="G150" s="19">
        <v>2100000</v>
      </c>
      <c r="H150" s="19">
        <v>600000</v>
      </c>
      <c r="I150" t="s">
        <v>564</v>
      </c>
    </row>
    <row r="151" spans="1:9" x14ac:dyDescent="0.25">
      <c r="A151" t="s">
        <v>1196</v>
      </c>
      <c r="B151" t="s">
        <v>3138</v>
      </c>
      <c r="C151" t="s">
        <v>3145</v>
      </c>
      <c r="D151">
        <f t="shared" si="2"/>
        <v>2</v>
      </c>
      <c r="E151" t="s">
        <v>607</v>
      </c>
      <c r="F151">
        <v>1</v>
      </c>
      <c r="G151" s="19">
        <v>100000</v>
      </c>
      <c r="H151" s="19">
        <v>100000</v>
      </c>
      <c r="I151" t="s">
        <v>13</v>
      </c>
    </row>
    <row r="152" spans="1:9" x14ac:dyDescent="0.25">
      <c r="A152" t="s">
        <v>1197</v>
      </c>
      <c r="B152" t="s">
        <v>3138</v>
      </c>
      <c r="C152" t="s">
        <v>3145</v>
      </c>
      <c r="D152">
        <f t="shared" si="2"/>
        <v>1.125</v>
      </c>
      <c r="E152" t="s">
        <v>564</v>
      </c>
      <c r="F152">
        <v>1</v>
      </c>
      <c r="G152" s="19">
        <v>800000</v>
      </c>
      <c r="H152" s="19">
        <v>100000</v>
      </c>
      <c r="I152" t="s">
        <v>564</v>
      </c>
    </row>
    <row r="153" spans="1:9" x14ac:dyDescent="0.25">
      <c r="A153" t="s">
        <v>1198</v>
      </c>
      <c r="B153" t="s">
        <v>3138</v>
      </c>
      <c r="C153" t="s">
        <v>3145</v>
      </c>
      <c r="D153">
        <f t="shared" si="2"/>
        <v>1.1086956521739131</v>
      </c>
      <c r="E153" t="s">
        <v>15</v>
      </c>
      <c r="F153">
        <v>1</v>
      </c>
      <c r="G153" s="19">
        <v>4600000</v>
      </c>
      <c r="H153" s="19">
        <v>500000</v>
      </c>
      <c r="I153" t="s">
        <v>15</v>
      </c>
    </row>
    <row r="154" spans="1:9" x14ac:dyDescent="0.25">
      <c r="A154" t="s">
        <v>1198</v>
      </c>
      <c r="B154" t="s">
        <v>3138</v>
      </c>
      <c r="C154" t="s">
        <v>3145</v>
      </c>
      <c r="D154">
        <f t="shared" si="2"/>
        <v>1.2</v>
      </c>
      <c r="E154" t="s">
        <v>564</v>
      </c>
      <c r="F154">
        <v>1</v>
      </c>
      <c r="G154" s="19">
        <v>500000</v>
      </c>
      <c r="H154" s="19">
        <v>100000</v>
      </c>
      <c r="I154" t="s">
        <v>564</v>
      </c>
    </row>
    <row r="155" spans="1:9" x14ac:dyDescent="0.25">
      <c r="A155" t="s">
        <v>1200</v>
      </c>
      <c r="B155" t="s">
        <v>3138</v>
      </c>
      <c r="C155" t="s">
        <v>3145</v>
      </c>
      <c r="D155">
        <f t="shared" si="2"/>
        <v>1.5</v>
      </c>
      <c r="E155" t="s">
        <v>564</v>
      </c>
      <c r="F155">
        <v>1</v>
      </c>
      <c r="G155" s="19">
        <v>200000</v>
      </c>
      <c r="H155" s="19">
        <v>100000</v>
      </c>
      <c r="I155" t="s">
        <v>564</v>
      </c>
    </row>
    <row r="156" spans="1:9" x14ac:dyDescent="0.25">
      <c r="A156" t="s">
        <v>1201</v>
      </c>
      <c r="B156" t="s">
        <v>3138</v>
      </c>
      <c r="C156" t="s">
        <v>3145</v>
      </c>
      <c r="D156">
        <f t="shared" si="2"/>
        <v>2</v>
      </c>
      <c r="E156" t="s">
        <v>595</v>
      </c>
      <c r="F156">
        <v>1</v>
      </c>
      <c r="G156" s="19">
        <v>100000</v>
      </c>
      <c r="H156" s="19">
        <v>100000</v>
      </c>
      <c r="I156" t="s">
        <v>13</v>
      </c>
    </row>
    <row r="157" spans="1:9" x14ac:dyDescent="0.25">
      <c r="A157" t="s">
        <v>1202</v>
      </c>
      <c r="B157" t="s">
        <v>3138</v>
      </c>
      <c r="C157" t="s">
        <v>3145</v>
      </c>
      <c r="D157">
        <f t="shared" si="2"/>
        <v>1.0393700787401574</v>
      </c>
      <c r="E157" t="s">
        <v>564</v>
      </c>
      <c r="F157">
        <v>1</v>
      </c>
      <c r="G157" s="19">
        <v>12700000</v>
      </c>
      <c r="H157" s="19">
        <v>500000</v>
      </c>
      <c r="I157" t="s">
        <v>564</v>
      </c>
    </row>
    <row r="158" spans="1:9" x14ac:dyDescent="0.25">
      <c r="A158" t="s">
        <v>1203</v>
      </c>
      <c r="B158" t="s">
        <v>3138</v>
      </c>
      <c r="C158" t="s">
        <v>3145</v>
      </c>
      <c r="D158">
        <f t="shared" si="2"/>
        <v>1.0222222222222221</v>
      </c>
      <c r="E158" t="s">
        <v>564</v>
      </c>
      <c r="F158">
        <v>1</v>
      </c>
      <c r="G158" s="19">
        <v>4500000</v>
      </c>
      <c r="H158" s="19">
        <v>100000</v>
      </c>
      <c r="I158" t="s">
        <v>564</v>
      </c>
    </row>
    <row r="159" spans="1:9" x14ac:dyDescent="0.25">
      <c r="A159" t="s">
        <v>1204</v>
      </c>
      <c r="B159" t="s">
        <v>3138</v>
      </c>
      <c r="C159" t="s">
        <v>3145</v>
      </c>
      <c r="D159">
        <f t="shared" si="2"/>
        <v>1.0810810810810811</v>
      </c>
      <c r="E159" t="s">
        <v>564</v>
      </c>
      <c r="F159">
        <v>1</v>
      </c>
      <c r="G159" s="19">
        <v>7400000</v>
      </c>
      <c r="H159" s="19">
        <v>600000</v>
      </c>
      <c r="I159" t="s">
        <v>564</v>
      </c>
    </row>
    <row r="160" spans="1:9" x14ac:dyDescent="0.25">
      <c r="A160" t="s">
        <v>1206</v>
      </c>
      <c r="B160" t="s">
        <v>3138</v>
      </c>
      <c r="C160" t="s">
        <v>3145</v>
      </c>
      <c r="D160">
        <f t="shared" si="2"/>
        <v>1.4</v>
      </c>
      <c r="E160" t="s">
        <v>564</v>
      </c>
      <c r="F160">
        <v>1</v>
      </c>
      <c r="G160" s="19">
        <v>1000000</v>
      </c>
      <c r="H160" s="19">
        <v>400000</v>
      </c>
      <c r="I160" t="s">
        <v>564</v>
      </c>
    </row>
    <row r="161" spans="1:9" x14ac:dyDescent="0.25">
      <c r="A161" t="s">
        <v>1208</v>
      </c>
      <c r="B161" t="s">
        <v>3138</v>
      </c>
      <c r="C161" t="s">
        <v>3145</v>
      </c>
      <c r="D161">
        <f t="shared" si="2"/>
        <v>1.3333333333333333</v>
      </c>
      <c r="E161" t="s">
        <v>564</v>
      </c>
      <c r="F161">
        <v>1</v>
      </c>
      <c r="G161" s="19">
        <v>900000</v>
      </c>
      <c r="H161" s="19">
        <v>300000</v>
      </c>
      <c r="I161" t="s">
        <v>564</v>
      </c>
    </row>
    <row r="162" spans="1:9" x14ac:dyDescent="0.25">
      <c r="A162" t="s">
        <v>1210</v>
      </c>
      <c r="B162" t="s">
        <v>3138</v>
      </c>
      <c r="C162" t="s">
        <v>3145</v>
      </c>
      <c r="D162">
        <f t="shared" si="2"/>
        <v>2</v>
      </c>
      <c r="E162" t="s">
        <v>532</v>
      </c>
      <c r="F162">
        <v>1</v>
      </c>
      <c r="G162" s="19">
        <v>100000</v>
      </c>
      <c r="H162" s="19">
        <v>100000</v>
      </c>
      <c r="I162" t="s">
        <v>481</v>
      </c>
    </row>
    <row r="163" spans="1:9" x14ac:dyDescent="0.25">
      <c r="A163" t="s">
        <v>1212</v>
      </c>
      <c r="B163" t="s">
        <v>3138</v>
      </c>
      <c r="C163" t="s">
        <v>3145</v>
      </c>
      <c r="D163">
        <f t="shared" si="2"/>
        <v>1.6666666666666667</v>
      </c>
      <c r="E163" t="s">
        <v>550</v>
      </c>
      <c r="F163">
        <v>1</v>
      </c>
      <c r="G163" s="19">
        <v>1500000</v>
      </c>
      <c r="H163" s="19">
        <v>1000000</v>
      </c>
      <c r="I163" t="s">
        <v>13</v>
      </c>
    </row>
    <row r="164" spans="1:9" x14ac:dyDescent="0.25">
      <c r="A164" t="s">
        <v>1212</v>
      </c>
      <c r="B164" t="s">
        <v>3138</v>
      </c>
      <c r="C164" t="s">
        <v>3145</v>
      </c>
      <c r="D164">
        <f t="shared" si="2"/>
        <v>1.7142857142857142</v>
      </c>
      <c r="E164" t="s">
        <v>598</v>
      </c>
      <c r="F164">
        <v>1</v>
      </c>
      <c r="G164" s="19">
        <v>700000</v>
      </c>
      <c r="H164" s="19">
        <v>500000</v>
      </c>
      <c r="I164" t="s">
        <v>13</v>
      </c>
    </row>
    <row r="165" spans="1:9" x14ac:dyDescent="0.25">
      <c r="A165" t="s">
        <v>1212</v>
      </c>
      <c r="B165" t="s">
        <v>3138</v>
      </c>
      <c r="C165" t="s">
        <v>3145</v>
      </c>
      <c r="D165">
        <f t="shared" si="2"/>
        <v>1.3</v>
      </c>
      <c r="E165" t="s">
        <v>695</v>
      </c>
      <c r="F165">
        <v>1</v>
      </c>
      <c r="G165" s="19">
        <v>1000000</v>
      </c>
      <c r="H165" s="19">
        <v>300000</v>
      </c>
      <c r="I165" t="s">
        <v>13</v>
      </c>
    </row>
    <row r="166" spans="1:9" x14ac:dyDescent="0.25">
      <c r="A166" t="s">
        <v>1214</v>
      </c>
      <c r="B166" t="s">
        <v>3138</v>
      </c>
      <c r="C166" t="s">
        <v>3145</v>
      </c>
      <c r="D166">
        <f t="shared" si="2"/>
        <v>1.2666666666666666</v>
      </c>
      <c r="E166" t="s">
        <v>564</v>
      </c>
      <c r="F166">
        <v>1</v>
      </c>
      <c r="G166" s="19">
        <v>1500000</v>
      </c>
      <c r="H166" s="19">
        <v>400000</v>
      </c>
      <c r="I166" t="s">
        <v>564</v>
      </c>
    </row>
    <row r="167" spans="1:9" x14ac:dyDescent="0.25">
      <c r="A167" t="s">
        <v>1215</v>
      </c>
      <c r="B167" t="s">
        <v>3138</v>
      </c>
      <c r="C167" t="s">
        <v>3145</v>
      </c>
      <c r="D167">
        <f t="shared" si="2"/>
        <v>1.3076923076923077</v>
      </c>
      <c r="E167" t="s">
        <v>564</v>
      </c>
      <c r="F167">
        <v>1</v>
      </c>
      <c r="G167" s="19">
        <v>5200000</v>
      </c>
      <c r="H167" s="19">
        <v>1600000</v>
      </c>
      <c r="I167" t="s">
        <v>564</v>
      </c>
    </row>
    <row r="168" spans="1:9" x14ac:dyDescent="0.25">
      <c r="A168" t="s">
        <v>1216</v>
      </c>
      <c r="B168" t="s">
        <v>3138</v>
      </c>
      <c r="C168" t="s">
        <v>3145</v>
      </c>
      <c r="D168">
        <f t="shared" si="2"/>
        <v>1.4761904761904763</v>
      </c>
      <c r="E168" t="s">
        <v>564</v>
      </c>
      <c r="F168">
        <v>1</v>
      </c>
      <c r="G168" s="19">
        <v>2100000</v>
      </c>
      <c r="H168" s="19">
        <v>1000000</v>
      </c>
      <c r="I168" t="s">
        <v>564</v>
      </c>
    </row>
    <row r="169" spans="1:9" x14ac:dyDescent="0.25">
      <c r="A169" t="s">
        <v>1218</v>
      </c>
      <c r="B169" t="s">
        <v>3138</v>
      </c>
      <c r="C169" t="s">
        <v>3145</v>
      </c>
      <c r="D169">
        <f t="shared" si="2"/>
        <v>1.2586206896551724</v>
      </c>
      <c r="E169" t="s">
        <v>564</v>
      </c>
      <c r="F169">
        <v>1</v>
      </c>
      <c r="G169" s="19">
        <v>5800000</v>
      </c>
      <c r="H169" s="19">
        <v>1500000</v>
      </c>
      <c r="I169" t="s">
        <v>564</v>
      </c>
    </row>
    <row r="170" spans="1:9" x14ac:dyDescent="0.25">
      <c r="A170" t="s">
        <v>1219</v>
      </c>
      <c r="B170" t="s">
        <v>3138</v>
      </c>
      <c r="C170" t="s">
        <v>3145</v>
      </c>
      <c r="D170">
        <f t="shared" si="2"/>
        <v>1.5813953488372092</v>
      </c>
      <c r="E170" t="s">
        <v>564</v>
      </c>
      <c r="F170">
        <v>1</v>
      </c>
      <c r="G170" s="19">
        <v>4300000</v>
      </c>
      <c r="H170" s="19">
        <v>2500000</v>
      </c>
      <c r="I170" t="s">
        <v>564</v>
      </c>
    </row>
    <row r="171" spans="1:9" x14ac:dyDescent="0.25">
      <c r="A171" t="s">
        <v>1220</v>
      </c>
      <c r="B171" t="s">
        <v>3138</v>
      </c>
      <c r="C171" t="s">
        <v>3145</v>
      </c>
      <c r="D171">
        <f t="shared" si="2"/>
        <v>1.3333333333333333</v>
      </c>
      <c r="E171" t="s">
        <v>564</v>
      </c>
      <c r="F171">
        <v>1</v>
      </c>
      <c r="G171" s="19">
        <v>300000</v>
      </c>
      <c r="H171" s="19">
        <v>100000</v>
      </c>
      <c r="I171" t="s">
        <v>564</v>
      </c>
    </row>
    <row r="172" spans="1:9" x14ac:dyDescent="0.25">
      <c r="A172" t="s">
        <v>1222</v>
      </c>
      <c r="B172" t="s">
        <v>3138</v>
      </c>
      <c r="C172" t="s">
        <v>3145</v>
      </c>
      <c r="D172">
        <f t="shared" si="2"/>
        <v>1.6923076923076923</v>
      </c>
      <c r="E172" t="s">
        <v>564</v>
      </c>
      <c r="F172">
        <v>1</v>
      </c>
      <c r="G172" s="19">
        <v>1300000</v>
      </c>
      <c r="H172" s="19">
        <v>900000</v>
      </c>
      <c r="I172" t="s">
        <v>564</v>
      </c>
    </row>
    <row r="173" spans="1:9" x14ac:dyDescent="0.25">
      <c r="A173" t="s">
        <v>1224</v>
      </c>
      <c r="B173" t="s">
        <v>3138</v>
      </c>
      <c r="C173" t="s">
        <v>3145</v>
      </c>
      <c r="D173">
        <f t="shared" si="2"/>
        <v>1.3333333333333333</v>
      </c>
      <c r="E173" t="s">
        <v>564</v>
      </c>
      <c r="F173">
        <v>1</v>
      </c>
      <c r="G173" s="19">
        <v>1200000</v>
      </c>
      <c r="H173" s="19">
        <v>400000</v>
      </c>
      <c r="I173" t="s">
        <v>564</v>
      </c>
    </row>
    <row r="174" spans="1:9" x14ac:dyDescent="0.25">
      <c r="A174" t="s">
        <v>1225</v>
      </c>
      <c r="B174" t="s">
        <v>3138</v>
      </c>
      <c r="C174" t="s">
        <v>3145</v>
      </c>
      <c r="D174">
        <f t="shared" si="2"/>
        <v>1.3636363636363635</v>
      </c>
      <c r="E174" t="s">
        <v>564</v>
      </c>
      <c r="F174">
        <v>1</v>
      </c>
      <c r="G174" s="19">
        <v>1100000</v>
      </c>
      <c r="H174" s="19">
        <v>400000</v>
      </c>
      <c r="I174" t="s">
        <v>564</v>
      </c>
    </row>
    <row r="175" spans="1:9" x14ac:dyDescent="0.25">
      <c r="A175" t="s">
        <v>1226</v>
      </c>
      <c r="B175" t="s">
        <v>3138</v>
      </c>
      <c r="C175" t="s">
        <v>3145</v>
      </c>
      <c r="D175">
        <f t="shared" si="2"/>
        <v>1.4</v>
      </c>
      <c r="E175" t="s">
        <v>564</v>
      </c>
      <c r="F175">
        <v>1</v>
      </c>
      <c r="G175" s="19">
        <v>2000000</v>
      </c>
      <c r="H175" s="19">
        <v>800000</v>
      </c>
      <c r="I175" t="s">
        <v>564</v>
      </c>
    </row>
    <row r="176" spans="1:9" x14ac:dyDescent="0.25">
      <c r="A176" t="s">
        <v>1227</v>
      </c>
      <c r="B176" t="s">
        <v>3138</v>
      </c>
      <c r="C176" t="s">
        <v>3145</v>
      </c>
      <c r="D176">
        <f t="shared" si="2"/>
        <v>2</v>
      </c>
      <c r="E176" t="s">
        <v>15</v>
      </c>
      <c r="F176">
        <v>1</v>
      </c>
      <c r="G176" s="19">
        <v>100000</v>
      </c>
      <c r="H176" s="19">
        <v>100000</v>
      </c>
      <c r="I176" t="s">
        <v>15</v>
      </c>
    </row>
    <row r="177" spans="1:9" x14ac:dyDescent="0.25">
      <c r="A177" t="s">
        <v>1229</v>
      </c>
      <c r="B177" t="s">
        <v>3138</v>
      </c>
      <c r="C177" t="s">
        <v>3145</v>
      </c>
      <c r="D177">
        <f t="shared" si="2"/>
        <v>1.4146341463414633</v>
      </c>
      <c r="E177" t="s">
        <v>564</v>
      </c>
      <c r="F177">
        <v>1</v>
      </c>
      <c r="G177" s="19">
        <v>4100000</v>
      </c>
      <c r="H177" s="19">
        <v>1700000</v>
      </c>
      <c r="I177" t="s">
        <v>564</v>
      </c>
    </row>
    <row r="178" spans="1:9" x14ac:dyDescent="0.25">
      <c r="A178" t="s">
        <v>1231</v>
      </c>
      <c r="B178" t="s">
        <v>3138</v>
      </c>
      <c r="C178" t="s">
        <v>3145</v>
      </c>
      <c r="D178">
        <f t="shared" si="2"/>
        <v>1.4615384615384615</v>
      </c>
      <c r="E178" t="s">
        <v>564</v>
      </c>
      <c r="F178">
        <v>1</v>
      </c>
      <c r="G178" s="19">
        <v>2600000</v>
      </c>
      <c r="H178" s="19">
        <v>1200000</v>
      </c>
      <c r="I178" t="s">
        <v>564</v>
      </c>
    </row>
    <row r="179" spans="1:9" x14ac:dyDescent="0.25">
      <c r="A179" t="s">
        <v>1233</v>
      </c>
      <c r="B179" t="s">
        <v>3138</v>
      </c>
      <c r="C179" t="s">
        <v>3145</v>
      </c>
      <c r="D179">
        <f t="shared" si="2"/>
        <v>1.6666666666666667</v>
      </c>
      <c r="E179" t="s">
        <v>564</v>
      </c>
      <c r="F179">
        <v>1</v>
      </c>
      <c r="G179" s="19">
        <v>300000</v>
      </c>
      <c r="H179" s="19">
        <v>200000</v>
      </c>
      <c r="I179" t="s">
        <v>564</v>
      </c>
    </row>
    <row r="180" spans="1:9" x14ac:dyDescent="0.25">
      <c r="A180" t="s">
        <v>1235</v>
      </c>
      <c r="B180" t="s">
        <v>3138</v>
      </c>
      <c r="C180" t="s">
        <v>3145</v>
      </c>
      <c r="D180">
        <f t="shared" si="2"/>
        <v>1.5405405405405406</v>
      </c>
      <c r="E180" t="s">
        <v>532</v>
      </c>
      <c r="F180">
        <v>1</v>
      </c>
      <c r="G180" s="19">
        <v>3700000</v>
      </c>
      <c r="H180" s="19">
        <v>2000000</v>
      </c>
      <c r="I180" t="s">
        <v>481</v>
      </c>
    </row>
    <row r="181" spans="1:9" x14ac:dyDescent="0.25">
      <c r="A181" t="s">
        <v>1237</v>
      </c>
      <c r="B181" t="s">
        <v>3138</v>
      </c>
      <c r="C181" t="s">
        <v>3145</v>
      </c>
      <c r="D181">
        <f t="shared" si="2"/>
        <v>1.361391694725028</v>
      </c>
      <c r="E181" t="s">
        <v>564</v>
      </c>
      <c r="F181">
        <v>1</v>
      </c>
      <c r="G181" s="19">
        <v>178200000</v>
      </c>
      <c r="H181" s="19">
        <v>64400000</v>
      </c>
      <c r="I181" t="s">
        <v>564</v>
      </c>
    </row>
    <row r="182" spans="1:9" x14ac:dyDescent="0.25">
      <c r="A182" t="s">
        <v>1239</v>
      </c>
      <c r="B182" t="s">
        <v>3138</v>
      </c>
      <c r="C182" t="s">
        <v>3145</v>
      </c>
      <c r="D182">
        <f t="shared" si="2"/>
        <v>1.625</v>
      </c>
      <c r="E182" t="s">
        <v>564</v>
      </c>
      <c r="F182">
        <v>1</v>
      </c>
      <c r="G182" s="19">
        <v>1600000</v>
      </c>
      <c r="H182" s="19">
        <v>1000000</v>
      </c>
      <c r="I182" t="s">
        <v>564</v>
      </c>
    </row>
    <row r="183" spans="1:9" x14ac:dyDescent="0.25">
      <c r="A183" t="s">
        <v>1241</v>
      </c>
      <c r="B183" t="s">
        <v>3138</v>
      </c>
      <c r="C183" t="s">
        <v>3145</v>
      </c>
      <c r="D183">
        <f t="shared" si="2"/>
        <v>1.4285714285714286</v>
      </c>
      <c r="E183" t="s">
        <v>564</v>
      </c>
      <c r="F183">
        <v>1</v>
      </c>
      <c r="G183" s="19">
        <v>700000</v>
      </c>
      <c r="H183" s="19">
        <v>300000</v>
      </c>
      <c r="I183" t="s">
        <v>564</v>
      </c>
    </row>
    <row r="184" spans="1:9" x14ac:dyDescent="0.25">
      <c r="A184" t="s">
        <v>1242</v>
      </c>
      <c r="B184" t="s">
        <v>3138</v>
      </c>
      <c r="C184" t="s">
        <v>3145</v>
      </c>
      <c r="D184">
        <f t="shared" si="2"/>
        <v>1.4</v>
      </c>
      <c r="E184" t="s">
        <v>564</v>
      </c>
      <c r="F184">
        <v>1</v>
      </c>
      <c r="G184" s="19">
        <v>500000</v>
      </c>
      <c r="H184" s="19">
        <v>200000</v>
      </c>
      <c r="I184" t="s">
        <v>564</v>
      </c>
    </row>
    <row r="185" spans="1:9" x14ac:dyDescent="0.25">
      <c r="A185" t="s">
        <v>1244</v>
      </c>
      <c r="B185" t="s">
        <v>3138</v>
      </c>
      <c r="C185" t="s">
        <v>3145</v>
      </c>
      <c r="D185">
        <f t="shared" si="2"/>
        <v>1.3333333333333333</v>
      </c>
      <c r="E185" t="s">
        <v>564</v>
      </c>
      <c r="F185">
        <v>1</v>
      </c>
      <c r="G185" s="19">
        <v>600000</v>
      </c>
      <c r="H185" s="19">
        <v>200000</v>
      </c>
      <c r="I185" t="s">
        <v>564</v>
      </c>
    </row>
    <row r="186" spans="1:9" x14ac:dyDescent="0.25">
      <c r="A186" t="s">
        <v>1245</v>
      </c>
      <c r="B186" t="s">
        <v>3138</v>
      </c>
      <c r="C186" t="s">
        <v>3145</v>
      </c>
      <c r="D186">
        <f t="shared" si="2"/>
        <v>1.6666666666666667</v>
      </c>
      <c r="E186" t="s">
        <v>15</v>
      </c>
      <c r="F186">
        <v>1</v>
      </c>
      <c r="G186" s="19">
        <v>300000</v>
      </c>
      <c r="H186" s="19">
        <v>200000</v>
      </c>
      <c r="I186" t="s">
        <v>15</v>
      </c>
    </row>
    <row r="187" spans="1:9" x14ac:dyDescent="0.25">
      <c r="A187" t="s">
        <v>1245</v>
      </c>
      <c r="B187" t="s">
        <v>3138</v>
      </c>
      <c r="C187" t="s">
        <v>3145</v>
      </c>
      <c r="D187">
        <f t="shared" si="2"/>
        <v>1.4444444444444444</v>
      </c>
      <c r="E187" t="s">
        <v>564</v>
      </c>
      <c r="F187">
        <v>1</v>
      </c>
      <c r="G187" s="19">
        <v>4500000</v>
      </c>
      <c r="H187" s="19">
        <v>2000000</v>
      </c>
      <c r="I187" t="s">
        <v>564</v>
      </c>
    </row>
    <row r="188" spans="1:9" x14ac:dyDescent="0.25">
      <c r="A188" t="s">
        <v>1247</v>
      </c>
      <c r="B188" t="s">
        <v>3138</v>
      </c>
      <c r="C188" t="s">
        <v>3145</v>
      </c>
      <c r="D188">
        <f t="shared" si="2"/>
        <v>1.4210526315789473</v>
      </c>
      <c r="E188" t="s">
        <v>564</v>
      </c>
      <c r="F188">
        <v>1</v>
      </c>
      <c r="G188" s="19">
        <v>1900000</v>
      </c>
      <c r="H188" s="19">
        <v>800000</v>
      </c>
      <c r="I188" t="s">
        <v>564</v>
      </c>
    </row>
    <row r="189" spans="1:9" x14ac:dyDescent="0.25">
      <c r="A189" t="s">
        <v>1248</v>
      </c>
      <c r="B189" t="s">
        <v>3138</v>
      </c>
      <c r="C189" t="s">
        <v>3145</v>
      </c>
      <c r="D189">
        <f t="shared" si="2"/>
        <v>3.6</v>
      </c>
      <c r="E189" t="s">
        <v>564</v>
      </c>
      <c r="F189">
        <v>1</v>
      </c>
      <c r="G189" s="19">
        <v>500000</v>
      </c>
      <c r="H189" s="19">
        <v>1300000</v>
      </c>
      <c r="I189" t="s">
        <v>564</v>
      </c>
    </row>
    <row r="190" spans="1:9" x14ac:dyDescent="0.25">
      <c r="A190" t="s">
        <v>1250</v>
      </c>
      <c r="B190" t="s">
        <v>3138</v>
      </c>
      <c r="C190" t="s">
        <v>3145</v>
      </c>
      <c r="D190">
        <f t="shared" si="2"/>
        <v>2.8653846153846154</v>
      </c>
      <c r="E190" t="s">
        <v>564</v>
      </c>
      <c r="F190">
        <v>1</v>
      </c>
      <c r="G190" s="19">
        <v>5200000</v>
      </c>
      <c r="H190" s="19">
        <v>9700000</v>
      </c>
      <c r="I190" t="s">
        <v>564</v>
      </c>
    </row>
    <row r="191" spans="1:9" x14ac:dyDescent="0.25">
      <c r="A191" t="s">
        <v>1252</v>
      </c>
      <c r="B191" t="s">
        <v>3138</v>
      </c>
      <c r="C191" t="s">
        <v>3145</v>
      </c>
      <c r="D191">
        <f t="shared" si="2"/>
        <v>3.5</v>
      </c>
      <c r="E191" t="s">
        <v>564</v>
      </c>
      <c r="F191">
        <v>1</v>
      </c>
      <c r="G191" s="19">
        <v>200000</v>
      </c>
      <c r="H191" s="19">
        <v>500000</v>
      </c>
      <c r="I191" t="s">
        <v>564</v>
      </c>
    </row>
    <row r="192" spans="1:9" x14ac:dyDescent="0.25">
      <c r="A192" t="s">
        <v>1254</v>
      </c>
      <c r="B192" t="s">
        <v>3138</v>
      </c>
      <c r="C192" t="s">
        <v>3145</v>
      </c>
      <c r="D192">
        <f t="shared" si="2"/>
        <v>3.45</v>
      </c>
      <c r="E192" t="s">
        <v>564</v>
      </c>
      <c r="F192">
        <v>1</v>
      </c>
      <c r="G192" s="19">
        <v>2000000</v>
      </c>
      <c r="H192" s="19">
        <v>4900000</v>
      </c>
      <c r="I192" t="s">
        <v>564</v>
      </c>
    </row>
    <row r="193" spans="1:9" x14ac:dyDescent="0.25">
      <c r="A193" t="s">
        <v>1255</v>
      </c>
      <c r="B193" t="s">
        <v>3138</v>
      </c>
      <c r="C193" t="s">
        <v>3145</v>
      </c>
      <c r="D193">
        <f t="shared" si="2"/>
        <v>2.7234042553191489</v>
      </c>
      <c r="E193" t="s">
        <v>564</v>
      </c>
      <c r="F193">
        <v>1</v>
      </c>
      <c r="G193" s="19">
        <v>4700000</v>
      </c>
      <c r="H193" s="19">
        <v>8100000</v>
      </c>
      <c r="I193" t="s">
        <v>564</v>
      </c>
    </row>
    <row r="194" spans="1:9" x14ac:dyDescent="0.25">
      <c r="A194" t="s">
        <v>1256</v>
      </c>
      <c r="B194" t="s">
        <v>3138</v>
      </c>
      <c r="C194" t="s">
        <v>3145</v>
      </c>
      <c r="D194">
        <f t="shared" si="2"/>
        <v>2.6153846153846154</v>
      </c>
      <c r="E194" t="s">
        <v>564</v>
      </c>
      <c r="F194">
        <v>1</v>
      </c>
      <c r="G194" s="19">
        <v>2600000</v>
      </c>
      <c r="H194" s="19">
        <v>4200000</v>
      </c>
      <c r="I194" t="s">
        <v>564</v>
      </c>
    </row>
    <row r="195" spans="1:9" x14ac:dyDescent="0.25">
      <c r="A195" t="s">
        <v>1257</v>
      </c>
      <c r="B195" t="s">
        <v>3138</v>
      </c>
      <c r="C195" t="s">
        <v>3145</v>
      </c>
      <c r="D195">
        <f t="shared" ref="D195:D258" si="3">(G195+H195)/G195</f>
        <v>3.25</v>
      </c>
      <c r="E195" t="s">
        <v>564</v>
      </c>
      <c r="F195">
        <v>1</v>
      </c>
      <c r="G195" s="19">
        <v>800000</v>
      </c>
      <c r="H195" s="19">
        <v>1800000</v>
      </c>
      <c r="I195" t="s">
        <v>564</v>
      </c>
    </row>
    <row r="196" spans="1:9" x14ac:dyDescent="0.25">
      <c r="A196" t="s">
        <v>1259</v>
      </c>
      <c r="B196" t="s">
        <v>3138</v>
      </c>
      <c r="C196" t="s">
        <v>3145</v>
      </c>
      <c r="D196">
        <f t="shared" si="3"/>
        <v>2.8333333333333335</v>
      </c>
      <c r="E196" t="s">
        <v>564</v>
      </c>
      <c r="F196">
        <v>1</v>
      </c>
      <c r="G196" s="19">
        <v>2400000</v>
      </c>
      <c r="H196" s="19">
        <v>4400000</v>
      </c>
      <c r="I196" t="s">
        <v>564</v>
      </c>
    </row>
    <row r="197" spans="1:9" x14ac:dyDescent="0.25">
      <c r="A197" t="s">
        <v>1260</v>
      </c>
      <c r="B197" t="s">
        <v>3138</v>
      </c>
      <c r="C197" t="s">
        <v>3145</v>
      </c>
      <c r="D197">
        <f t="shared" si="3"/>
        <v>2.5384615384615383</v>
      </c>
      <c r="E197" t="s">
        <v>564</v>
      </c>
      <c r="F197">
        <v>1</v>
      </c>
      <c r="G197" s="19">
        <v>1300000</v>
      </c>
      <c r="H197" s="19">
        <v>2000000</v>
      </c>
      <c r="I197" t="s">
        <v>564</v>
      </c>
    </row>
    <row r="198" spans="1:9" x14ac:dyDescent="0.25">
      <c r="A198" t="s">
        <v>1261</v>
      </c>
      <c r="B198" t="s">
        <v>3138</v>
      </c>
      <c r="C198" t="s">
        <v>3145</v>
      </c>
      <c r="D198">
        <f t="shared" si="3"/>
        <v>2.5</v>
      </c>
      <c r="E198" t="s">
        <v>15</v>
      </c>
      <c r="F198">
        <v>1</v>
      </c>
      <c r="G198" s="19">
        <v>200000</v>
      </c>
      <c r="H198" s="19">
        <v>300000</v>
      </c>
      <c r="I198" t="s">
        <v>15</v>
      </c>
    </row>
    <row r="199" spans="1:9" x14ac:dyDescent="0.25">
      <c r="A199" t="s">
        <v>1263</v>
      </c>
      <c r="B199" t="s">
        <v>3138</v>
      </c>
      <c r="C199" t="s">
        <v>3145</v>
      </c>
      <c r="D199">
        <f t="shared" si="3"/>
        <v>2.8235294117647061</v>
      </c>
      <c r="E199" t="s">
        <v>564</v>
      </c>
      <c r="F199">
        <v>1</v>
      </c>
      <c r="G199" s="19">
        <v>1700000</v>
      </c>
      <c r="H199" s="19">
        <v>3100000</v>
      </c>
      <c r="I199" t="s">
        <v>564</v>
      </c>
    </row>
    <row r="200" spans="1:9" x14ac:dyDescent="0.25">
      <c r="A200" t="s">
        <v>1264</v>
      </c>
      <c r="B200" t="s">
        <v>3138</v>
      </c>
      <c r="C200" t="s">
        <v>3145</v>
      </c>
      <c r="D200">
        <f t="shared" si="3"/>
        <v>2.9324324324324325</v>
      </c>
      <c r="E200" t="s">
        <v>637</v>
      </c>
      <c r="F200">
        <v>1</v>
      </c>
      <c r="G200" s="19">
        <v>7400000</v>
      </c>
      <c r="H200" s="19">
        <v>14300000</v>
      </c>
      <c r="I200" t="s">
        <v>13</v>
      </c>
    </row>
    <row r="201" spans="1:9" x14ac:dyDescent="0.25">
      <c r="A201" t="s">
        <v>1266</v>
      </c>
      <c r="B201" t="s">
        <v>3138</v>
      </c>
      <c r="C201" t="s">
        <v>3145</v>
      </c>
      <c r="D201">
        <f t="shared" si="3"/>
        <v>3.6666666666666665</v>
      </c>
      <c r="E201" t="s">
        <v>595</v>
      </c>
      <c r="F201">
        <v>1</v>
      </c>
      <c r="G201" s="19">
        <v>300000</v>
      </c>
      <c r="H201" s="19">
        <v>800000</v>
      </c>
      <c r="I201" t="s">
        <v>13</v>
      </c>
    </row>
    <row r="202" spans="1:9" x14ac:dyDescent="0.25">
      <c r="A202" t="s">
        <v>1268</v>
      </c>
      <c r="B202" t="s">
        <v>3138</v>
      </c>
      <c r="C202" t="s">
        <v>3145</v>
      </c>
      <c r="D202">
        <f t="shared" si="3"/>
        <v>4.4210526315789478</v>
      </c>
      <c r="E202" t="s">
        <v>564</v>
      </c>
      <c r="F202">
        <v>1</v>
      </c>
      <c r="G202" s="19">
        <v>1900000</v>
      </c>
      <c r="H202" s="19">
        <v>6500000</v>
      </c>
      <c r="I202" t="s">
        <v>564</v>
      </c>
    </row>
    <row r="203" spans="1:9" x14ac:dyDescent="0.25">
      <c r="A203" t="s">
        <v>1269</v>
      </c>
      <c r="B203" t="s">
        <v>3138</v>
      </c>
      <c r="C203" t="s">
        <v>3145</v>
      </c>
      <c r="D203">
        <f t="shared" si="3"/>
        <v>4.3636363636363633</v>
      </c>
      <c r="E203" t="s">
        <v>564</v>
      </c>
      <c r="F203">
        <v>1</v>
      </c>
      <c r="G203" s="19">
        <v>2200000</v>
      </c>
      <c r="H203" s="19">
        <v>7400000</v>
      </c>
      <c r="I203" t="s">
        <v>564</v>
      </c>
    </row>
    <row r="204" spans="1:9" x14ac:dyDescent="0.25">
      <c r="A204" t="s">
        <v>1270</v>
      </c>
      <c r="B204" t="s">
        <v>3138</v>
      </c>
      <c r="C204" t="s">
        <v>3145</v>
      </c>
      <c r="D204">
        <f t="shared" si="3"/>
        <v>2.652173913043478</v>
      </c>
      <c r="E204" t="s">
        <v>564</v>
      </c>
      <c r="F204">
        <v>1</v>
      </c>
      <c r="G204" s="19">
        <v>4600000</v>
      </c>
      <c r="H204" s="19">
        <v>7600000</v>
      </c>
      <c r="I204" t="s">
        <v>564</v>
      </c>
    </row>
    <row r="205" spans="1:9" x14ac:dyDescent="0.25">
      <c r="A205" t="s">
        <v>1271</v>
      </c>
      <c r="B205" t="s">
        <v>3138</v>
      </c>
      <c r="C205" t="s">
        <v>3145</v>
      </c>
      <c r="D205">
        <f t="shared" si="3"/>
        <v>4.5</v>
      </c>
      <c r="E205" t="s">
        <v>564</v>
      </c>
      <c r="F205">
        <v>1</v>
      </c>
      <c r="G205" s="19">
        <v>1200000</v>
      </c>
      <c r="H205" s="19">
        <v>4200000</v>
      </c>
      <c r="I205" t="s">
        <v>564</v>
      </c>
    </row>
    <row r="206" spans="1:9" x14ac:dyDescent="0.25">
      <c r="A206" t="s">
        <v>1273</v>
      </c>
      <c r="B206" t="s">
        <v>3138</v>
      </c>
      <c r="C206" t="s">
        <v>3145</v>
      </c>
      <c r="D206">
        <f t="shared" si="3"/>
        <v>3</v>
      </c>
      <c r="E206" t="s">
        <v>637</v>
      </c>
      <c r="F206">
        <v>1</v>
      </c>
      <c r="G206" s="19">
        <v>100000</v>
      </c>
      <c r="H206" s="19">
        <v>200000</v>
      </c>
      <c r="I206" t="s">
        <v>13</v>
      </c>
    </row>
    <row r="207" spans="1:9" x14ac:dyDescent="0.25">
      <c r="A207" t="s">
        <v>1275</v>
      </c>
      <c r="B207" t="s">
        <v>3138</v>
      </c>
      <c r="C207" t="s">
        <v>3145</v>
      </c>
      <c r="D207">
        <f t="shared" si="3"/>
        <v>4.333333333333333</v>
      </c>
      <c r="E207" t="s">
        <v>564</v>
      </c>
      <c r="F207">
        <v>1</v>
      </c>
      <c r="G207" s="19">
        <v>3000000</v>
      </c>
      <c r="H207" s="19">
        <v>10000000</v>
      </c>
      <c r="I207" t="s">
        <v>564</v>
      </c>
    </row>
    <row r="208" spans="1:9" x14ac:dyDescent="0.25">
      <c r="A208" t="s">
        <v>1277</v>
      </c>
      <c r="B208" t="s">
        <v>3138</v>
      </c>
      <c r="C208" t="s">
        <v>3145</v>
      </c>
      <c r="D208">
        <f t="shared" si="3"/>
        <v>3</v>
      </c>
      <c r="E208" t="s">
        <v>607</v>
      </c>
      <c r="F208">
        <v>1</v>
      </c>
      <c r="G208" s="19">
        <v>200000</v>
      </c>
      <c r="H208" s="19">
        <v>400000</v>
      </c>
      <c r="I208" t="s">
        <v>13</v>
      </c>
    </row>
    <row r="209" spans="1:9" x14ac:dyDescent="0.25">
      <c r="A209" t="s">
        <v>1279</v>
      </c>
      <c r="B209" t="s">
        <v>3138</v>
      </c>
      <c r="C209" t="s">
        <v>3145</v>
      </c>
      <c r="D209">
        <f t="shared" si="3"/>
        <v>2.53125</v>
      </c>
      <c r="E209" t="s">
        <v>564</v>
      </c>
      <c r="F209">
        <v>1</v>
      </c>
      <c r="G209" s="19">
        <v>3200000</v>
      </c>
      <c r="H209" s="19">
        <v>4900000</v>
      </c>
      <c r="I209" t="s">
        <v>564</v>
      </c>
    </row>
    <row r="210" spans="1:9" x14ac:dyDescent="0.25">
      <c r="A210" t="s">
        <v>1281</v>
      </c>
      <c r="B210" t="s">
        <v>3138</v>
      </c>
      <c r="C210" t="s">
        <v>3145</v>
      </c>
      <c r="D210">
        <f t="shared" si="3"/>
        <v>3.4545454545454546</v>
      </c>
      <c r="E210" t="s">
        <v>564</v>
      </c>
      <c r="F210">
        <v>1</v>
      </c>
      <c r="G210" s="19">
        <v>1100000</v>
      </c>
      <c r="H210" s="19">
        <v>2700000</v>
      </c>
      <c r="I210" t="s">
        <v>564</v>
      </c>
    </row>
    <row r="211" spans="1:9" x14ac:dyDescent="0.25">
      <c r="A211" t="s">
        <v>1282</v>
      </c>
      <c r="B211" t="s">
        <v>3138</v>
      </c>
      <c r="C211" t="s">
        <v>3145</v>
      </c>
      <c r="D211">
        <f t="shared" si="3"/>
        <v>2.9230769230769229</v>
      </c>
      <c r="E211" t="s">
        <v>595</v>
      </c>
      <c r="F211">
        <v>1</v>
      </c>
      <c r="G211" s="19">
        <v>1300000</v>
      </c>
      <c r="H211" s="19">
        <v>2500000</v>
      </c>
      <c r="I211" t="s">
        <v>13</v>
      </c>
    </row>
    <row r="212" spans="1:9" x14ac:dyDescent="0.25">
      <c r="A212" t="s">
        <v>1284</v>
      </c>
      <c r="B212" t="s">
        <v>3138</v>
      </c>
      <c r="C212" t="s">
        <v>3145</v>
      </c>
      <c r="D212">
        <f t="shared" si="3"/>
        <v>2</v>
      </c>
      <c r="E212" t="s">
        <v>595</v>
      </c>
      <c r="F212">
        <v>1</v>
      </c>
      <c r="G212" s="19">
        <v>100000</v>
      </c>
      <c r="H212" s="19">
        <v>100000</v>
      </c>
      <c r="I212" t="s">
        <v>13</v>
      </c>
    </row>
    <row r="213" spans="1:9" x14ac:dyDescent="0.25">
      <c r="A213" t="s">
        <v>1286</v>
      </c>
      <c r="B213" t="s">
        <v>3138</v>
      </c>
      <c r="C213" t="s">
        <v>3145</v>
      </c>
      <c r="D213">
        <f t="shared" si="3"/>
        <v>3</v>
      </c>
      <c r="E213" t="s">
        <v>564</v>
      </c>
      <c r="F213">
        <v>1</v>
      </c>
      <c r="G213" s="19">
        <v>100000</v>
      </c>
      <c r="H213" s="19">
        <v>200000</v>
      </c>
      <c r="I213" t="s">
        <v>564</v>
      </c>
    </row>
    <row r="214" spans="1:9" x14ac:dyDescent="0.25">
      <c r="A214" t="s">
        <v>1287</v>
      </c>
      <c r="B214" t="s">
        <v>3138</v>
      </c>
      <c r="C214" t="s">
        <v>3145</v>
      </c>
      <c r="D214">
        <f t="shared" si="3"/>
        <v>2.7272727272727271</v>
      </c>
      <c r="E214" t="s">
        <v>564</v>
      </c>
      <c r="F214">
        <v>1</v>
      </c>
      <c r="G214" s="19">
        <v>1100000</v>
      </c>
      <c r="H214" s="19">
        <v>1900000</v>
      </c>
      <c r="I214" t="s">
        <v>564</v>
      </c>
    </row>
    <row r="215" spans="1:9" x14ac:dyDescent="0.25">
      <c r="A215" t="s">
        <v>941</v>
      </c>
      <c r="B215" t="s">
        <v>3139</v>
      </c>
      <c r="C215" t="s">
        <v>3146</v>
      </c>
      <c r="D215">
        <f t="shared" si="3"/>
        <v>1</v>
      </c>
      <c r="E215" t="s">
        <v>637</v>
      </c>
      <c r="F215">
        <v>1</v>
      </c>
      <c r="G215" s="19">
        <v>100000</v>
      </c>
      <c r="H215" s="19">
        <v>0</v>
      </c>
      <c r="I215" t="s">
        <v>13</v>
      </c>
    </row>
    <row r="216" spans="1:9" x14ac:dyDescent="0.25">
      <c r="A216" t="s">
        <v>944</v>
      </c>
      <c r="B216" t="s">
        <v>3139</v>
      </c>
      <c r="C216" t="s">
        <v>3146</v>
      </c>
      <c r="D216">
        <f t="shared" si="3"/>
        <v>1</v>
      </c>
      <c r="E216" t="s">
        <v>564</v>
      </c>
      <c r="F216">
        <v>1</v>
      </c>
      <c r="G216" s="19">
        <v>1600000</v>
      </c>
      <c r="H216" s="19">
        <v>0</v>
      </c>
      <c r="I216" t="s">
        <v>564</v>
      </c>
    </row>
    <row r="217" spans="1:9" x14ac:dyDescent="0.25">
      <c r="A217" t="s">
        <v>946</v>
      </c>
      <c r="B217" t="s">
        <v>3139</v>
      </c>
      <c r="C217" t="s">
        <v>3146</v>
      </c>
      <c r="D217">
        <f t="shared" si="3"/>
        <v>1</v>
      </c>
      <c r="E217" t="s">
        <v>564</v>
      </c>
      <c r="F217">
        <v>1</v>
      </c>
      <c r="G217" s="19">
        <v>600000</v>
      </c>
      <c r="H217" s="19">
        <v>0</v>
      </c>
      <c r="I217" t="s">
        <v>564</v>
      </c>
    </row>
    <row r="218" spans="1:9" x14ac:dyDescent="0.25">
      <c r="A218" t="s">
        <v>948</v>
      </c>
      <c r="B218" t="s">
        <v>3139</v>
      </c>
      <c r="C218" t="s">
        <v>3146</v>
      </c>
      <c r="D218">
        <f t="shared" si="3"/>
        <v>1</v>
      </c>
      <c r="E218" t="s">
        <v>564</v>
      </c>
      <c r="F218">
        <v>1</v>
      </c>
      <c r="G218" s="19">
        <v>1800000</v>
      </c>
      <c r="H218" s="19">
        <v>0</v>
      </c>
      <c r="I218" t="s">
        <v>564</v>
      </c>
    </row>
    <row r="219" spans="1:9" x14ac:dyDescent="0.25">
      <c r="A219" t="s">
        <v>950</v>
      </c>
      <c r="B219" t="s">
        <v>3139</v>
      </c>
      <c r="C219" t="s">
        <v>3146</v>
      </c>
      <c r="D219">
        <f t="shared" si="3"/>
        <v>1</v>
      </c>
      <c r="E219" t="s">
        <v>564</v>
      </c>
      <c r="F219">
        <v>1</v>
      </c>
      <c r="G219" s="19">
        <v>2900000</v>
      </c>
      <c r="H219" s="19">
        <v>0</v>
      </c>
      <c r="I219" t="s">
        <v>564</v>
      </c>
    </row>
    <row r="220" spans="1:9" x14ac:dyDescent="0.25">
      <c r="A220" t="s">
        <v>952</v>
      </c>
      <c r="B220" t="s">
        <v>3139</v>
      </c>
      <c r="C220" t="s">
        <v>3146</v>
      </c>
      <c r="D220">
        <f t="shared" si="3"/>
        <v>1</v>
      </c>
      <c r="E220" t="s">
        <v>595</v>
      </c>
      <c r="F220">
        <v>1</v>
      </c>
      <c r="G220" s="19">
        <v>900000</v>
      </c>
      <c r="H220" s="19">
        <v>0</v>
      </c>
      <c r="I220" t="s">
        <v>13</v>
      </c>
    </row>
    <row r="221" spans="1:9" x14ac:dyDescent="0.25">
      <c r="A221" t="s">
        <v>954</v>
      </c>
      <c r="B221" t="s">
        <v>3139</v>
      </c>
      <c r="C221" t="s">
        <v>3146</v>
      </c>
      <c r="D221">
        <f t="shared" si="3"/>
        <v>1</v>
      </c>
      <c r="E221" t="s">
        <v>564</v>
      </c>
      <c r="F221">
        <v>1</v>
      </c>
      <c r="G221" s="19">
        <v>1400000</v>
      </c>
      <c r="H221" s="19">
        <v>0</v>
      </c>
      <c r="I221" t="s">
        <v>564</v>
      </c>
    </row>
    <row r="222" spans="1:9" x14ac:dyDescent="0.25">
      <c r="A222" t="s">
        <v>956</v>
      </c>
      <c r="B222" t="s">
        <v>3139</v>
      </c>
      <c r="C222" t="s">
        <v>3146</v>
      </c>
      <c r="D222">
        <f t="shared" si="3"/>
        <v>1</v>
      </c>
      <c r="E222" t="s">
        <v>15</v>
      </c>
      <c r="F222">
        <v>1</v>
      </c>
      <c r="G222" s="19">
        <v>300000</v>
      </c>
      <c r="H222" s="19">
        <v>0</v>
      </c>
      <c r="I222" t="s">
        <v>15</v>
      </c>
    </row>
    <row r="223" spans="1:9" x14ac:dyDescent="0.25">
      <c r="A223" t="s">
        <v>958</v>
      </c>
      <c r="B223" t="s">
        <v>3139</v>
      </c>
      <c r="C223" t="s">
        <v>3146</v>
      </c>
      <c r="D223">
        <f t="shared" si="3"/>
        <v>1</v>
      </c>
      <c r="E223" t="s">
        <v>564</v>
      </c>
      <c r="F223">
        <v>1</v>
      </c>
      <c r="G223" s="19">
        <v>2100000</v>
      </c>
      <c r="H223" s="19">
        <v>0</v>
      </c>
      <c r="I223" t="s">
        <v>564</v>
      </c>
    </row>
    <row r="224" spans="1:9" x14ac:dyDescent="0.25">
      <c r="A224" t="s">
        <v>961</v>
      </c>
      <c r="B224" t="s">
        <v>3139</v>
      </c>
      <c r="C224" t="s">
        <v>3146</v>
      </c>
      <c r="D224">
        <f t="shared" si="3"/>
        <v>1</v>
      </c>
      <c r="E224" t="s">
        <v>716</v>
      </c>
      <c r="F224">
        <v>1</v>
      </c>
      <c r="G224" s="19">
        <v>400000</v>
      </c>
      <c r="H224" s="19">
        <v>0</v>
      </c>
      <c r="I224" t="s">
        <v>13</v>
      </c>
    </row>
    <row r="225" spans="1:9" x14ac:dyDescent="0.25">
      <c r="A225" t="s">
        <v>963</v>
      </c>
      <c r="B225" t="s">
        <v>3139</v>
      </c>
      <c r="C225" t="s">
        <v>3146</v>
      </c>
      <c r="D225">
        <f t="shared" si="3"/>
        <v>1</v>
      </c>
      <c r="E225" t="s">
        <v>564</v>
      </c>
      <c r="F225">
        <v>1</v>
      </c>
      <c r="G225" s="19">
        <v>4200000</v>
      </c>
      <c r="H225" s="19">
        <v>0</v>
      </c>
      <c r="I225" t="s">
        <v>564</v>
      </c>
    </row>
    <row r="226" spans="1:9" x14ac:dyDescent="0.25">
      <c r="A226" t="s">
        <v>965</v>
      </c>
      <c r="B226" t="s">
        <v>3139</v>
      </c>
      <c r="C226" t="s">
        <v>3146</v>
      </c>
      <c r="D226">
        <f t="shared" si="3"/>
        <v>1</v>
      </c>
      <c r="E226" t="s">
        <v>564</v>
      </c>
      <c r="F226">
        <v>1</v>
      </c>
      <c r="G226" s="19">
        <v>2300000</v>
      </c>
      <c r="H226" s="19">
        <v>0</v>
      </c>
      <c r="I226" t="s">
        <v>564</v>
      </c>
    </row>
    <row r="227" spans="1:9" x14ac:dyDescent="0.25">
      <c r="A227" t="s">
        <v>967</v>
      </c>
      <c r="B227" t="s">
        <v>3139</v>
      </c>
      <c r="C227" t="s">
        <v>3146</v>
      </c>
      <c r="D227">
        <f t="shared" si="3"/>
        <v>1</v>
      </c>
      <c r="E227" t="s">
        <v>564</v>
      </c>
      <c r="F227">
        <v>1</v>
      </c>
      <c r="G227" s="19">
        <v>2900000</v>
      </c>
      <c r="H227" s="19">
        <v>0</v>
      </c>
      <c r="I227" t="s">
        <v>564</v>
      </c>
    </row>
    <row r="228" spans="1:9" x14ac:dyDescent="0.25">
      <c r="A228" t="s">
        <v>968</v>
      </c>
      <c r="B228" t="s">
        <v>3139</v>
      </c>
      <c r="C228" t="s">
        <v>3146</v>
      </c>
      <c r="D228">
        <f t="shared" si="3"/>
        <v>1</v>
      </c>
      <c r="E228" t="s">
        <v>637</v>
      </c>
      <c r="F228">
        <v>1</v>
      </c>
      <c r="G228" s="19">
        <v>100000</v>
      </c>
      <c r="H228" s="19">
        <v>0</v>
      </c>
      <c r="I228" t="s">
        <v>13</v>
      </c>
    </row>
    <row r="229" spans="1:9" x14ac:dyDescent="0.25">
      <c r="A229" t="s">
        <v>970</v>
      </c>
      <c r="B229" t="s">
        <v>3139</v>
      </c>
      <c r="C229" t="s">
        <v>3146</v>
      </c>
      <c r="D229">
        <f t="shared" si="3"/>
        <v>1</v>
      </c>
      <c r="E229" t="s">
        <v>564</v>
      </c>
      <c r="F229">
        <v>1</v>
      </c>
      <c r="G229" s="19">
        <v>300000</v>
      </c>
      <c r="H229" s="19">
        <v>0</v>
      </c>
      <c r="I229" t="s">
        <v>564</v>
      </c>
    </row>
    <row r="230" spans="1:9" x14ac:dyDescent="0.25">
      <c r="A230" t="s">
        <v>971</v>
      </c>
      <c r="B230" t="s">
        <v>3139</v>
      </c>
      <c r="C230" t="s">
        <v>3146</v>
      </c>
      <c r="D230">
        <f t="shared" si="3"/>
        <v>1</v>
      </c>
      <c r="E230" t="s">
        <v>550</v>
      </c>
      <c r="F230">
        <v>1</v>
      </c>
      <c r="G230" s="19">
        <v>300000</v>
      </c>
      <c r="H230" s="19">
        <v>0</v>
      </c>
      <c r="I230" t="s">
        <v>13</v>
      </c>
    </row>
    <row r="231" spans="1:9" x14ac:dyDescent="0.25">
      <c r="A231" t="s">
        <v>973</v>
      </c>
      <c r="B231" t="s">
        <v>3139</v>
      </c>
      <c r="C231" t="s">
        <v>3146</v>
      </c>
      <c r="D231">
        <f t="shared" si="3"/>
        <v>1</v>
      </c>
      <c r="E231" t="s">
        <v>564</v>
      </c>
      <c r="F231">
        <v>1</v>
      </c>
      <c r="G231" s="19">
        <v>115100000</v>
      </c>
      <c r="H231" s="19">
        <v>0</v>
      </c>
      <c r="I231" t="s">
        <v>564</v>
      </c>
    </row>
    <row r="232" spans="1:9" x14ac:dyDescent="0.25">
      <c r="A232" t="s">
        <v>975</v>
      </c>
      <c r="B232" t="s">
        <v>3139</v>
      </c>
      <c r="C232" t="s">
        <v>3146</v>
      </c>
      <c r="D232">
        <f t="shared" si="3"/>
        <v>1</v>
      </c>
      <c r="E232" t="s">
        <v>523</v>
      </c>
      <c r="F232">
        <v>1</v>
      </c>
      <c r="G232" s="19">
        <v>100000</v>
      </c>
      <c r="H232" s="19">
        <v>0</v>
      </c>
      <c r="I232" t="s">
        <v>481</v>
      </c>
    </row>
    <row r="233" spans="1:9" x14ac:dyDescent="0.25">
      <c r="A233" t="s">
        <v>975</v>
      </c>
      <c r="B233" t="s">
        <v>3139</v>
      </c>
      <c r="C233" t="s">
        <v>3146</v>
      </c>
      <c r="D233">
        <f t="shared" si="3"/>
        <v>1</v>
      </c>
      <c r="E233" t="s">
        <v>564</v>
      </c>
      <c r="F233">
        <v>1</v>
      </c>
      <c r="G233" s="19">
        <v>79100000</v>
      </c>
      <c r="H233" s="19">
        <v>0</v>
      </c>
      <c r="I233" t="s">
        <v>564</v>
      </c>
    </row>
    <row r="234" spans="1:9" x14ac:dyDescent="0.25">
      <c r="A234" t="s">
        <v>977</v>
      </c>
      <c r="B234" t="s">
        <v>3139</v>
      </c>
      <c r="C234" t="s">
        <v>3146</v>
      </c>
      <c r="D234">
        <f t="shared" si="3"/>
        <v>1</v>
      </c>
      <c r="E234" t="s">
        <v>532</v>
      </c>
      <c r="F234">
        <v>1</v>
      </c>
      <c r="G234" s="19">
        <v>100600000</v>
      </c>
      <c r="H234" s="19">
        <v>0</v>
      </c>
      <c r="I234" t="s">
        <v>481</v>
      </c>
    </row>
    <row r="235" spans="1:9" x14ac:dyDescent="0.25">
      <c r="A235" t="s">
        <v>979</v>
      </c>
      <c r="B235" t="s">
        <v>3139</v>
      </c>
      <c r="C235" t="s">
        <v>3146</v>
      </c>
      <c r="D235">
        <f t="shared" si="3"/>
        <v>1</v>
      </c>
      <c r="E235" t="s">
        <v>637</v>
      </c>
      <c r="F235">
        <v>1</v>
      </c>
      <c r="G235" s="19">
        <v>300000</v>
      </c>
      <c r="H235" s="19">
        <v>0</v>
      </c>
      <c r="I235" t="s">
        <v>13</v>
      </c>
    </row>
    <row r="236" spans="1:9" x14ac:dyDescent="0.25">
      <c r="A236" t="s">
        <v>981</v>
      </c>
      <c r="B236" t="s">
        <v>3139</v>
      </c>
      <c r="C236" t="s">
        <v>3146</v>
      </c>
      <c r="D236">
        <f t="shared" si="3"/>
        <v>1</v>
      </c>
      <c r="E236" t="s">
        <v>564</v>
      </c>
      <c r="F236">
        <v>1</v>
      </c>
      <c r="G236" s="19">
        <v>400000</v>
      </c>
      <c r="H236" s="19">
        <v>0</v>
      </c>
      <c r="I236" t="s">
        <v>564</v>
      </c>
    </row>
    <row r="237" spans="1:9" x14ac:dyDescent="0.25">
      <c r="A237" t="s">
        <v>983</v>
      </c>
      <c r="B237" t="s">
        <v>3139</v>
      </c>
      <c r="C237" t="s">
        <v>3146</v>
      </c>
      <c r="D237">
        <f t="shared" si="3"/>
        <v>1</v>
      </c>
      <c r="E237" t="s">
        <v>716</v>
      </c>
      <c r="F237">
        <v>1</v>
      </c>
      <c r="G237" s="19">
        <v>600000</v>
      </c>
      <c r="H237" s="19">
        <v>0</v>
      </c>
      <c r="I237" t="s">
        <v>13</v>
      </c>
    </row>
    <row r="238" spans="1:9" x14ac:dyDescent="0.25">
      <c r="A238" t="s">
        <v>984</v>
      </c>
      <c r="B238" t="s">
        <v>3139</v>
      </c>
      <c r="C238" t="s">
        <v>3146</v>
      </c>
      <c r="D238">
        <f t="shared" si="3"/>
        <v>1</v>
      </c>
      <c r="E238" t="s">
        <v>564</v>
      </c>
      <c r="F238">
        <v>1</v>
      </c>
      <c r="G238" s="19">
        <v>18300000</v>
      </c>
      <c r="H238" s="19">
        <v>0</v>
      </c>
      <c r="I238" t="s">
        <v>564</v>
      </c>
    </row>
    <row r="239" spans="1:9" x14ac:dyDescent="0.25">
      <c r="A239" t="s">
        <v>986</v>
      </c>
      <c r="B239" t="s">
        <v>3139</v>
      </c>
      <c r="C239" t="s">
        <v>3146</v>
      </c>
      <c r="D239">
        <f t="shared" si="3"/>
        <v>1</v>
      </c>
      <c r="E239" t="s">
        <v>564</v>
      </c>
      <c r="F239">
        <v>1</v>
      </c>
      <c r="G239" s="19">
        <v>3100000</v>
      </c>
      <c r="H239" s="19">
        <v>0</v>
      </c>
      <c r="I239" t="s">
        <v>564</v>
      </c>
    </row>
    <row r="240" spans="1:9" x14ac:dyDescent="0.25">
      <c r="A240" t="s">
        <v>988</v>
      </c>
      <c r="B240" t="s">
        <v>3139</v>
      </c>
      <c r="C240" t="s">
        <v>3146</v>
      </c>
      <c r="D240">
        <f t="shared" si="3"/>
        <v>1</v>
      </c>
      <c r="E240" t="s">
        <v>564</v>
      </c>
      <c r="F240">
        <v>1</v>
      </c>
      <c r="G240" s="19">
        <v>500000</v>
      </c>
      <c r="H240" s="19">
        <v>0</v>
      </c>
      <c r="I240" t="s">
        <v>564</v>
      </c>
    </row>
    <row r="241" spans="1:9" x14ac:dyDescent="0.25">
      <c r="A241" t="s">
        <v>989</v>
      </c>
      <c r="B241" t="s">
        <v>3139</v>
      </c>
      <c r="C241" t="s">
        <v>3146</v>
      </c>
      <c r="D241">
        <f t="shared" si="3"/>
        <v>1</v>
      </c>
      <c r="E241" t="s">
        <v>564</v>
      </c>
      <c r="F241">
        <v>1</v>
      </c>
      <c r="G241" s="19">
        <v>1700000</v>
      </c>
      <c r="H241" s="19">
        <v>0</v>
      </c>
      <c r="I241" t="s">
        <v>564</v>
      </c>
    </row>
    <row r="242" spans="1:9" x14ac:dyDescent="0.25">
      <c r="A242" t="s">
        <v>990</v>
      </c>
      <c r="B242" t="s">
        <v>3139</v>
      </c>
      <c r="C242" t="s">
        <v>3146</v>
      </c>
      <c r="D242">
        <f t="shared" si="3"/>
        <v>1</v>
      </c>
      <c r="E242" t="s">
        <v>637</v>
      </c>
      <c r="F242">
        <v>1</v>
      </c>
      <c r="G242" s="19">
        <v>200000</v>
      </c>
      <c r="H242" s="19">
        <v>0</v>
      </c>
      <c r="I242" t="s">
        <v>13</v>
      </c>
    </row>
    <row r="243" spans="1:9" x14ac:dyDescent="0.25">
      <c r="A243" t="s">
        <v>992</v>
      </c>
      <c r="B243" t="s">
        <v>3139</v>
      </c>
      <c r="C243" t="s">
        <v>3146</v>
      </c>
      <c r="D243">
        <f t="shared" si="3"/>
        <v>1</v>
      </c>
      <c r="E243" t="s">
        <v>564</v>
      </c>
      <c r="F243">
        <v>1</v>
      </c>
      <c r="G243" s="19">
        <v>2700000</v>
      </c>
      <c r="H243" s="19">
        <v>0</v>
      </c>
      <c r="I243" t="s">
        <v>564</v>
      </c>
    </row>
    <row r="244" spans="1:9" x14ac:dyDescent="0.25">
      <c r="A244" t="s">
        <v>993</v>
      </c>
      <c r="B244" t="s">
        <v>3139</v>
      </c>
      <c r="C244" t="s">
        <v>3146</v>
      </c>
      <c r="D244">
        <f t="shared" si="3"/>
        <v>1</v>
      </c>
      <c r="E244" t="s">
        <v>564</v>
      </c>
      <c r="F244">
        <v>1</v>
      </c>
      <c r="G244" s="19">
        <v>4200000</v>
      </c>
      <c r="H244" s="19">
        <v>0</v>
      </c>
      <c r="I244" t="s">
        <v>564</v>
      </c>
    </row>
    <row r="245" spans="1:9" x14ac:dyDescent="0.25">
      <c r="A245" t="s">
        <v>994</v>
      </c>
      <c r="B245" t="s">
        <v>3139</v>
      </c>
      <c r="C245" t="s">
        <v>3146</v>
      </c>
      <c r="D245">
        <f t="shared" si="3"/>
        <v>1</v>
      </c>
      <c r="E245" t="s">
        <v>550</v>
      </c>
      <c r="F245">
        <v>1</v>
      </c>
      <c r="G245" s="19">
        <v>1100000</v>
      </c>
      <c r="H245" s="19">
        <v>0</v>
      </c>
      <c r="I245" t="s">
        <v>13</v>
      </c>
    </row>
    <row r="246" spans="1:9" x14ac:dyDescent="0.25">
      <c r="A246" t="s">
        <v>996</v>
      </c>
      <c r="B246" t="s">
        <v>3139</v>
      </c>
      <c r="C246" t="s">
        <v>3146</v>
      </c>
      <c r="D246">
        <f t="shared" si="3"/>
        <v>1</v>
      </c>
      <c r="E246" t="s">
        <v>595</v>
      </c>
      <c r="F246">
        <v>1</v>
      </c>
      <c r="G246" s="19">
        <v>400000</v>
      </c>
      <c r="H246" s="19">
        <v>0</v>
      </c>
      <c r="I246" t="s">
        <v>13</v>
      </c>
    </row>
    <row r="247" spans="1:9" x14ac:dyDescent="0.25">
      <c r="A247" t="s">
        <v>999</v>
      </c>
      <c r="B247" t="s">
        <v>3139</v>
      </c>
      <c r="C247" t="s">
        <v>3146</v>
      </c>
      <c r="D247">
        <f t="shared" si="3"/>
        <v>1</v>
      </c>
      <c r="E247" t="s">
        <v>564</v>
      </c>
      <c r="F247">
        <v>1</v>
      </c>
      <c r="G247" s="19">
        <v>1300000</v>
      </c>
      <c r="H247" s="19">
        <v>0</v>
      </c>
      <c r="I247" t="s">
        <v>564</v>
      </c>
    </row>
    <row r="248" spans="1:9" x14ac:dyDescent="0.25">
      <c r="A248" t="s">
        <v>1001</v>
      </c>
      <c r="B248" t="s">
        <v>3139</v>
      </c>
      <c r="C248" t="s">
        <v>3146</v>
      </c>
      <c r="D248">
        <f t="shared" si="3"/>
        <v>1</v>
      </c>
      <c r="E248" t="s">
        <v>550</v>
      </c>
      <c r="F248">
        <v>1</v>
      </c>
      <c r="G248" s="19">
        <v>900000</v>
      </c>
      <c r="H248" s="19">
        <v>0</v>
      </c>
      <c r="I248" t="s">
        <v>13</v>
      </c>
    </row>
    <row r="249" spans="1:9" x14ac:dyDescent="0.25">
      <c r="A249" t="s">
        <v>1001</v>
      </c>
      <c r="B249" t="s">
        <v>3139</v>
      </c>
      <c r="C249" t="s">
        <v>3146</v>
      </c>
      <c r="D249">
        <f t="shared" si="3"/>
        <v>1</v>
      </c>
      <c r="E249" t="s">
        <v>695</v>
      </c>
      <c r="F249">
        <v>1</v>
      </c>
      <c r="G249" s="19">
        <v>200000</v>
      </c>
      <c r="H249" s="19">
        <v>0</v>
      </c>
      <c r="I249" t="s">
        <v>13</v>
      </c>
    </row>
    <row r="250" spans="1:9" x14ac:dyDescent="0.25">
      <c r="A250" t="s">
        <v>1003</v>
      </c>
      <c r="B250" t="s">
        <v>3139</v>
      </c>
      <c r="C250" t="s">
        <v>3146</v>
      </c>
      <c r="D250">
        <f t="shared" si="3"/>
        <v>1</v>
      </c>
      <c r="E250" t="s">
        <v>595</v>
      </c>
      <c r="F250">
        <v>1</v>
      </c>
      <c r="G250" s="19">
        <v>600000</v>
      </c>
      <c r="H250" s="19">
        <v>0</v>
      </c>
      <c r="I250" t="s">
        <v>13</v>
      </c>
    </row>
    <row r="251" spans="1:9" x14ac:dyDescent="0.25">
      <c r="A251" t="s">
        <v>1005</v>
      </c>
      <c r="B251" t="s">
        <v>3139</v>
      </c>
      <c r="C251" t="s">
        <v>3146</v>
      </c>
      <c r="D251">
        <f t="shared" si="3"/>
        <v>1</v>
      </c>
      <c r="E251" t="s">
        <v>564</v>
      </c>
      <c r="F251">
        <v>1</v>
      </c>
      <c r="G251" s="19">
        <v>1500000</v>
      </c>
      <c r="H251" s="19">
        <v>0</v>
      </c>
      <c r="I251" t="s">
        <v>564</v>
      </c>
    </row>
    <row r="252" spans="1:9" x14ac:dyDescent="0.25">
      <c r="A252" t="s">
        <v>1007</v>
      </c>
      <c r="B252" t="s">
        <v>3139</v>
      </c>
      <c r="C252" t="s">
        <v>3146</v>
      </c>
      <c r="D252">
        <f t="shared" si="3"/>
        <v>1</v>
      </c>
      <c r="E252" t="s">
        <v>564</v>
      </c>
      <c r="F252">
        <v>1</v>
      </c>
      <c r="G252" s="19">
        <v>100000</v>
      </c>
      <c r="H252" s="19">
        <v>0</v>
      </c>
      <c r="I252" t="s">
        <v>564</v>
      </c>
    </row>
    <row r="253" spans="1:9" x14ac:dyDescent="0.25">
      <c r="A253" t="s">
        <v>1008</v>
      </c>
      <c r="B253" t="s">
        <v>3139</v>
      </c>
      <c r="C253" t="s">
        <v>3146</v>
      </c>
      <c r="D253">
        <f t="shared" si="3"/>
        <v>1</v>
      </c>
      <c r="E253" t="s">
        <v>564</v>
      </c>
      <c r="F253">
        <v>1</v>
      </c>
      <c r="G253" s="19">
        <v>3800000</v>
      </c>
      <c r="H253" s="19">
        <v>0</v>
      </c>
      <c r="I253" t="s">
        <v>564</v>
      </c>
    </row>
    <row r="254" spans="1:9" x14ac:dyDescent="0.25">
      <c r="A254" t="s">
        <v>1009</v>
      </c>
      <c r="B254" t="s">
        <v>3139</v>
      </c>
      <c r="C254" t="s">
        <v>3146</v>
      </c>
      <c r="D254">
        <f t="shared" si="3"/>
        <v>1</v>
      </c>
      <c r="E254" t="s">
        <v>564</v>
      </c>
      <c r="F254">
        <v>1</v>
      </c>
      <c r="G254" s="19">
        <v>1500000</v>
      </c>
      <c r="H254" s="19">
        <v>0</v>
      </c>
      <c r="I254" t="s">
        <v>564</v>
      </c>
    </row>
    <row r="255" spans="1:9" x14ac:dyDescent="0.25">
      <c r="A255" t="s">
        <v>1011</v>
      </c>
      <c r="B255" t="s">
        <v>3139</v>
      </c>
      <c r="C255" t="s">
        <v>3146</v>
      </c>
      <c r="D255">
        <f t="shared" si="3"/>
        <v>1</v>
      </c>
      <c r="E255" t="s">
        <v>564</v>
      </c>
      <c r="F255">
        <v>1</v>
      </c>
      <c r="G255" s="19">
        <v>200000</v>
      </c>
      <c r="H255" s="19">
        <v>0</v>
      </c>
      <c r="I255" t="s">
        <v>564</v>
      </c>
    </row>
    <row r="256" spans="1:9" x14ac:dyDescent="0.25">
      <c r="A256" t="s">
        <v>1013</v>
      </c>
      <c r="B256" t="s">
        <v>3139</v>
      </c>
      <c r="C256" t="s">
        <v>3146</v>
      </c>
      <c r="D256">
        <f t="shared" si="3"/>
        <v>1</v>
      </c>
      <c r="E256" t="s">
        <v>564</v>
      </c>
      <c r="F256">
        <v>1</v>
      </c>
      <c r="G256" s="19">
        <v>200000</v>
      </c>
      <c r="H256" s="19">
        <v>0</v>
      </c>
      <c r="I256" t="s">
        <v>564</v>
      </c>
    </row>
    <row r="257" spans="1:9" x14ac:dyDescent="0.25">
      <c r="A257" t="s">
        <v>1015</v>
      </c>
      <c r="B257" t="s">
        <v>3139</v>
      </c>
      <c r="C257" t="s">
        <v>3146</v>
      </c>
      <c r="D257">
        <f t="shared" si="3"/>
        <v>1</v>
      </c>
      <c r="E257" t="s">
        <v>564</v>
      </c>
      <c r="F257">
        <v>1</v>
      </c>
      <c r="G257" s="19">
        <v>2200000</v>
      </c>
      <c r="H257" s="19">
        <v>0</v>
      </c>
      <c r="I257" t="s">
        <v>564</v>
      </c>
    </row>
    <row r="258" spans="1:9" x14ac:dyDescent="0.25">
      <c r="A258" t="s">
        <v>1016</v>
      </c>
      <c r="B258" t="s">
        <v>3139</v>
      </c>
      <c r="C258" t="s">
        <v>3146</v>
      </c>
      <c r="D258">
        <f t="shared" si="3"/>
        <v>1</v>
      </c>
      <c r="E258" t="s">
        <v>564</v>
      </c>
      <c r="F258">
        <v>1</v>
      </c>
      <c r="G258" s="19">
        <v>1300000</v>
      </c>
      <c r="H258" s="19">
        <v>0</v>
      </c>
      <c r="I258" t="s">
        <v>564</v>
      </c>
    </row>
    <row r="259" spans="1:9" x14ac:dyDescent="0.25">
      <c r="A259" t="s">
        <v>1018</v>
      </c>
      <c r="B259" t="s">
        <v>3139</v>
      </c>
      <c r="C259" t="s">
        <v>3146</v>
      </c>
      <c r="D259">
        <f t="shared" ref="D259:D322" si="4">(G259+H259)/G259</f>
        <v>1</v>
      </c>
      <c r="E259" t="s">
        <v>564</v>
      </c>
      <c r="F259">
        <v>1</v>
      </c>
      <c r="G259" s="19">
        <v>2200000</v>
      </c>
      <c r="H259" s="19">
        <v>0</v>
      </c>
      <c r="I259" t="s">
        <v>564</v>
      </c>
    </row>
    <row r="260" spans="1:9" x14ac:dyDescent="0.25">
      <c r="A260" t="s">
        <v>1020</v>
      </c>
      <c r="B260" t="s">
        <v>3139</v>
      </c>
      <c r="C260" t="s">
        <v>3146</v>
      </c>
      <c r="D260">
        <f t="shared" si="4"/>
        <v>1</v>
      </c>
      <c r="E260" t="s">
        <v>564</v>
      </c>
      <c r="F260">
        <v>1</v>
      </c>
      <c r="G260" s="19">
        <v>300000</v>
      </c>
      <c r="H260" s="19">
        <v>0</v>
      </c>
      <c r="I260" t="s">
        <v>564</v>
      </c>
    </row>
    <row r="261" spans="1:9" x14ac:dyDescent="0.25">
      <c r="A261" t="s">
        <v>1022</v>
      </c>
      <c r="B261" t="s">
        <v>3139</v>
      </c>
      <c r="C261" t="s">
        <v>3146</v>
      </c>
      <c r="D261">
        <f t="shared" si="4"/>
        <v>1</v>
      </c>
      <c r="E261" t="s">
        <v>564</v>
      </c>
      <c r="F261">
        <v>1</v>
      </c>
      <c r="G261" s="19">
        <v>18500000</v>
      </c>
      <c r="H261" s="19">
        <v>0</v>
      </c>
      <c r="I261" t="s">
        <v>564</v>
      </c>
    </row>
    <row r="262" spans="1:9" x14ac:dyDescent="0.25">
      <c r="A262" t="s">
        <v>1024</v>
      </c>
      <c r="B262" t="s">
        <v>3139</v>
      </c>
      <c r="C262" t="s">
        <v>3146</v>
      </c>
      <c r="D262">
        <f t="shared" si="4"/>
        <v>1</v>
      </c>
      <c r="E262" t="s">
        <v>564</v>
      </c>
      <c r="F262">
        <v>1</v>
      </c>
      <c r="G262" s="19">
        <v>1300000</v>
      </c>
      <c r="H262" s="19">
        <v>0</v>
      </c>
      <c r="I262" t="s">
        <v>564</v>
      </c>
    </row>
    <row r="263" spans="1:9" x14ac:dyDescent="0.25">
      <c r="A263" t="s">
        <v>1026</v>
      </c>
      <c r="B263" t="s">
        <v>3139</v>
      </c>
      <c r="C263" t="s">
        <v>3146</v>
      </c>
      <c r="D263">
        <f t="shared" si="4"/>
        <v>1</v>
      </c>
      <c r="E263" t="s">
        <v>15</v>
      </c>
      <c r="F263">
        <v>1</v>
      </c>
      <c r="G263" s="19">
        <v>500000</v>
      </c>
      <c r="H263" s="19">
        <v>0</v>
      </c>
      <c r="I263" t="s">
        <v>15</v>
      </c>
    </row>
    <row r="264" spans="1:9" x14ac:dyDescent="0.25">
      <c r="A264" t="s">
        <v>1028</v>
      </c>
      <c r="B264" t="s">
        <v>3139</v>
      </c>
      <c r="C264" t="s">
        <v>3146</v>
      </c>
      <c r="D264">
        <f t="shared" si="4"/>
        <v>1</v>
      </c>
      <c r="E264" t="s">
        <v>564</v>
      </c>
      <c r="F264">
        <v>1</v>
      </c>
      <c r="G264" s="19">
        <v>22500000</v>
      </c>
      <c r="H264" s="19">
        <v>0</v>
      </c>
      <c r="I264" t="s">
        <v>564</v>
      </c>
    </row>
    <row r="265" spans="1:9" x14ac:dyDescent="0.25">
      <c r="A265" t="s">
        <v>1030</v>
      </c>
      <c r="B265" t="s">
        <v>3139</v>
      </c>
      <c r="C265" t="s">
        <v>3146</v>
      </c>
      <c r="D265">
        <f t="shared" si="4"/>
        <v>1</v>
      </c>
      <c r="E265" t="s">
        <v>595</v>
      </c>
      <c r="F265">
        <v>1</v>
      </c>
      <c r="G265" s="19">
        <v>500000</v>
      </c>
      <c r="H265" s="19">
        <v>0</v>
      </c>
      <c r="I265" t="s">
        <v>13</v>
      </c>
    </row>
    <row r="266" spans="1:9" x14ac:dyDescent="0.25">
      <c r="A266" t="s">
        <v>1031</v>
      </c>
      <c r="B266" t="s">
        <v>3139</v>
      </c>
      <c r="C266" t="s">
        <v>3146</v>
      </c>
      <c r="D266">
        <f t="shared" si="4"/>
        <v>1</v>
      </c>
      <c r="E266" t="s">
        <v>716</v>
      </c>
      <c r="F266">
        <v>1</v>
      </c>
      <c r="G266" s="19">
        <v>200000</v>
      </c>
      <c r="H266" s="19">
        <v>0</v>
      </c>
      <c r="I266" t="s">
        <v>13</v>
      </c>
    </row>
    <row r="267" spans="1:9" x14ac:dyDescent="0.25">
      <c r="A267" t="s">
        <v>1033</v>
      </c>
      <c r="B267" t="s">
        <v>3139</v>
      </c>
      <c r="C267" t="s">
        <v>3146</v>
      </c>
      <c r="D267">
        <f t="shared" si="4"/>
        <v>1</v>
      </c>
      <c r="E267" t="s">
        <v>637</v>
      </c>
      <c r="F267">
        <v>1</v>
      </c>
      <c r="G267" s="19">
        <v>1600000</v>
      </c>
      <c r="H267" s="19">
        <v>0</v>
      </c>
      <c r="I267" t="s">
        <v>13</v>
      </c>
    </row>
    <row r="268" spans="1:9" x14ac:dyDescent="0.25">
      <c r="A268" t="s">
        <v>1035</v>
      </c>
      <c r="B268" t="s">
        <v>3139</v>
      </c>
      <c r="C268" t="s">
        <v>3146</v>
      </c>
      <c r="D268">
        <f t="shared" si="4"/>
        <v>1</v>
      </c>
      <c r="E268" t="s">
        <v>564</v>
      </c>
      <c r="F268">
        <v>1</v>
      </c>
      <c r="G268" s="19">
        <v>23600000</v>
      </c>
      <c r="H268" s="19">
        <v>0</v>
      </c>
      <c r="I268" t="s">
        <v>564</v>
      </c>
    </row>
    <row r="269" spans="1:9" x14ac:dyDescent="0.25">
      <c r="A269" t="s">
        <v>1037</v>
      </c>
      <c r="B269" t="s">
        <v>3139</v>
      </c>
      <c r="C269" t="s">
        <v>3146</v>
      </c>
      <c r="D269">
        <f t="shared" si="4"/>
        <v>1</v>
      </c>
      <c r="E269" t="s">
        <v>564</v>
      </c>
      <c r="F269">
        <v>1</v>
      </c>
      <c r="G269" s="19">
        <v>700000</v>
      </c>
      <c r="H269" s="19">
        <v>0</v>
      </c>
      <c r="I269" t="s">
        <v>564</v>
      </c>
    </row>
    <row r="270" spans="1:9" x14ac:dyDescent="0.25">
      <c r="A270" t="s">
        <v>1039</v>
      </c>
      <c r="B270" t="s">
        <v>3139</v>
      </c>
      <c r="C270" t="s">
        <v>3146</v>
      </c>
      <c r="D270">
        <f t="shared" si="4"/>
        <v>1</v>
      </c>
      <c r="E270" t="s">
        <v>564</v>
      </c>
      <c r="F270">
        <v>1</v>
      </c>
      <c r="G270" s="19">
        <v>300000</v>
      </c>
      <c r="H270" s="19">
        <v>0</v>
      </c>
      <c r="I270" t="s">
        <v>564</v>
      </c>
    </row>
    <row r="271" spans="1:9" x14ac:dyDescent="0.25">
      <c r="A271" t="s">
        <v>1040</v>
      </c>
      <c r="B271" t="s">
        <v>3139</v>
      </c>
      <c r="C271" t="s">
        <v>3146</v>
      </c>
      <c r="D271">
        <f t="shared" si="4"/>
        <v>1</v>
      </c>
      <c r="E271" t="s">
        <v>564</v>
      </c>
      <c r="F271">
        <v>1</v>
      </c>
      <c r="G271" s="19">
        <v>6200000</v>
      </c>
      <c r="H271" s="19">
        <v>0</v>
      </c>
      <c r="I271" t="s">
        <v>564</v>
      </c>
    </row>
    <row r="272" spans="1:9" x14ac:dyDescent="0.25">
      <c r="A272" t="s">
        <v>1042</v>
      </c>
      <c r="B272" t="s">
        <v>3139</v>
      </c>
      <c r="C272" t="s">
        <v>3146</v>
      </c>
      <c r="D272">
        <f t="shared" si="4"/>
        <v>1</v>
      </c>
      <c r="E272" t="s">
        <v>564</v>
      </c>
      <c r="F272">
        <v>1</v>
      </c>
      <c r="G272" s="19">
        <v>200000</v>
      </c>
      <c r="H272" s="19">
        <v>0</v>
      </c>
      <c r="I272" t="s">
        <v>564</v>
      </c>
    </row>
    <row r="273" spans="1:9" x14ac:dyDescent="0.25">
      <c r="A273" t="s">
        <v>1044</v>
      </c>
      <c r="B273" t="s">
        <v>3139</v>
      </c>
      <c r="C273" t="s">
        <v>3146</v>
      </c>
      <c r="D273">
        <f t="shared" si="4"/>
        <v>1</v>
      </c>
      <c r="E273" t="s">
        <v>564</v>
      </c>
      <c r="F273">
        <v>1</v>
      </c>
      <c r="G273" s="19">
        <v>300000</v>
      </c>
      <c r="H273" s="19">
        <v>0</v>
      </c>
      <c r="I273" t="s">
        <v>564</v>
      </c>
    </row>
    <row r="274" spans="1:9" x14ac:dyDescent="0.25">
      <c r="A274" t="s">
        <v>1046</v>
      </c>
      <c r="B274" t="s">
        <v>3139</v>
      </c>
      <c r="C274" t="s">
        <v>3146</v>
      </c>
      <c r="D274">
        <f t="shared" si="4"/>
        <v>1</v>
      </c>
      <c r="E274" t="s">
        <v>564</v>
      </c>
      <c r="F274">
        <v>1</v>
      </c>
      <c r="G274" s="19">
        <v>1700000</v>
      </c>
      <c r="H274" s="19">
        <v>0</v>
      </c>
      <c r="I274" t="s">
        <v>564</v>
      </c>
    </row>
    <row r="275" spans="1:9" x14ac:dyDescent="0.25">
      <c r="A275" t="s">
        <v>1048</v>
      </c>
      <c r="B275" t="s">
        <v>3139</v>
      </c>
      <c r="C275" t="s">
        <v>3146</v>
      </c>
      <c r="D275">
        <f t="shared" si="4"/>
        <v>1</v>
      </c>
      <c r="E275" t="s">
        <v>564</v>
      </c>
      <c r="F275">
        <v>1</v>
      </c>
      <c r="G275" s="19">
        <v>12700000</v>
      </c>
      <c r="H275" s="19">
        <v>0</v>
      </c>
      <c r="I275" t="s">
        <v>564</v>
      </c>
    </row>
    <row r="276" spans="1:9" x14ac:dyDescent="0.25">
      <c r="A276" t="s">
        <v>1050</v>
      </c>
      <c r="B276" t="s">
        <v>3139</v>
      </c>
      <c r="C276" t="s">
        <v>3146</v>
      </c>
      <c r="D276">
        <f t="shared" si="4"/>
        <v>1</v>
      </c>
      <c r="E276" t="s">
        <v>564</v>
      </c>
      <c r="F276">
        <v>1</v>
      </c>
      <c r="G276" s="19">
        <v>1500000</v>
      </c>
      <c r="H276" s="19">
        <v>0</v>
      </c>
      <c r="I276" t="s">
        <v>564</v>
      </c>
    </row>
    <row r="277" spans="1:9" x14ac:dyDescent="0.25">
      <c r="A277" t="s">
        <v>1051</v>
      </c>
      <c r="B277" t="s">
        <v>3139</v>
      </c>
      <c r="C277" t="s">
        <v>3146</v>
      </c>
      <c r="D277">
        <f t="shared" si="4"/>
        <v>1</v>
      </c>
      <c r="E277" t="s">
        <v>15</v>
      </c>
      <c r="F277">
        <v>1</v>
      </c>
      <c r="G277" s="19">
        <v>1200000</v>
      </c>
      <c r="H277" s="19">
        <v>0</v>
      </c>
      <c r="I277" t="s">
        <v>15</v>
      </c>
    </row>
    <row r="278" spans="1:9" x14ac:dyDescent="0.25">
      <c r="A278" t="s">
        <v>1053</v>
      </c>
      <c r="B278" t="s">
        <v>3139</v>
      </c>
      <c r="C278" t="s">
        <v>3146</v>
      </c>
      <c r="D278">
        <f t="shared" si="4"/>
        <v>1</v>
      </c>
      <c r="E278" t="s">
        <v>564</v>
      </c>
      <c r="F278">
        <v>1</v>
      </c>
      <c r="G278" s="19">
        <v>400000</v>
      </c>
      <c r="H278" s="19">
        <v>0</v>
      </c>
      <c r="I278" t="s">
        <v>564</v>
      </c>
    </row>
    <row r="279" spans="1:9" x14ac:dyDescent="0.25">
      <c r="A279" t="s">
        <v>1055</v>
      </c>
      <c r="B279" t="s">
        <v>3139</v>
      </c>
      <c r="C279" t="s">
        <v>3146</v>
      </c>
      <c r="D279">
        <f t="shared" si="4"/>
        <v>1</v>
      </c>
      <c r="E279" t="s">
        <v>564</v>
      </c>
      <c r="F279">
        <v>1</v>
      </c>
      <c r="G279" s="19">
        <v>900000</v>
      </c>
      <c r="H279" s="19">
        <v>0</v>
      </c>
      <c r="I279" t="s">
        <v>564</v>
      </c>
    </row>
    <row r="280" spans="1:9" x14ac:dyDescent="0.25">
      <c r="A280" t="s">
        <v>1057</v>
      </c>
      <c r="B280" t="s">
        <v>3139</v>
      </c>
      <c r="C280" t="s">
        <v>3146</v>
      </c>
      <c r="D280">
        <f t="shared" si="4"/>
        <v>1</v>
      </c>
      <c r="E280" t="s">
        <v>523</v>
      </c>
      <c r="F280">
        <v>1</v>
      </c>
      <c r="G280" s="19">
        <v>4200000</v>
      </c>
      <c r="H280" s="19">
        <v>0</v>
      </c>
      <c r="I280" t="s">
        <v>481</v>
      </c>
    </row>
    <row r="281" spans="1:9" x14ac:dyDescent="0.25">
      <c r="A281" t="s">
        <v>1057</v>
      </c>
      <c r="B281" t="s">
        <v>3139</v>
      </c>
      <c r="C281" t="s">
        <v>3146</v>
      </c>
      <c r="D281">
        <f t="shared" si="4"/>
        <v>1</v>
      </c>
      <c r="E281" t="s">
        <v>564</v>
      </c>
      <c r="F281">
        <v>1</v>
      </c>
      <c r="G281" s="19">
        <v>2000000</v>
      </c>
      <c r="H281" s="19">
        <v>0</v>
      </c>
      <c r="I281" t="s">
        <v>564</v>
      </c>
    </row>
    <row r="282" spans="1:9" x14ac:dyDescent="0.25">
      <c r="A282" t="s">
        <v>1059</v>
      </c>
      <c r="B282" t="s">
        <v>3139</v>
      </c>
      <c r="C282" t="s">
        <v>3146</v>
      </c>
      <c r="D282">
        <f t="shared" si="4"/>
        <v>1</v>
      </c>
      <c r="E282" t="s">
        <v>564</v>
      </c>
      <c r="F282">
        <v>1</v>
      </c>
      <c r="G282" s="19">
        <v>4900000</v>
      </c>
      <c r="H282" s="19">
        <v>0</v>
      </c>
      <c r="I282" t="s">
        <v>564</v>
      </c>
    </row>
    <row r="283" spans="1:9" x14ac:dyDescent="0.25">
      <c r="A283" t="s">
        <v>1061</v>
      </c>
      <c r="B283" t="s">
        <v>3139</v>
      </c>
      <c r="C283" t="s">
        <v>3146</v>
      </c>
      <c r="D283">
        <f t="shared" si="4"/>
        <v>1</v>
      </c>
      <c r="E283" t="s">
        <v>564</v>
      </c>
      <c r="F283">
        <v>1</v>
      </c>
      <c r="G283" s="19">
        <v>4200000</v>
      </c>
      <c r="H283" s="19">
        <v>0</v>
      </c>
      <c r="I283" t="s">
        <v>564</v>
      </c>
    </row>
    <row r="284" spans="1:9" x14ac:dyDescent="0.25">
      <c r="A284" t="s">
        <v>1063</v>
      </c>
      <c r="B284" t="s">
        <v>3139</v>
      </c>
      <c r="C284" t="s">
        <v>3146</v>
      </c>
      <c r="D284">
        <f t="shared" si="4"/>
        <v>1</v>
      </c>
      <c r="E284" t="s">
        <v>564</v>
      </c>
      <c r="F284">
        <v>1</v>
      </c>
      <c r="G284" s="19">
        <v>500000</v>
      </c>
      <c r="H284" s="19">
        <v>0</v>
      </c>
      <c r="I284" t="s">
        <v>564</v>
      </c>
    </row>
    <row r="285" spans="1:9" x14ac:dyDescent="0.25">
      <c r="A285" t="s">
        <v>1065</v>
      </c>
      <c r="B285" t="s">
        <v>3139</v>
      </c>
      <c r="C285" t="s">
        <v>3146</v>
      </c>
      <c r="D285">
        <f t="shared" si="4"/>
        <v>1</v>
      </c>
      <c r="E285" t="s">
        <v>564</v>
      </c>
      <c r="F285">
        <v>1</v>
      </c>
      <c r="G285" s="19">
        <v>1900000</v>
      </c>
      <c r="H285" s="19">
        <v>0</v>
      </c>
      <c r="I285" t="s">
        <v>564</v>
      </c>
    </row>
    <row r="286" spans="1:9" x14ac:dyDescent="0.25">
      <c r="A286" t="s">
        <v>1067</v>
      </c>
      <c r="B286" t="s">
        <v>3139</v>
      </c>
      <c r="C286" t="s">
        <v>3146</v>
      </c>
      <c r="D286">
        <f t="shared" si="4"/>
        <v>1</v>
      </c>
      <c r="E286" t="s">
        <v>15</v>
      </c>
      <c r="F286">
        <v>1</v>
      </c>
      <c r="G286" s="19">
        <v>400000</v>
      </c>
      <c r="H286" s="19">
        <v>0</v>
      </c>
      <c r="I286" t="s">
        <v>15</v>
      </c>
    </row>
    <row r="287" spans="1:9" x14ac:dyDescent="0.25">
      <c r="A287" t="s">
        <v>1069</v>
      </c>
      <c r="B287" t="s">
        <v>3139</v>
      </c>
      <c r="C287" t="s">
        <v>3146</v>
      </c>
      <c r="D287">
        <f t="shared" si="4"/>
        <v>1</v>
      </c>
      <c r="E287" t="s">
        <v>595</v>
      </c>
      <c r="F287">
        <v>1</v>
      </c>
      <c r="G287" s="19">
        <v>500000</v>
      </c>
      <c r="H287" s="19">
        <v>0</v>
      </c>
      <c r="I287" t="s">
        <v>13</v>
      </c>
    </row>
    <row r="288" spans="1:9" x14ac:dyDescent="0.25">
      <c r="A288" t="s">
        <v>1071</v>
      </c>
      <c r="B288" t="s">
        <v>3139</v>
      </c>
      <c r="C288" t="s">
        <v>3146</v>
      </c>
      <c r="D288">
        <f t="shared" si="4"/>
        <v>1</v>
      </c>
      <c r="E288" t="s">
        <v>595</v>
      </c>
      <c r="F288">
        <v>1</v>
      </c>
      <c r="G288" s="19">
        <v>200000</v>
      </c>
      <c r="H288" s="19">
        <v>0</v>
      </c>
      <c r="I288" t="s">
        <v>13</v>
      </c>
    </row>
    <row r="289" spans="1:9" x14ac:dyDescent="0.25">
      <c r="A289" t="s">
        <v>1073</v>
      </c>
      <c r="B289" t="s">
        <v>3139</v>
      </c>
      <c r="C289" t="s">
        <v>3146</v>
      </c>
      <c r="D289">
        <f t="shared" si="4"/>
        <v>1</v>
      </c>
      <c r="E289" t="s">
        <v>564</v>
      </c>
      <c r="F289">
        <v>1</v>
      </c>
      <c r="G289" s="19">
        <v>300000</v>
      </c>
      <c r="H289" s="19">
        <v>0</v>
      </c>
      <c r="I289" t="s">
        <v>564</v>
      </c>
    </row>
    <row r="290" spans="1:9" x14ac:dyDescent="0.25">
      <c r="A290" t="s">
        <v>1074</v>
      </c>
      <c r="B290" t="s">
        <v>3139</v>
      </c>
      <c r="C290" t="s">
        <v>3146</v>
      </c>
      <c r="D290">
        <f t="shared" si="4"/>
        <v>1</v>
      </c>
      <c r="E290" t="s">
        <v>532</v>
      </c>
      <c r="F290">
        <v>1</v>
      </c>
      <c r="G290" s="19">
        <v>1000000</v>
      </c>
      <c r="H290" s="19">
        <v>0</v>
      </c>
      <c r="I290" t="s">
        <v>481</v>
      </c>
    </row>
    <row r="291" spans="1:9" x14ac:dyDescent="0.25">
      <c r="A291" t="s">
        <v>1076</v>
      </c>
      <c r="B291" t="s">
        <v>3139</v>
      </c>
      <c r="C291" t="s">
        <v>3146</v>
      </c>
      <c r="D291">
        <f t="shared" si="4"/>
        <v>1</v>
      </c>
      <c r="E291" t="s">
        <v>564</v>
      </c>
      <c r="F291">
        <v>1</v>
      </c>
      <c r="G291" s="19">
        <v>1700000</v>
      </c>
      <c r="H291" s="19">
        <v>0</v>
      </c>
      <c r="I291" t="s">
        <v>564</v>
      </c>
    </row>
    <row r="292" spans="1:9" x14ac:dyDescent="0.25">
      <c r="A292" t="s">
        <v>1078</v>
      </c>
      <c r="B292" t="s">
        <v>3139</v>
      </c>
      <c r="C292" t="s">
        <v>3146</v>
      </c>
      <c r="D292">
        <f t="shared" si="4"/>
        <v>1</v>
      </c>
      <c r="E292" t="s">
        <v>564</v>
      </c>
      <c r="F292">
        <v>1</v>
      </c>
      <c r="G292" s="19">
        <v>3300000</v>
      </c>
      <c r="H292" s="19">
        <v>0</v>
      </c>
      <c r="I292" t="s">
        <v>564</v>
      </c>
    </row>
    <row r="293" spans="1:9" x14ac:dyDescent="0.25">
      <c r="A293" t="s">
        <v>1080</v>
      </c>
      <c r="B293" t="s">
        <v>3139</v>
      </c>
      <c r="C293" t="s">
        <v>3146</v>
      </c>
      <c r="D293">
        <f t="shared" si="4"/>
        <v>1</v>
      </c>
      <c r="E293" t="s">
        <v>564</v>
      </c>
      <c r="F293">
        <v>1</v>
      </c>
      <c r="G293" s="19">
        <v>300000</v>
      </c>
      <c r="H293" s="19">
        <v>0</v>
      </c>
      <c r="I293" t="s">
        <v>564</v>
      </c>
    </row>
    <row r="294" spans="1:9" x14ac:dyDescent="0.25">
      <c r="A294" t="s">
        <v>1082</v>
      </c>
      <c r="B294" t="s">
        <v>3139</v>
      </c>
      <c r="C294" t="s">
        <v>3146</v>
      </c>
      <c r="D294">
        <f t="shared" si="4"/>
        <v>1</v>
      </c>
      <c r="E294" t="s">
        <v>564</v>
      </c>
      <c r="F294">
        <v>1</v>
      </c>
      <c r="G294" s="19">
        <v>4900000</v>
      </c>
      <c r="H294" s="19">
        <v>0</v>
      </c>
      <c r="I294" t="s">
        <v>564</v>
      </c>
    </row>
    <row r="295" spans="1:9" x14ac:dyDescent="0.25">
      <c r="A295" t="s">
        <v>1083</v>
      </c>
      <c r="B295" t="s">
        <v>3139</v>
      </c>
      <c r="C295" t="s">
        <v>3146</v>
      </c>
      <c r="D295">
        <f t="shared" si="4"/>
        <v>1</v>
      </c>
      <c r="E295" t="s">
        <v>532</v>
      </c>
      <c r="F295">
        <v>1</v>
      </c>
      <c r="G295" s="19">
        <v>200000</v>
      </c>
      <c r="H295" s="19">
        <v>0</v>
      </c>
      <c r="I295" t="s">
        <v>481</v>
      </c>
    </row>
    <row r="296" spans="1:9" x14ac:dyDescent="0.25">
      <c r="A296" t="s">
        <v>1084</v>
      </c>
      <c r="B296" t="s">
        <v>3139</v>
      </c>
      <c r="C296" t="s">
        <v>3146</v>
      </c>
      <c r="D296">
        <f t="shared" si="4"/>
        <v>1</v>
      </c>
      <c r="E296" t="s">
        <v>564</v>
      </c>
      <c r="F296">
        <v>1</v>
      </c>
      <c r="G296" s="19">
        <v>1800000</v>
      </c>
      <c r="H296" s="19">
        <v>0</v>
      </c>
      <c r="I296" t="s">
        <v>564</v>
      </c>
    </row>
    <row r="297" spans="1:9" x14ac:dyDescent="0.25">
      <c r="A297" t="s">
        <v>1085</v>
      </c>
      <c r="B297" t="s">
        <v>3139</v>
      </c>
      <c r="C297" t="s">
        <v>3146</v>
      </c>
      <c r="D297">
        <f t="shared" si="4"/>
        <v>1</v>
      </c>
      <c r="E297" t="s">
        <v>564</v>
      </c>
      <c r="F297">
        <v>1</v>
      </c>
      <c r="G297" s="19">
        <v>3500000</v>
      </c>
      <c r="H297" s="19">
        <v>0</v>
      </c>
      <c r="I297" t="s">
        <v>564</v>
      </c>
    </row>
    <row r="298" spans="1:9" x14ac:dyDescent="0.25">
      <c r="A298" t="s">
        <v>1086</v>
      </c>
      <c r="B298" t="s">
        <v>3139</v>
      </c>
      <c r="C298" t="s">
        <v>3146</v>
      </c>
      <c r="D298">
        <f t="shared" si="4"/>
        <v>1</v>
      </c>
      <c r="E298" t="s">
        <v>15</v>
      </c>
      <c r="F298">
        <v>1</v>
      </c>
      <c r="G298" s="19">
        <v>1600000</v>
      </c>
      <c r="H298" s="19">
        <v>0</v>
      </c>
      <c r="I298" t="s">
        <v>15</v>
      </c>
    </row>
    <row r="299" spans="1:9" x14ac:dyDescent="0.25">
      <c r="A299" t="s">
        <v>1088</v>
      </c>
      <c r="B299" t="s">
        <v>3139</v>
      </c>
      <c r="C299" t="s">
        <v>3146</v>
      </c>
      <c r="D299">
        <f t="shared" si="4"/>
        <v>1</v>
      </c>
      <c r="E299" t="s">
        <v>564</v>
      </c>
      <c r="F299">
        <v>1</v>
      </c>
      <c r="G299" s="19">
        <v>3000000</v>
      </c>
      <c r="H299" s="19">
        <v>0</v>
      </c>
      <c r="I299" t="s">
        <v>564</v>
      </c>
    </row>
    <row r="300" spans="1:9" x14ac:dyDescent="0.25">
      <c r="A300" t="s">
        <v>1090</v>
      </c>
      <c r="B300" t="s">
        <v>3139</v>
      </c>
      <c r="C300" t="s">
        <v>3146</v>
      </c>
      <c r="D300">
        <f t="shared" si="4"/>
        <v>1</v>
      </c>
      <c r="E300" t="s">
        <v>564</v>
      </c>
      <c r="F300">
        <v>1</v>
      </c>
      <c r="G300" s="19">
        <v>500000</v>
      </c>
      <c r="H300" s="19">
        <v>0</v>
      </c>
      <c r="I300" t="s">
        <v>564</v>
      </c>
    </row>
    <row r="301" spans="1:9" x14ac:dyDescent="0.25">
      <c r="A301" t="s">
        <v>1092</v>
      </c>
      <c r="B301" t="s">
        <v>3139</v>
      </c>
      <c r="C301" t="s">
        <v>3146</v>
      </c>
      <c r="D301">
        <f t="shared" si="4"/>
        <v>1</v>
      </c>
      <c r="E301" t="s">
        <v>564</v>
      </c>
      <c r="F301">
        <v>1</v>
      </c>
      <c r="G301" s="19">
        <v>1200000</v>
      </c>
      <c r="H301" s="19">
        <v>0</v>
      </c>
      <c r="I301" t="s">
        <v>564</v>
      </c>
    </row>
    <row r="302" spans="1:9" x14ac:dyDescent="0.25">
      <c r="A302" t="s">
        <v>1093</v>
      </c>
      <c r="B302" t="s">
        <v>3139</v>
      </c>
      <c r="C302" t="s">
        <v>3146</v>
      </c>
      <c r="D302">
        <f t="shared" si="4"/>
        <v>1</v>
      </c>
      <c r="E302" t="s">
        <v>15</v>
      </c>
      <c r="F302">
        <v>1</v>
      </c>
      <c r="G302" s="19">
        <v>1800000</v>
      </c>
      <c r="H302" s="19">
        <v>0</v>
      </c>
      <c r="I302" t="s">
        <v>15</v>
      </c>
    </row>
    <row r="303" spans="1:9" x14ac:dyDescent="0.25">
      <c r="A303" t="s">
        <v>1095</v>
      </c>
      <c r="B303" t="s">
        <v>3139</v>
      </c>
      <c r="C303" t="s">
        <v>3146</v>
      </c>
      <c r="D303">
        <f t="shared" si="4"/>
        <v>1</v>
      </c>
      <c r="E303" t="s">
        <v>532</v>
      </c>
      <c r="F303">
        <v>1</v>
      </c>
      <c r="G303" s="19">
        <v>100000</v>
      </c>
      <c r="H303" s="19">
        <v>0</v>
      </c>
      <c r="I303" t="s">
        <v>481</v>
      </c>
    </row>
    <row r="304" spans="1:9" x14ac:dyDescent="0.25">
      <c r="A304" t="s">
        <v>1095</v>
      </c>
      <c r="B304" t="s">
        <v>3139</v>
      </c>
      <c r="C304" t="s">
        <v>3146</v>
      </c>
      <c r="D304">
        <f t="shared" si="4"/>
        <v>1</v>
      </c>
      <c r="E304" t="s">
        <v>564</v>
      </c>
      <c r="F304">
        <v>1</v>
      </c>
      <c r="G304" s="19">
        <v>6600000</v>
      </c>
      <c r="H304" s="19">
        <v>0</v>
      </c>
      <c r="I304" t="s">
        <v>564</v>
      </c>
    </row>
    <row r="305" spans="1:9" x14ac:dyDescent="0.25">
      <c r="A305" t="s">
        <v>1097</v>
      </c>
      <c r="B305" t="s">
        <v>3139</v>
      </c>
      <c r="C305" t="s">
        <v>3146</v>
      </c>
      <c r="D305">
        <f t="shared" si="4"/>
        <v>1</v>
      </c>
      <c r="E305" t="s">
        <v>564</v>
      </c>
      <c r="F305">
        <v>1</v>
      </c>
      <c r="G305" s="19">
        <v>1700000</v>
      </c>
      <c r="H305" s="19">
        <v>0</v>
      </c>
      <c r="I305" t="s">
        <v>564</v>
      </c>
    </row>
    <row r="306" spans="1:9" x14ac:dyDescent="0.25">
      <c r="A306" t="s">
        <v>1099</v>
      </c>
      <c r="B306" t="s">
        <v>3139</v>
      </c>
      <c r="C306" t="s">
        <v>3146</v>
      </c>
      <c r="D306">
        <f t="shared" si="4"/>
        <v>1</v>
      </c>
      <c r="E306" t="s">
        <v>607</v>
      </c>
      <c r="F306">
        <v>1</v>
      </c>
      <c r="G306" s="19">
        <v>100000</v>
      </c>
      <c r="H306" s="19">
        <v>0</v>
      </c>
      <c r="I306" t="s">
        <v>13</v>
      </c>
    </row>
    <row r="307" spans="1:9" x14ac:dyDescent="0.25">
      <c r="A307" t="s">
        <v>1101</v>
      </c>
      <c r="B307" t="s">
        <v>3139</v>
      </c>
      <c r="C307" t="s">
        <v>3146</v>
      </c>
      <c r="D307">
        <f t="shared" si="4"/>
        <v>1</v>
      </c>
      <c r="E307" t="s">
        <v>564</v>
      </c>
      <c r="F307">
        <v>1</v>
      </c>
      <c r="G307" s="19">
        <v>17400000</v>
      </c>
      <c r="H307" s="19">
        <v>0</v>
      </c>
      <c r="I307" t="s">
        <v>564</v>
      </c>
    </row>
    <row r="308" spans="1:9" x14ac:dyDescent="0.25">
      <c r="A308" t="s">
        <v>1103</v>
      </c>
      <c r="B308" t="s">
        <v>3139</v>
      </c>
      <c r="C308" t="s">
        <v>3146</v>
      </c>
      <c r="D308">
        <f t="shared" si="4"/>
        <v>1</v>
      </c>
      <c r="E308" t="s">
        <v>637</v>
      </c>
      <c r="F308">
        <v>1</v>
      </c>
      <c r="G308" s="19">
        <v>100000</v>
      </c>
      <c r="H308" s="19">
        <v>0</v>
      </c>
      <c r="I308" t="s">
        <v>13</v>
      </c>
    </row>
    <row r="309" spans="1:9" x14ac:dyDescent="0.25">
      <c r="A309" t="s">
        <v>1105</v>
      </c>
      <c r="B309" t="s">
        <v>3139</v>
      </c>
      <c r="C309" t="s">
        <v>3146</v>
      </c>
      <c r="D309">
        <f t="shared" si="4"/>
        <v>1</v>
      </c>
      <c r="E309" t="s">
        <v>564</v>
      </c>
      <c r="F309">
        <v>1</v>
      </c>
      <c r="G309" s="19">
        <v>3900000</v>
      </c>
      <c r="H309" s="19">
        <v>0</v>
      </c>
      <c r="I309" t="s">
        <v>564</v>
      </c>
    </row>
    <row r="310" spans="1:9" x14ac:dyDescent="0.25">
      <c r="A310" t="s">
        <v>1107</v>
      </c>
      <c r="B310" t="s">
        <v>3139</v>
      </c>
      <c r="C310" t="s">
        <v>3146</v>
      </c>
      <c r="D310">
        <f t="shared" si="4"/>
        <v>1</v>
      </c>
      <c r="E310" t="s">
        <v>595</v>
      </c>
      <c r="F310">
        <v>1</v>
      </c>
      <c r="G310" s="19">
        <v>1500000</v>
      </c>
      <c r="H310" s="19">
        <v>0</v>
      </c>
      <c r="I310" t="s">
        <v>13</v>
      </c>
    </row>
    <row r="311" spans="1:9" x14ac:dyDescent="0.25">
      <c r="A311" t="s">
        <v>1109</v>
      </c>
      <c r="B311" t="s">
        <v>3139</v>
      </c>
      <c r="C311" t="s">
        <v>3146</v>
      </c>
      <c r="D311">
        <f t="shared" si="4"/>
        <v>1</v>
      </c>
      <c r="E311" t="s">
        <v>564</v>
      </c>
      <c r="F311">
        <v>1</v>
      </c>
      <c r="G311" s="19">
        <v>8000000</v>
      </c>
      <c r="H311" s="19">
        <v>0</v>
      </c>
      <c r="I311" t="s">
        <v>564</v>
      </c>
    </row>
    <row r="312" spans="1:9" x14ac:dyDescent="0.25">
      <c r="A312" t="s">
        <v>1111</v>
      </c>
      <c r="B312" t="s">
        <v>3139</v>
      </c>
      <c r="C312" t="s">
        <v>3146</v>
      </c>
      <c r="D312">
        <f t="shared" si="4"/>
        <v>1</v>
      </c>
      <c r="E312" t="s">
        <v>564</v>
      </c>
      <c r="F312">
        <v>1</v>
      </c>
      <c r="G312" s="19">
        <v>13700000</v>
      </c>
      <c r="H312" s="19">
        <v>0</v>
      </c>
      <c r="I312" t="s">
        <v>564</v>
      </c>
    </row>
    <row r="313" spans="1:9" x14ac:dyDescent="0.25">
      <c r="A313" t="s">
        <v>1113</v>
      </c>
      <c r="B313" t="s">
        <v>3139</v>
      </c>
      <c r="C313" t="s">
        <v>3146</v>
      </c>
      <c r="D313">
        <f t="shared" si="4"/>
        <v>1</v>
      </c>
      <c r="E313" t="s">
        <v>595</v>
      </c>
      <c r="F313">
        <v>1</v>
      </c>
      <c r="G313" s="19">
        <v>100000</v>
      </c>
      <c r="H313" s="19">
        <v>0</v>
      </c>
      <c r="I313" t="s">
        <v>13</v>
      </c>
    </row>
    <row r="314" spans="1:9" x14ac:dyDescent="0.25">
      <c r="A314" t="s">
        <v>1115</v>
      </c>
      <c r="B314" t="s">
        <v>3139</v>
      </c>
      <c r="C314" t="s">
        <v>3146</v>
      </c>
      <c r="D314">
        <f t="shared" si="4"/>
        <v>1</v>
      </c>
      <c r="E314" t="s">
        <v>564</v>
      </c>
      <c r="F314">
        <v>1</v>
      </c>
      <c r="G314" s="19">
        <v>2100000</v>
      </c>
      <c r="H314" s="19">
        <v>0</v>
      </c>
      <c r="I314" t="s">
        <v>564</v>
      </c>
    </row>
    <row r="315" spans="1:9" x14ac:dyDescent="0.25">
      <c r="A315" t="s">
        <v>1117</v>
      </c>
      <c r="B315" t="s">
        <v>3139</v>
      </c>
      <c r="C315" t="s">
        <v>3146</v>
      </c>
      <c r="D315">
        <f t="shared" si="4"/>
        <v>1</v>
      </c>
      <c r="E315" t="s">
        <v>564</v>
      </c>
      <c r="F315">
        <v>1</v>
      </c>
      <c r="G315" s="19">
        <v>5200000</v>
      </c>
      <c r="H315" s="19">
        <v>0</v>
      </c>
      <c r="I315" t="s">
        <v>564</v>
      </c>
    </row>
    <row r="316" spans="1:9" x14ac:dyDescent="0.25">
      <c r="A316" t="s">
        <v>1119</v>
      </c>
      <c r="B316" t="s">
        <v>3139</v>
      </c>
      <c r="C316" t="s">
        <v>3146</v>
      </c>
      <c r="D316">
        <f t="shared" si="4"/>
        <v>1</v>
      </c>
      <c r="E316" t="s">
        <v>637</v>
      </c>
      <c r="F316">
        <v>1</v>
      </c>
      <c r="G316" s="19">
        <v>100000</v>
      </c>
      <c r="H316" s="19">
        <v>0</v>
      </c>
      <c r="I316" t="s">
        <v>13</v>
      </c>
    </row>
    <row r="317" spans="1:9" x14ac:dyDescent="0.25">
      <c r="A317" t="s">
        <v>1121</v>
      </c>
      <c r="B317" t="s">
        <v>3139</v>
      </c>
      <c r="C317" t="s">
        <v>3146</v>
      </c>
      <c r="D317">
        <f t="shared" si="4"/>
        <v>1</v>
      </c>
      <c r="E317" t="s">
        <v>564</v>
      </c>
      <c r="F317">
        <v>1</v>
      </c>
      <c r="G317" s="19">
        <v>500000</v>
      </c>
      <c r="H317" s="19">
        <v>0</v>
      </c>
      <c r="I317" t="s">
        <v>564</v>
      </c>
    </row>
    <row r="318" spans="1:9" x14ac:dyDescent="0.25">
      <c r="A318" t="s">
        <v>1123</v>
      </c>
      <c r="B318" t="s">
        <v>3139</v>
      </c>
      <c r="C318" t="s">
        <v>3146</v>
      </c>
      <c r="D318">
        <f t="shared" si="4"/>
        <v>1</v>
      </c>
      <c r="E318" t="s">
        <v>637</v>
      </c>
      <c r="F318">
        <v>1</v>
      </c>
      <c r="G318" s="19">
        <v>100000</v>
      </c>
      <c r="H318" s="19">
        <v>0</v>
      </c>
      <c r="I318" t="s">
        <v>13</v>
      </c>
    </row>
    <row r="319" spans="1:9" x14ac:dyDescent="0.25">
      <c r="A319" t="s">
        <v>1125</v>
      </c>
      <c r="B319" t="s">
        <v>3139</v>
      </c>
      <c r="C319" t="s">
        <v>3146</v>
      </c>
      <c r="D319">
        <f t="shared" si="4"/>
        <v>1</v>
      </c>
      <c r="E319" t="s">
        <v>564</v>
      </c>
      <c r="F319">
        <v>1</v>
      </c>
      <c r="G319" s="19">
        <v>9700000</v>
      </c>
      <c r="H319" s="19">
        <v>0</v>
      </c>
      <c r="I319" t="s">
        <v>564</v>
      </c>
    </row>
    <row r="320" spans="1:9" x14ac:dyDescent="0.25">
      <c r="A320" t="s">
        <v>1127</v>
      </c>
      <c r="B320" t="s">
        <v>3139</v>
      </c>
      <c r="C320" t="s">
        <v>3146</v>
      </c>
      <c r="D320">
        <f t="shared" si="4"/>
        <v>1</v>
      </c>
      <c r="E320" t="s">
        <v>564</v>
      </c>
      <c r="F320">
        <v>1</v>
      </c>
      <c r="G320" s="19">
        <v>3400000</v>
      </c>
      <c r="H320" s="19">
        <v>0</v>
      </c>
      <c r="I320" t="s">
        <v>564</v>
      </c>
    </row>
    <row r="321" spans="1:9" x14ac:dyDescent="0.25">
      <c r="A321" t="s">
        <v>1128</v>
      </c>
      <c r="B321" t="s">
        <v>3139</v>
      </c>
      <c r="C321" t="s">
        <v>3146</v>
      </c>
      <c r="D321">
        <f t="shared" si="4"/>
        <v>1</v>
      </c>
      <c r="E321" t="s">
        <v>564</v>
      </c>
      <c r="F321">
        <v>1</v>
      </c>
      <c r="G321" s="19">
        <v>1900000</v>
      </c>
      <c r="H321" s="19">
        <v>0</v>
      </c>
      <c r="I321" t="s">
        <v>564</v>
      </c>
    </row>
    <row r="322" spans="1:9" x14ac:dyDescent="0.25">
      <c r="A322" t="s">
        <v>1129</v>
      </c>
      <c r="B322" t="s">
        <v>3139</v>
      </c>
      <c r="C322" t="s">
        <v>3146</v>
      </c>
      <c r="D322">
        <f t="shared" si="4"/>
        <v>1</v>
      </c>
      <c r="E322" t="s">
        <v>564</v>
      </c>
      <c r="F322">
        <v>1</v>
      </c>
      <c r="G322" s="19">
        <v>2200000</v>
      </c>
      <c r="H322" s="19">
        <v>0</v>
      </c>
      <c r="I322" t="s">
        <v>564</v>
      </c>
    </row>
    <row r="323" spans="1:9" x14ac:dyDescent="0.25">
      <c r="A323" t="s">
        <v>1131</v>
      </c>
      <c r="B323" t="s">
        <v>3139</v>
      </c>
      <c r="C323" t="s">
        <v>3146</v>
      </c>
      <c r="D323">
        <f t="shared" ref="D323:D386" si="5">(G323+H323)/G323</f>
        <v>1.1111111111111112</v>
      </c>
      <c r="E323" t="s">
        <v>564</v>
      </c>
      <c r="F323">
        <v>1</v>
      </c>
      <c r="G323" s="19">
        <v>900000</v>
      </c>
      <c r="H323" s="19">
        <v>100000</v>
      </c>
      <c r="I323" t="s">
        <v>564</v>
      </c>
    </row>
    <row r="324" spans="1:9" x14ac:dyDescent="0.25">
      <c r="A324" t="s">
        <v>1133</v>
      </c>
      <c r="B324" t="s">
        <v>3139</v>
      </c>
      <c r="C324" t="s">
        <v>3146</v>
      </c>
      <c r="D324">
        <f t="shared" si="5"/>
        <v>1.5</v>
      </c>
      <c r="E324" t="s">
        <v>564</v>
      </c>
      <c r="F324">
        <v>1</v>
      </c>
      <c r="G324" s="19">
        <v>200000</v>
      </c>
      <c r="H324" s="19">
        <v>100000</v>
      </c>
      <c r="I324" t="s">
        <v>564</v>
      </c>
    </row>
    <row r="325" spans="1:9" x14ac:dyDescent="0.25">
      <c r="A325" t="s">
        <v>1135</v>
      </c>
      <c r="B325" t="s">
        <v>3139</v>
      </c>
      <c r="C325" t="s">
        <v>3146</v>
      </c>
      <c r="D325">
        <f t="shared" si="5"/>
        <v>1.0714285714285714</v>
      </c>
      <c r="E325" t="s">
        <v>564</v>
      </c>
      <c r="F325">
        <v>1</v>
      </c>
      <c r="G325" s="19">
        <v>1400000</v>
      </c>
      <c r="H325" s="19">
        <v>100000</v>
      </c>
      <c r="I325" t="s">
        <v>564</v>
      </c>
    </row>
    <row r="326" spans="1:9" x14ac:dyDescent="0.25">
      <c r="A326" t="s">
        <v>1136</v>
      </c>
      <c r="B326" t="s">
        <v>3139</v>
      </c>
      <c r="C326" t="s">
        <v>3146</v>
      </c>
      <c r="D326">
        <f t="shared" si="5"/>
        <v>1.5</v>
      </c>
      <c r="E326" t="s">
        <v>564</v>
      </c>
      <c r="F326">
        <v>1</v>
      </c>
      <c r="G326" s="19">
        <v>200000</v>
      </c>
      <c r="H326" s="19">
        <v>100000</v>
      </c>
      <c r="I326" t="s">
        <v>564</v>
      </c>
    </row>
    <row r="327" spans="1:9" x14ac:dyDescent="0.25">
      <c r="A327" t="s">
        <v>1138</v>
      </c>
      <c r="B327" t="s">
        <v>3139</v>
      </c>
      <c r="C327" t="s">
        <v>3146</v>
      </c>
      <c r="D327">
        <f t="shared" si="5"/>
        <v>2</v>
      </c>
      <c r="E327" t="s">
        <v>595</v>
      </c>
      <c r="F327">
        <v>1</v>
      </c>
      <c r="G327" s="19">
        <v>100000</v>
      </c>
      <c r="H327" s="19">
        <v>100000</v>
      </c>
      <c r="I327" t="s">
        <v>13</v>
      </c>
    </row>
    <row r="328" spans="1:9" x14ac:dyDescent="0.25">
      <c r="A328" t="s">
        <v>1140</v>
      </c>
      <c r="B328" t="s">
        <v>3139</v>
      </c>
      <c r="C328" t="s">
        <v>3146</v>
      </c>
      <c r="D328">
        <f t="shared" si="5"/>
        <v>1.2039473684210527</v>
      </c>
      <c r="E328" t="s">
        <v>564</v>
      </c>
      <c r="F328">
        <v>1</v>
      </c>
      <c r="G328" s="19">
        <v>30400000</v>
      </c>
      <c r="H328" s="19">
        <v>6200000</v>
      </c>
      <c r="I328" t="s">
        <v>564</v>
      </c>
    </row>
    <row r="329" spans="1:9" x14ac:dyDescent="0.25">
      <c r="A329" t="s">
        <v>1141</v>
      </c>
      <c r="B329" t="s">
        <v>3139</v>
      </c>
      <c r="C329" t="s">
        <v>3146</v>
      </c>
      <c r="D329">
        <f t="shared" si="5"/>
        <v>1.5</v>
      </c>
      <c r="E329" t="s">
        <v>564</v>
      </c>
      <c r="F329">
        <v>1</v>
      </c>
      <c r="G329" s="19">
        <v>200000</v>
      </c>
      <c r="H329" s="19">
        <v>100000</v>
      </c>
      <c r="I329" t="s">
        <v>564</v>
      </c>
    </row>
    <row r="330" spans="1:9" x14ac:dyDescent="0.25">
      <c r="A330" t="s">
        <v>1143</v>
      </c>
      <c r="B330" t="s">
        <v>3139</v>
      </c>
      <c r="C330" t="s">
        <v>3146</v>
      </c>
      <c r="D330">
        <f t="shared" si="5"/>
        <v>2</v>
      </c>
      <c r="E330" t="s">
        <v>607</v>
      </c>
      <c r="F330">
        <v>1</v>
      </c>
      <c r="G330" s="19">
        <v>100000</v>
      </c>
      <c r="H330" s="19">
        <v>100000</v>
      </c>
      <c r="I330" t="s">
        <v>13</v>
      </c>
    </row>
    <row r="331" spans="1:9" x14ac:dyDescent="0.25">
      <c r="A331" t="s">
        <v>1145</v>
      </c>
      <c r="B331" t="s">
        <v>3139</v>
      </c>
      <c r="C331" t="s">
        <v>3146</v>
      </c>
      <c r="D331">
        <f t="shared" si="5"/>
        <v>2</v>
      </c>
      <c r="E331" t="s">
        <v>564</v>
      </c>
      <c r="F331">
        <v>1</v>
      </c>
      <c r="G331" s="19">
        <v>100000</v>
      </c>
      <c r="H331" s="19">
        <v>100000</v>
      </c>
      <c r="I331" t="s">
        <v>564</v>
      </c>
    </row>
    <row r="332" spans="1:9" x14ac:dyDescent="0.25">
      <c r="A332" t="s">
        <v>1147</v>
      </c>
      <c r="B332" t="s">
        <v>3139</v>
      </c>
      <c r="C332" t="s">
        <v>3146</v>
      </c>
      <c r="D332">
        <f t="shared" si="5"/>
        <v>1.3333333333333333</v>
      </c>
      <c r="E332" t="s">
        <v>564</v>
      </c>
      <c r="F332">
        <v>1</v>
      </c>
      <c r="G332" s="19">
        <v>600000</v>
      </c>
      <c r="H332" s="19">
        <v>200000</v>
      </c>
      <c r="I332" t="s">
        <v>564</v>
      </c>
    </row>
    <row r="333" spans="1:9" x14ac:dyDescent="0.25">
      <c r="A333" t="s">
        <v>1148</v>
      </c>
      <c r="B333" t="s">
        <v>3139</v>
      </c>
      <c r="C333" t="s">
        <v>3146</v>
      </c>
      <c r="D333">
        <f t="shared" si="5"/>
        <v>1.2608695652173914</v>
      </c>
      <c r="E333" t="s">
        <v>564</v>
      </c>
      <c r="F333">
        <v>1</v>
      </c>
      <c r="G333" s="19">
        <v>2300000</v>
      </c>
      <c r="H333" s="19">
        <v>600000</v>
      </c>
      <c r="I333" t="s">
        <v>564</v>
      </c>
    </row>
    <row r="334" spans="1:9" x14ac:dyDescent="0.25">
      <c r="A334" t="s">
        <v>1149</v>
      </c>
      <c r="B334" t="s">
        <v>3139</v>
      </c>
      <c r="C334" t="s">
        <v>3146</v>
      </c>
      <c r="D334">
        <f t="shared" si="5"/>
        <v>1.1764705882352942</v>
      </c>
      <c r="E334" t="s">
        <v>564</v>
      </c>
      <c r="F334">
        <v>1</v>
      </c>
      <c r="G334" s="19">
        <v>1700000</v>
      </c>
      <c r="H334" s="19">
        <v>300000</v>
      </c>
      <c r="I334" t="s">
        <v>564</v>
      </c>
    </row>
    <row r="335" spans="1:9" x14ac:dyDescent="0.25">
      <c r="A335" t="s">
        <v>1150</v>
      </c>
      <c r="B335" t="s">
        <v>3139</v>
      </c>
      <c r="C335" t="s">
        <v>3146</v>
      </c>
      <c r="D335">
        <f t="shared" si="5"/>
        <v>1.0714285714285714</v>
      </c>
      <c r="E335" t="s">
        <v>564</v>
      </c>
      <c r="F335">
        <v>1</v>
      </c>
      <c r="G335" s="19">
        <v>1400000</v>
      </c>
      <c r="H335" s="19">
        <v>100000</v>
      </c>
      <c r="I335" t="s">
        <v>564</v>
      </c>
    </row>
    <row r="336" spans="1:9" x14ac:dyDescent="0.25">
      <c r="A336" t="s">
        <v>1151</v>
      </c>
      <c r="B336" t="s">
        <v>3139</v>
      </c>
      <c r="C336" t="s">
        <v>3146</v>
      </c>
      <c r="D336">
        <f t="shared" si="5"/>
        <v>1.3333333333333333</v>
      </c>
      <c r="E336" t="s">
        <v>564</v>
      </c>
      <c r="F336">
        <v>1</v>
      </c>
      <c r="G336" s="19">
        <v>300000</v>
      </c>
      <c r="H336" s="19">
        <v>100000</v>
      </c>
      <c r="I336" t="s">
        <v>564</v>
      </c>
    </row>
    <row r="337" spans="1:9" x14ac:dyDescent="0.25">
      <c r="A337" t="s">
        <v>1152</v>
      </c>
      <c r="B337" t="s">
        <v>3139</v>
      </c>
      <c r="C337" t="s">
        <v>3146</v>
      </c>
      <c r="D337">
        <f t="shared" si="5"/>
        <v>1.0476190476190477</v>
      </c>
      <c r="E337" t="s">
        <v>564</v>
      </c>
      <c r="F337">
        <v>1</v>
      </c>
      <c r="G337" s="19">
        <v>2100000</v>
      </c>
      <c r="H337" s="19">
        <v>100000</v>
      </c>
      <c r="I337" t="s">
        <v>564</v>
      </c>
    </row>
    <row r="338" spans="1:9" x14ac:dyDescent="0.25">
      <c r="A338" t="s">
        <v>1153</v>
      </c>
      <c r="B338" t="s">
        <v>3139</v>
      </c>
      <c r="C338" t="s">
        <v>3146</v>
      </c>
      <c r="D338">
        <f t="shared" si="5"/>
        <v>1.0285714285714285</v>
      </c>
      <c r="E338" t="s">
        <v>564</v>
      </c>
      <c r="F338">
        <v>1</v>
      </c>
      <c r="G338" s="19">
        <v>3500000</v>
      </c>
      <c r="H338" s="19">
        <v>100000</v>
      </c>
      <c r="I338" t="s">
        <v>564</v>
      </c>
    </row>
    <row r="339" spans="1:9" x14ac:dyDescent="0.25">
      <c r="A339" t="s">
        <v>1154</v>
      </c>
      <c r="B339" t="s">
        <v>3139</v>
      </c>
      <c r="C339" t="s">
        <v>3146</v>
      </c>
      <c r="D339">
        <f t="shared" si="5"/>
        <v>1.1666666666666667</v>
      </c>
      <c r="E339" t="s">
        <v>564</v>
      </c>
      <c r="F339">
        <v>1</v>
      </c>
      <c r="G339" s="19">
        <v>1200000</v>
      </c>
      <c r="H339" s="19">
        <v>200000</v>
      </c>
      <c r="I339" t="s">
        <v>564</v>
      </c>
    </row>
    <row r="340" spans="1:9" x14ac:dyDescent="0.25">
      <c r="A340" t="s">
        <v>1155</v>
      </c>
      <c r="B340" t="s">
        <v>3139</v>
      </c>
      <c r="C340" t="s">
        <v>3146</v>
      </c>
      <c r="D340">
        <f t="shared" si="5"/>
        <v>1.0666666666666667</v>
      </c>
      <c r="E340" t="s">
        <v>564</v>
      </c>
      <c r="F340">
        <v>1</v>
      </c>
      <c r="G340" s="19">
        <v>1500000</v>
      </c>
      <c r="H340" s="19">
        <v>100000</v>
      </c>
      <c r="I340" t="s">
        <v>564</v>
      </c>
    </row>
    <row r="341" spans="1:9" x14ac:dyDescent="0.25">
      <c r="A341" t="s">
        <v>1156</v>
      </c>
      <c r="B341" t="s">
        <v>3139</v>
      </c>
      <c r="C341" t="s">
        <v>3146</v>
      </c>
      <c r="D341">
        <f t="shared" si="5"/>
        <v>1.25</v>
      </c>
      <c r="E341" t="s">
        <v>564</v>
      </c>
      <c r="F341">
        <v>1</v>
      </c>
      <c r="G341" s="19">
        <v>400000</v>
      </c>
      <c r="H341" s="19">
        <v>100000</v>
      </c>
      <c r="I341" t="s">
        <v>564</v>
      </c>
    </row>
    <row r="342" spans="1:9" x14ac:dyDescent="0.25">
      <c r="A342" t="s">
        <v>1158</v>
      </c>
      <c r="B342" t="s">
        <v>3139</v>
      </c>
      <c r="C342" t="s">
        <v>3146</v>
      </c>
      <c r="D342">
        <f t="shared" si="5"/>
        <v>1.0666666666666667</v>
      </c>
      <c r="E342" t="s">
        <v>564</v>
      </c>
      <c r="F342">
        <v>1</v>
      </c>
      <c r="G342" s="19">
        <v>1500000</v>
      </c>
      <c r="H342" s="19">
        <v>100000</v>
      </c>
      <c r="I342" t="s">
        <v>564</v>
      </c>
    </row>
    <row r="343" spans="1:9" x14ac:dyDescent="0.25">
      <c r="A343" t="s">
        <v>1160</v>
      </c>
      <c r="B343" t="s">
        <v>3139</v>
      </c>
      <c r="C343" t="s">
        <v>3146</v>
      </c>
      <c r="D343">
        <f t="shared" si="5"/>
        <v>2</v>
      </c>
      <c r="E343" t="s">
        <v>15</v>
      </c>
      <c r="F343">
        <v>1</v>
      </c>
      <c r="G343" s="19">
        <v>100000</v>
      </c>
      <c r="H343" s="19">
        <v>100000</v>
      </c>
      <c r="I343" t="s">
        <v>15</v>
      </c>
    </row>
    <row r="344" spans="1:9" x14ac:dyDescent="0.25">
      <c r="A344" t="s">
        <v>1162</v>
      </c>
      <c r="B344" t="s">
        <v>3139</v>
      </c>
      <c r="C344" t="s">
        <v>3146</v>
      </c>
      <c r="D344">
        <f t="shared" si="5"/>
        <v>2</v>
      </c>
      <c r="E344" t="s">
        <v>564</v>
      </c>
      <c r="F344">
        <v>1</v>
      </c>
      <c r="G344" s="19">
        <v>100000</v>
      </c>
      <c r="H344" s="19">
        <v>100000</v>
      </c>
      <c r="I344" t="s">
        <v>564</v>
      </c>
    </row>
    <row r="345" spans="1:9" x14ac:dyDescent="0.25">
      <c r="A345" t="s">
        <v>1164</v>
      </c>
      <c r="B345" t="s">
        <v>3139</v>
      </c>
      <c r="C345" t="s">
        <v>3146</v>
      </c>
      <c r="D345">
        <f t="shared" si="5"/>
        <v>1.5</v>
      </c>
      <c r="E345" t="s">
        <v>15</v>
      </c>
      <c r="F345">
        <v>1</v>
      </c>
      <c r="G345" s="19">
        <v>200000</v>
      </c>
      <c r="H345" s="19">
        <v>100000</v>
      </c>
      <c r="I345" t="s">
        <v>15</v>
      </c>
    </row>
    <row r="346" spans="1:9" x14ac:dyDescent="0.25">
      <c r="A346" t="s">
        <v>1166</v>
      </c>
      <c r="B346" t="s">
        <v>3139</v>
      </c>
      <c r="C346" t="s">
        <v>3146</v>
      </c>
      <c r="D346">
        <f t="shared" si="5"/>
        <v>1.3076923076923077</v>
      </c>
      <c r="E346" t="s">
        <v>564</v>
      </c>
      <c r="F346">
        <v>1</v>
      </c>
      <c r="G346" s="19">
        <v>1300000</v>
      </c>
      <c r="H346" s="19">
        <v>400000</v>
      </c>
      <c r="I346" t="s">
        <v>564</v>
      </c>
    </row>
    <row r="347" spans="1:9" x14ac:dyDescent="0.25">
      <c r="A347" t="s">
        <v>1168</v>
      </c>
      <c r="B347" t="s">
        <v>3139</v>
      </c>
      <c r="C347" t="s">
        <v>3146</v>
      </c>
      <c r="D347">
        <f t="shared" si="5"/>
        <v>1.2</v>
      </c>
      <c r="E347" t="s">
        <v>564</v>
      </c>
      <c r="F347">
        <v>1</v>
      </c>
      <c r="G347" s="19">
        <v>500000</v>
      </c>
      <c r="H347" s="19">
        <v>100000</v>
      </c>
      <c r="I347" t="s">
        <v>564</v>
      </c>
    </row>
    <row r="348" spans="1:9" x14ac:dyDescent="0.25">
      <c r="A348" t="s">
        <v>1170</v>
      </c>
      <c r="B348" t="s">
        <v>3139</v>
      </c>
      <c r="C348" t="s">
        <v>3146</v>
      </c>
      <c r="D348">
        <f t="shared" si="5"/>
        <v>1.1571753986332574</v>
      </c>
      <c r="E348" t="s">
        <v>550</v>
      </c>
      <c r="F348">
        <v>1</v>
      </c>
      <c r="G348" s="19">
        <v>43900000</v>
      </c>
      <c r="H348" s="19">
        <v>6900000</v>
      </c>
      <c r="I348" t="s">
        <v>13</v>
      </c>
    </row>
    <row r="349" spans="1:9" x14ac:dyDescent="0.25">
      <c r="A349" t="s">
        <v>1172</v>
      </c>
      <c r="B349" t="s">
        <v>3139</v>
      </c>
      <c r="C349" t="s">
        <v>3146</v>
      </c>
      <c r="D349">
        <f t="shared" si="5"/>
        <v>1.0810810810810811</v>
      </c>
      <c r="E349" t="s">
        <v>564</v>
      </c>
      <c r="F349">
        <v>1</v>
      </c>
      <c r="G349" s="19">
        <v>3700000</v>
      </c>
      <c r="H349" s="19">
        <v>300000</v>
      </c>
      <c r="I349" t="s">
        <v>564</v>
      </c>
    </row>
    <row r="350" spans="1:9" x14ac:dyDescent="0.25">
      <c r="A350" t="s">
        <v>1174</v>
      </c>
      <c r="B350" t="s">
        <v>3139</v>
      </c>
      <c r="C350" t="s">
        <v>3146</v>
      </c>
      <c r="D350">
        <f t="shared" si="5"/>
        <v>2</v>
      </c>
      <c r="E350" t="s">
        <v>637</v>
      </c>
      <c r="F350">
        <v>1</v>
      </c>
      <c r="G350" s="19">
        <v>100000</v>
      </c>
      <c r="H350" s="19">
        <v>100000</v>
      </c>
      <c r="I350" t="s">
        <v>13</v>
      </c>
    </row>
    <row r="351" spans="1:9" x14ac:dyDescent="0.25">
      <c r="A351" t="s">
        <v>1176</v>
      </c>
      <c r="B351" t="s">
        <v>3139</v>
      </c>
      <c r="C351" t="s">
        <v>3146</v>
      </c>
      <c r="D351">
        <f t="shared" si="5"/>
        <v>2</v>
      </c>
      <c r="E351" t="s">
        <v>564</v>
      </c>
      <c r="F351">
        <v>1</v>
      </c>
      <c r="G351" s="19">
        <v>100000</v>
      </c>
      <c r="H351" s="19">
        <v>100000</v>
      </c>
      <c r="I351" t="s">
        <v>564</v>
      </c>
    </row>
    <row r="352" spans="1:9" x14ac:dyDescent="0.25">
      <c r="A352" t="s">
        <v>1177</v>
      </c>
      <c r="B352" t="s">
        <v>3139</v>
      </c>
      <c r="C352" t="s">
        <v>3146</v>
      </c>
      <c r="D352">
        <f t="shared" si="5"/>
        <v>1.1666666666666667</v>
      </c>
      <c r="E352" t="s">
        <v>607</v>
      </c>
      <c r="F352">
        <v>1</v>
      </c>
      <c r="G352" s="19">
        <v>600000</v>
      </c>
      <c r="H352" s="19">
        <v>100000</v>
      </c>
      <c r="I352" t="s">
        <v>13</v>
      </c>
    </row>
    <row r="353" spans="1:9" x14ac:dyDescent="0.25">
      <c r="A353" t="s">
        <v>1179</v>
      </c>
      <c r="B353" t="s">
        <v>3139</v>
      </c>
      <c r="C353" t="s">
        <v>3146</v>
      </c>
      <c r="D353">
        <f t="shared" si="5"/>
        <v>1.1666666666666667</v>
      </c>
      <c r="E353" t="s">
        <v>564</v>
      </c>
      <c r="F353">
        <v>1</v>
      </c>
      <c r="G353" s="19">
        <v>1200000</v>
      </c>
      <c r="H353" s="19">
        <v>200000</v>
      </c>
      <c r="I353" t="s">
        <v>564</v>
      </c>
    </row>
    <row r="354" spans="1:9" x14ac:dyDescent="0.25">
      <c r="A354" t="s">
        <v>1180</v>
      </c>
      <c r="B354" t="s">
        <v>3139</v>
      </c>
      <c r="C354" t="s">
        <v>3146</v>
      </c>
      <c r="D354">
        <f t="shared" si="5"/>
        <v>1.25</v>
      </c>
      <c r="E354" t="s">
        <v>564</v>
      </c>
      <c r="F354">
        <v>1</v>
      </c>
      <c r="G354" s="19">
        <v>400000</v>
      </c>
      <c r="H354" s="19">
        <v>100000</v>
      </c>
      <c r="I354" t="s">
        <v>564</v>
      </c>
    </row>
    <row r="355" spans="1:9" x14ac:dyDescent="0.25">
      <c r="A355" t="s">
        <v>1181</v>
      </c>
      <c r="B355" t="s">
        <v>3139</v>
      </c>
      <c r="C355" t="s">
        <v>3146</v>
      </c>
      <c r="D355">
        <f t="shared" si="5"/>
        <v>1.2105263157894737</v>
      </c>
      <c r="E355" t="s">
        <v>564</v>
      </c>
      <c r="F355">
        <v>1</v>
      </c>
      <c r="G355" s="19">
        <v>1900000</v>
      </c>
      <c r="H355" s="19">
        <v>400000</v>
      </c>
      <c r="I355" t="s">
        <v>564</v>
      </c>
    </row>
    <row r="356" spans="1:9" x14ac:dyDescent="0.25">
      <c r="A356" t="s">
        <v>1183</v>
      </c>
      <c r="B356" t="s">
        <v>3139</v>
      </c>
      <c r="C356" t="s">
        <v>3146</v>
      </c>
      <c r="D356">
        <f t="shared" si="5"/>
        <v>1.125</v>
      </c>
      <c r="E356" t="s">
        <v>564</v>
      </c>
      <c r="F356">
        <v>1</v>
      </c>
      <c r="G356" s="19">
        <v>800000</v>
      </c>
      <c r="H356" s="19">
        <v>100000</v>
      </c>
      <c r="I356" t="s">
        <v>564</v>
      </c>
    </row>
    <row r="357" spans="1:9" x14ac:dyDescent="0.25">
      <c r="A357" t="s">
        <v>1185</v>
      </c>
      <c r="B357" t="s">
        <v>3139</v>
      </c>
      <c r="C357" t="s">
        <v>3146</v>
      </c>
      <c r="D357">
        <f t="shared" si="5"/>
        <v>1.0625</v>
      </c>
      <c r="E357" t="s">
        <v>564</v>
      </c>
      <c r="F357">
        <v>1</v>
      </c>
      <c r="G357" s="19">
        <v>1600000</v>
      </c>
      <c r="H357" s="19">
        <v>100000</v>
      </c>
      <c r="I357" t="s">
        <v>564</v>
      </c>
    </row>
    <row r="358" spans="1:9" x14ac:dyDescent="0.25">
      <c r="A358" t="s">
        <v>1187</v>
      </c>
      <c r="B358" t="s">
        <v>3139</v>
      </c>
      <c r="C358" t="s">
        <v>3146</v>
      </c>
      <c r="D358">
        <f t="shared" si="5"/>
        <v>1.5</v>
      </c>
      <c r="E358" t="s">
        <v>564</v>
      </c>
      <c r="F358">
        <v>1</v>
      </c>
      <c r="G358" s="19">
        <v>200000</v>
      </c>
      <c r="H358" s="19">
        <v>100000</v>
      </c>
      <c r="I358" t="s">
        <v>564</v>
      </c>
    </row>
    <row r="359" spans="1:9" x14ac:dyDescent="0.25">
      <c r="A359" t="s">
        <v>1188</v>
      </c>
      <c r="B359" t="s">
        <v>3139</v>
      </c>
      <c r="C359" t="s">
        <v>3146</v>
      </c>
      <c r="D359">
        <f t="shared" si="5"/>
        <v>1.2167414050822123</v>
      </c>
      <c r="E359" t="s">
        <v>564</v>
      </c>
      <c r="F359">
        <v>1</v>
      </c>
      <c r="G359" s="19">
        <v>66900000</v>
      </c>
      <c r="H359" s="19">
        <v>14500000</v>
      </c>
      <c r="I359" t="s">
        <v>564</v>
      </c>
    </row>
    <row r="360" spans="1:9" x14ac:dyDescent="0.25">
      <c r="A360" t="s">
        <v>1190</v>
      </c>
      <c r="B360" t="s">
        <v>3139</v>
      </c>
      <c r="C360" t="s">
        <v>3146</v>
      </c>
      <c r="D360">
        <f t="shared" si="5"/>
        <v>2</v>
      </c>
      <c r="E360" t="s">
        <v>564</v>
      </c>
      <c r="F360">
        <v>1</v>
      </c>
      <c r="G360" s="19">
        <v>100000</v>
      </c>
      <c r="H360" s="19">
        <v>100000</v>
      </c>
      <c r="I360" t="s">
        <v>564</v>
      </c>
    </row>
    <row r="361" spans="1:9" x14ac:dyDescent="0.25">
      <c r="A361" t="s">
        <v>1191</v>
      </c>
      <c r="B361" t="s">
        <v>3139</v>
      </c>
      <c r="C361" t="s">
        <v>3146</v>
      </c>
      <c r="D361">
        <f t="shared" si="5"/>
        <v>1.0588235294117647</v>
      </c>
      <c r="E361" t="s">
        <v>564</v>
      </c>
      <c r="F361">
        <v>1</v>
      </c>
      <c r="G361" s="19">
        <v>1700000</v>
      </c>
      <c r="H361" s="19">
        <v>100000</v>
      </c>
      <c r="I361" t="s">
        <v>564</v>
      </c>
    </row>
    <row r="362" spans="1:9" x14ac:dyDescent="0.25">
      <c r="A362" t="s">
        <v>1193</v>
      </c>
      <c r="B362" t="s">
        <v>3139</v>
      </c>
      <c r="C362" t="s">
        <v>3146</v>
      </c>
      <c r="D362">
        <f t="shared" si="5"/>
        <v>1.25</v>
      </c>
      <c r="E362" t="s">
        <v>564</v>
      </c>
      <c r="F362">
        <v>1</v>
      </c>
      <c r="G362" s="19">
        <v>400000</v>
      </c>
      <c r="H362" s="19">
        <v>100000</v>
      </c>
      <c r="I362" t="s">
        <v>564</v>
      </c>
    </row>
    <row r="363" spans="1:9" x14ac:dyDescent="0.25">
      <c r="A363" t="s">
        <v>1194</v>
      </c>
      <c r="B363" t="s">
        <v>3139</v>
      </c>
      <c r="C363" t="s">
        <v>3146</v>
      </c>
      <c r="D363">
        <f t="shared" si="5"/>
        <v>1.2727272727272727</v>
      </c>
      <c r="E363" t="s">
        <v>564</v>
      </c>
      <c r="F363">
        <v>1</v>
      </c>
      <c r="G363" s="19">
        <v>1100000</v>
      </c>
      <c r="H363" s="19">
        <v>300000</v>
      </c>
      <c r="I363" t="s">
        <v>564</v>
      </c>
    </row>
    <row r="364" spans="1:9" x14ac:dyDescent="0.25">
      <c r="A364" t="s">
        <v>1196</v>
      </c>
      <c r="B364" t="s">
        <v>3139</v>
      </c>
      <c r="C364" t="s">
        <v>3146</v>
      </c>
      <c r="D364">
        <f t="shared" si="5"/>
        <v>2</v>
      </c>
      <c r="E364" t="s">
        <v>607</v>
      </c>
      <c r="F364">
        <v>1</v>
      </c>
      <c r="G364" s="19">
        <v>100000</v>
      </c>
      <c r="H364" s="19">
        <v>100000</v>
      </c>
      <c r="I364" t="s">
        <v>13</v>
      </c>
    </row>
    <row r="365" spans="1:9" x14ac:dyDescent="0.25">
      <c r="A365" t="s">
        <v>1197</v>
      </c>
      <c r="B365" t="s">
        <v>3139</v>
      </c>
      <c r="C365" t="s">
        <v>3146</v>
      </c>
      <c r="D365">
        <f t="shared" si="5"/>
        <v>1.2</v>
      </c>
      <c r="E365" t="s">
        <v>564</v>
      </c>
      <c r="F365">
        <v>1</v>
      </c>
      <c r="G365" s="19">
        <v>500000</v>
      </c>
      <c r="H365" s="19">
        <v>100000</v>
      </c>
      <c r="I365" t="s">
        <v>564</v>
      </c>
    </row>
    <row r="366" spans="1:9" x14ac:dyDescent="0.25">
      <c r="A366" t="s">
        <v>1198</v>
      </c>
      <c r="B366" t="s">
        <v>3139</v>
      </c>
      <c r="C366" t="s">
        <v>3146</v>
      </c>
      <c r="D366">
        <f t="shared" si="5"/>
        <v>1.1200000000000001</v>
      </c>
      <c r="E366" t="s">
        <v>15</v>
      </c>
      <c r="F366">
        <v>1</v>
      </c>
      <c r="G366" s="19">
        <v>2500000</v>
      </c>
      <c r="H366" s="19">
        <v>300000</v>
      </c>
      <c r="I366" t="s">
        <v>15</v>
      </c>
    </row>
    <row r="367" spans="1:9" x14ac:dyDescent="0.25">
      <c r="A367" t="s">
        <v>1198</v>
      </c>
      <c r="B367" t="s">
        <v>3139</v>
      </c>
      <c r="C367" t="s">
        <v>3146</v>
      </c>
      <c r="D367">
        <f t="shared" si="5"/>
        <v>1.3333333333333333</v>
      </c>
      <c r="E367" t="s">
        <v>564</v>
      </c>
      <c r="F367">
        <v>1</v>
      </c>
      <c r="G367" s="19">
        <v>300000</v>
      </c>
      <c r="H367" s="19">
        <v>100000</v>
      </c>
      <c r="I367" t="s">
        <v>564</v>
      </c>
    </row>
    <row r="368" spans="1:9" x14ac:dyDescent="0.25">
      <c r="A368" t="s">
        <v>1200</v>
      </c>
      <c r="B368" t="s">
        <v>3139</v>
      </c>
      <c r="C368" t="s">
        <v>3146</v>
      </c>
      <c r="D368">
        <f t="shared" si="5"/>
        <v>2</v>
      </c>
      <c r="E368" t="s">
        <v>564</v>
      </c>
      <c r="F368">
        <v>1</v>
      </c>
      <c r="G368" s="19">
        <v>100000</v>
      </c>
      <c r="H368" s="19">
        <v>100000</v>
      </c>
      <c r="I368" t="s">
        <v>564</v>
      </c>
    </row>
    <row r="369" spans="1:9" x14ac:dyDescent="0.25">
      <c r="A369" t="s">
        <v>1201</v>
      </c>
      <c r="B369" t="s">
        <v>3139</v>
      </c>
      <c r="C369" t="s">
        <v>3146</v>
      </c>
      <c r="D369">
        <f t="shared" si="5"/>
        <v>2</v>
      </c>
      <c r="E369" t="s">
        <v>595</v>
      </c>
      <c r="F369">
        <v>1</v>
      </c>
      <c r="G369" s="19">
        <v>100000</v>
      </c>
      <c r="H369" s="19">
        <v>100000</v>
      </c>
      <c r="I369" t="s">
        <v>13</v>
      </c>
    </row>
    <row r="370" spans="1:9" x14ac:dyDescent="0.25">
      <c r="A370" t="s">
        <v>1202</v>
      </c>
      <c r="B370" t="s">
        <v>3139</v>
      </c>
      <c r="C370" t="s">
        <v>3146</v>
      </c>
      <c r="D370">
        <f t="shared" si="5"/>
        <v>1.044776119402985</v>
      </c>
      <c r="E370" t="s">
        <v>564</v>
      </c>
      <c r="F370">
        <v>1</v>
      </c>
      <c r="G370" s="19">
        <v>6700000</v>
      </c>
      <c r="H370" s="19">
        <v>300000</v>
      </c>
      <c r="I370" t="s">
        <v>564</v>
      </c>
    </row>
    <row r="371" spans="1:9" x14ac:dyDescent="0.25">
      <c r="A371" t="s">
        <v>1203</v>
      </c>
      <c r="B371" t="s">
        <v>3139</v>
      </c>
      <c r="C371" t="s">
        <v>3146</v>
      </c>
      <c r="D371">
        <f t="shared" si="5"/>
        <v>1.0333333333333334</v>
      </c>
      <c r="E371" t="s">
        <v>564</v>
      </c>
      <c r="F371">
        <v>1</v>
      </c>
      <c r="G371" s="19">
        <v>3000000</v>
      </c>
      <c r="H371" s="19">
        <v>100000</v>
      </c>
      <c r="I371" t="s">
        <v>564</v>
      </c>
    </row>
    <row r="372" spans="1:9" x14ac:dyDescent="0.25">
      <c r="A372" t="s">
        <v>1204</v>
      </c>
      <c r="B372" t="s">
        <v>3139</v>
      </c>
      <c r="C372" t="s">
        <v>3146</v>
      </c>
      <c r="D372">
        <f t="shared" si="5"/>
        <v>1.0851063829787233</v>
      </c>
      <c r="E372" t="s">
        <v>564</v>
      </c>
      <c r="F372">
        <v>1</v>
      </c>
      <c r="G372" s="19">
        <v>4700000</v>
      </c>
      <c r="H372" s="19">
        <v>400000</v>
      </c>
      <c r="I372" t="s">
        <v>564</v>
      </c>
    </row>
    <row r="373" spans="1:9" x14ac:dyDescent="0.25">
      <c r="A373" t="s">
        <v>1206</v>
      </c>
      <c r="B373" t="s">
        <v>3139</v>
      </c>
      <c r="C373" t="s">
        <v>3146</v>
      </c>
      <c r="D373">
        <f t="shared" si="5"/>
        <v>1.4</v>
      </c>
      <c r="E373" t="s">
        <v>564</v>
      </c>
      <c r="F373">
        <v>1</v>
      </c>
      <c r="G373" s="19">
        <v>500000</v>
      </c>
      <c r="H373" s="19">
        <v>200000</v>
      </c>
      <c r="I373" t="s">
        <v>564</v>
      </c>
    </row>
    <row r="374" spans="1:9" x14ac:dyDescent="0.25">
      <c r="A374" t="s">
        <v>1208</v>
      </c>
      <c r="B374" t="s">
        <v>3139</v>
      </c>
      <c r="C374" t="s">
        <v>3146</v>
      </c>
      <c r="D374">
        <f t="shared" si="5"/>
        <v>1.4</v>
      </c>
      <c r="E374" t="s">
        <v>564</v>
      </c>
      <c r="F374">
        <v>1</v>
      </c>
      <c r="G374" s="19">
        <v>500000</v>
      </c>
      <c r="H374" s="19">
        <v>200000</v>
      </c>
      <c r="I374" t="s">
        <v>564</v>
      </c>
    </row>
    <row r="375" spans="1:9" x14ac:dyDescent="0.25">
      <c r="A375" t="s">
        <v>1210</v>
      </c>
      <c r="B375" t="s">
        <v>3139</v>
      </c>
      <c r="C375" t="s">
        <v>3146</v>
      </c>
      <c r="D375">
        <f t="shared" si="5"/>
        <v>2</v>
      </c>
      <c r="E375" t="s">
        <v>532</v>
      </c>
      <c r="F375">
        <v>1</v>
      </c>
      <c r="G375" s="19">
        <v>100000</v>
      </c>
      <c r="H375" s="19">
        <v>100000</v>
      </c>
      <c r="I375" t="s">
        <v>481</v>
      </c>
    </row>
    <row r="376" spans="1:9" x14ac:dyDescent="0.25">
      <c r="A376" t="s">
        <v>1212</v>
      </c>
      <c r="B376" t="s">
        <v>3139</v>
      </c>
      <c r="C376" t="s">
        <v>3146</v>
      </c>
      <c r="D376">
        <f t="shared" si="5"/>
        <v>1.6666666666666667</v>
      </c>
      <c r="E376" t="s">
        <v>550</v>
      </c>
      <c r="F376">
        <v>1</v>
      </c>
      <c r="G376" s="19">
        <v>900000</v>
      </c>
      <c r="H376" s="19">
        <v>600000</v>
      </c>
      <c r="I376" t="s">
        <v>13</v>
      </c>
    </row>
    <row r="377" spans="1:9" x14ac:dyDescent="0.25">
      <c r="A377" t="s">
        <v>1212</v>
      </c>
      <c r="B377" t="s">
        <v>3139</v>
      </c>
      <c r="C377" t="s">
        <v>3146</v>
      </c>
      <c r="D377">
        <f t="shared" si="5"/>
        <v>1.6</v>
      </c>
      <c r="E377" t="s">
        <v>598</v>
      </c>
      <c r="F377">
        <v>1</v>
      </c>
      <c r="G377" s="19">
        <v>500000</v>
      </c>
      <c r="H377" s="19">
        <v>300000</v>
      </c>
      <c r="I377" t="s">
        <v>13</v>
      </c>
    </row>
    <row r="378" spans="1:9" x14ac:dyDescent="0.25">
      <c r="A378" t="s">
        <v>1212</v>
      </c>
      <c r="B378" t="s">
        <v>3139</v>
      </c>
      <c r="C378" t="s">
        <v>3146</v>
      </c>
      <c r="D378">
        <f t="shared" si="5"/>
        <v>1.2857142857142858</v>
      </c>
      <c r="E378" t="s">
        <v>695</v>
      </c>
      <c r="F378">
        <v>1</v>
      </c>
      <c r="G378" s="19">
        <v>700000</v>
      </c>
      <c r="H378" s="19">
        <v>200000</v>
      </c>
      <c r="I378" t="s">
        <v>13</v>
      </c>
    </row>
    <row r="379" spans="1:9" x14ac:dyDescent="0.25">
      <c r="A379" t="s">
        <v>1214</v>
      </c>
      <c r="B379" t="s">
        <v>3139</v>
      </c>
      <c r="C379" t="s">
        <v>3146</v>
      </c>
      <c r="D379">
        <f t="shared" si="5"/>
        <v>1.3</v>
      </c>
      <c r="E379" t="s">
        <v>564</v>
      </c>
      <c r="F379">
        <v>1</v>
      </c>
      <c r="G379" s="19">
        <v>1000000</v>
      </c>
      <c r="H379" s="19">
        <v>300000</v>
      </c>
      <c r="I379" t="s">
        <v>564</v>
      </c>
    </row>
    <row r="380" spans="1:9" x14ac:dyDescent="0.25">
      <c r="A380" t="s">
        <v>1215</v>
      </c>
      <c r="B380" t="s">
        <v>3139</v>
      </c>
      <c r="C380" t="s">
        <v>3146</v>
      </c>
      <c r="D380">
        <f t="shared" si="5"/>
        <v>1.3235294117647058</v>
      </c>
      <c r="E380" t="s">
        <v>564</v>
      </c>
      <c r="F380">
        <v>1</v>
      </c>
      <c r="G380" s="19">
        <v>3400000</v>
      </c>
      <c r="H380" s="19">
        <v>1100000</v>
      </c>
      <c r="I380" t="s">
        <v>564</v>
      </c>
    </row>
    <row r="381" spans="1:9" x14ac:dyDescent="0.25">
      <c r="A381" t="s">
        <v>1216</v>
      </c>
      <c r="B381" t="s">
        <v>3139</v>
      </c>
      <c r="C381" t="s">
        <v>3146</v>
      </c>
      <c r="D381">
        <f t="shared" si="5"/>
        <v>1.5</v>
      </c>
      <c r="E381" t="s">
        <v>564</v>
      </c>
      <c r="F381">
        <v>1</v>
      </c>
      <c r="G381" s="19">
        <v>1200000</v>
      </c>
      <c r="H381" s="19">
        <v>600000</v>
      </c>
      <c r="I381" t="s">
        <v>564</v>
      </c>
    </row>
    <row r="382" spans="1:9" x14ac:dyDescent="0.25">
      <c r="A382" t="s">
        <v>1218</v>
      </c>
      <c r="B382" t="s">
        <v>3139</v>
      </c>
      <c r="C382" t="s">
        <v>3146</v>
      </c>
      <c r="D382">
        <f t="shared" si="5"/>
        <v>1.2777777777777777</v>
      </c>
      <c r="E382" t="s">
        <v>564</v>
      </c>
      <c r="F382">
        <v>1</v>
      </c>
      <c r="G382" s="19">
        <v>3600000</v>
      </c>
      <c r="H382" s="19">
        <v>1000000</v>
      </c>
      <c r="I382" t="s">
        <v>564</v>
      </c>
    </row>
    <row r="383" spans="1:9" x14ac:dyDescent="0.25">
      <c r="A383" t="s">
        <v>1219</v>
      </c>
      <c r="B383" t="s">
        <v>3139</v>
      </c>
      <c r="C383" t="s">
        <v>3146</v>
      </c>
      <c r="D383">
        <f t="shared" si="5"/>
        <v>1.5909090909090908</v>
      </c>
      <c r="E383" t="s">
        <v>564</v>
      </c>
      <c r="F383">
        <v>1</v>
      </c>
      <c r="G383" s="19">
        <v>2200000</v>
      </c>
      <c r="H383" s="19">
        <v>1300000</v>
      </c>
      <c r="I383" t="s">
        <v>564</v>
      </c>
    </row>
    <row r="384" spans="1:9" x14ac:dyDescent="0.25">
      <c r="A384" t="s">
        <v>1220</v>
      </c>
      <c r="B384" t="s">
        <v>3139</v>
      </c>
      <c r="C384" t="s">
        <v>3146</v>
      </c>
      <c r="D384">
        <f t="shared" si="5"/>
        <v>1.5</v>
      </c>
      <c r="E384" t="s">
        <v>564</v>
      </c>
      <c r="F384">
        <v>1</v>
      </c>
      <c r="G384" s="19">
        <v>200000</v>
      </c>
      <c r="H384" s="19">
        <v>100000</v>
      </c>
      <c r="I384" t="s">
        <v>564</v>
      </c>
    </row>
    <row r="385" spans="1:9" x14ac:dyDescent="0.25">
      <c r="A385" t="s">
        <v>1222</v>
      </c>
      <c r="B385" t="s">
        <v>3139</v>
      </c>
      <c r="C385" t="s">
        <v>3146</v>
      </c>
      <c r="D385">
        <f t="shared" si="5"/>
        <v>1.7142857142857142</v>
      </c>
      <c r="E385" t="s">
        <v>564</v>
      </c>
      <c r="F385">
        <v>1</v>
      </c>
      <c r="G385" s="19">
        <v>700000</v>
      </c>
      <c r="H385" s="19">
        <v>500000</v>
      </c>
      <c r="I385" t="s">
        <v>564</v>
      </c>
    </row>
    <row r="386" spans="1:9" x14ac:dyDescent="0.25">
      <c r="A386" t="s">
        <v>1224</v>
      </c>
      <c r="B386" t="s">
        <v>3139</v>
      </c>
      <c r="C386" t="s">
        <v>3146</v>
      </c>
      <c r="D386">
        <f t="shared" si="5"/>
        <v>1.3333333333333333</v>
      </c>
      <c r="E386" t="s">
        <v>564</v>
      </c>
      <c r="F386">
        <v>1</v>
      </c>
      <c r="G386" s="19">
        <v>600000</v>
      </c>
      <c r="H386" s="19">
        <v>200000</v>
      </c>
      <c r="I386" t="s">
        <v>564</v>
      </c>
    </row>
    <row r="387" spans="1:9" x14ac:dyDescent="0.25">
      <c r="A387" t="s">
        <v>1225</v>
      </c>
      <c r="B387" t="s">
        <v>3139</v>
      </c>
      <c r="C387" t="s">
        <v>3146</v>
      </c>
      <c r="D387">
        <f t="shared" ref="D387:D427" si="6">(G387+H387)/G387</f>
        <v>1.3333333333333333</v>
      </c>
      <c r="E387" t="s">
        <v>564</v>
      </c>
      <c r="F387">
        <v>1</v>
      </c>
      <c r="G387" s="19">
        <v>600000</v>
      </c>
      <c r="H387" s="19">
        <v>200000</v>
      </c>
      <c r="I387" t="s">
        <v>564</v>
      </c>
    </row>
    <row r="388" spans="1:9" x14ac:dyDescent="0.25">
      <c r="A388" t="s">
        <v>1226</v>
      </c>
      <c r="B388" t="s">
        <v>3139</v>
      </c>
      <c r="C388" t="s">
        <v>3146</v>
      </c>
      <c r="D388">
        <f t="shared" si="6"/>
        <v>1.4545454545454546</v>
      </c>
      <c r="E388" t="s">
        <v>564</v>
      </c>
      <c r="F388">
        <v>1</v>
      </c>
      <c r="G388" s="19">
        <v>1100000</v>
      </c>
      <c r="H388" s="19">
        <v>500000</v>
      </c>
      <c r="I388" t="s">
        <v>564</v>
      </c>
    </row>
    <row r="389" spans="1:9" x14ac:dyDescent="0.25">
      <c r="A389" t="s">
        <v>1227</v>
      </c>
      <c r="B389" t="s">
        <v>3139</v>
      </c>
      <c r="C389" t="s">
        <v>3146</v>
      </c>
      <c r="D389">
        <f t="shared" si="6"/>
        <v>2</v>
      </c>
      <c r="E389" t="s">
        <v>15</v>
      </c>
      <c r="F389">
        <v>1</v>
      </c>
      <c r="G389" s="19">
        <v>100000</v>
      </c>
      <c r="H389" s="19">
        <v>100000</v>
      </c>
      <c r="I389" t="s">
        <v>15</v>
      </c>
    </row>
    <row r="390" spans="1:9" x14ac:dyDescent="0.25">
      <c r="A390" t="s">
        <v>1229</v>
      </c>
      <c r="B390" t="s">
        <v>3139</v>
      </c>
      <c r="C390" t="s">
        <v>3146</v>
      </c>
      <c r="D390">
        <f t="shared" si="6"/>
        <v>1.4090909090909092</v>
      </c>
      <c r="E390" t="s">
        <v>564</v>
      </c>
      <c r="F390">
        <v>1</v>
      </c>
      <c r="G390" s="19">
        <v>2200000</v>
      </c>
      <c r="H390" s="19">
        <v>900000</v>
      </c>
      <c r="I390" t="s">
        <v>564</v>
      </c>
    </row>
    <row r="391" spans="1:9" x14ac:dyDescent="0.25">
      <c r="A391" t="s">
        <v>1231</v>
      </c>
      <c r="B391" t="s">
        <v>3139</v>
      </c>
      <c r="C391" t="s">
        <v>3146</v>
      </c>
      <c r="D391">
        <f t="shared" si="6"/>
        <v>1.5</v>
      </c>
      <c r="E391" t="s">
        <v>564</v>
      </c>
      <c r="F391">
        <v>1</v>
      </c>
      <c r="G391" s="19">
        <v>1200000</v>
      </c>
      <c r="H391" s="19">
        <v>600000</v>
      </c>
      <c r="I391" t="s">
        <v>564</v>
      </c>
    </row>
    <row r="392" spans="1:9" x14ac:dyDescent="0.25">
      <c r="A392" t="s">
        <v>1233</v>
      </c>
      <c r="B392" t="s">
        <v>3139</v>
      </c>
      <c r="C392" t="s">
        <v>3146</v>
      </c>
      <c r="D392">
        <f t="shared" si="6"/>
        <v>1.5</v>
      </c>
      <c r="E392" t="s">
        <v>564</v>
      </c>
      <c r="F392">
        <v>1</v>
      </c>
      <c r="G392" s="19">
        <v>200000</v>
      </c>
      <c r="H392" s="19">
        <v>100000</v>
      </c>
      <c r="I392" t="s">
        <v>564</v>
      </c>
    </row>
    <row r="393" spans="1:9" x14ac:dyDescent="0.25">
      <c r="A393" t="s">
        <v>1235</v>
      </c>
      <c r="B393" t="s">
        <v>3139</v>
      </c>
      <c r="C393" t="s">
        <v>3146</v>
      </c>
      <c r="D393">
        <f t="shared" si="6"/>
        <v>1.5652173913043479</v>
      </c>
      <c r="E393" t="s">
        <v>532</v>
      </c>
      <c r="F393">
        <v>1</v>
      </c>
      <c r="G393" s="19">
        <v>2300000</v>
      </c>
      <c r="H393" s="19">
        <v>1300000</v>
      </c>
      <c r="I393" t="s">
        <v>481</v>
      </c>
    </row>
    <row r="394" spans="1:9" x14ac:dyDescent="0.25">
      <c r="A394" t="s">
        <v>1237</v>
      </c>
      <c r="B394" t="s">
        <v>3139</v>
      </c>
      <c r="C394" t="s">
        <v>3146</v>
      </c>
      <c r="D394">
        <f t="shared" si="6"/>
        <v>1.3619565217391305</v>
      </c>
      <c r="E394" t="s">
        <v>564</v>
      </c>
      <c r="F394">
        <v>1</v>
      </c>
      <c r="G394" s="19">
        <v>92000000</v>
      </c>
      <c r="H394" s="19">
        <v>33300000</v>
      </c>
      <c r="I394" t="s">
        <v>564</v>
      </c>
    </row>
    <row r="395" spans="1:9" x14ac:dyDescent="0.25">
      <c r="A395" t="s">
        <v>1239</v>
      </c>
      <c r="B395" t="s">
        <v>3139</v>
      </c>
      <c r="C395" t="s">
        <v>3146</v>
      </c>
      <c r="D395">
        <f t="shared" si="6"/>
        <v>1.625</v>
      </c>
      <c r="E395" t="s">
        <v>564</v>
      </c>
      <c r="F395">
        <v>1</v>
      </c>
      <c r="G395" s="19">
        <v>800000</v>
      </c>
      <c r="H395" s="19">
        <v>500000</v>
      </c>
      <c r="I395" t="s">
        <v>564</v>
      </c>
    </row>
    <row r="396" spans="1:9" x14ac:dyDescent="0.25">
      <c r="A396" t="s">
        <v>1241</v>
      </c>
      <c r="B396" t="s">
        <v>3139</v>
      </c>
      <c r="C396" t="s">
        <v>3146</v>
      </c>
      <c r="D396">
        <f t="shared" si="6"/>
        <v>1.5</v>
      </c>
      <c r="E396" t="s">
        <v>564</v>
      </c>
      <c r="F396">
        <v>1</v>
      </c>
      <c r="G396" s="19">
        <v>400000</v>
      </c>
      <c r="H396" s="19">
        <v>200000</v>
      </c>
      <c r="I396" t="s">
        <v>564</v>
      </c>
    </row>
    <row r="397" spans="1:9" x14ac:dyDescent="0.25">
      <c r="A397" t="s">
        <v>1242</v>
      </c>
      <c r="B397" t="s">
        <v>3139</v>
      </c>
      <c r="C397" t="s">
        <v>3146</v>
      </c>
      <c r="D397">
        <f t="shared" si="6"/>
        <v>1.5</v>
      </c>
      <c r="E397" t="s">
        <v>564</v>
      </c>
      <c r="F397">
        <v>1</v>
      </c>
      <c r="G397" s="19">
        <v>200000</v>
      </c>
      <c r="H397" s="19">
        <v>100000</v>
      </c>
      <c r="I397" t="s">
        <v>564</v>
      </c>
    </row>
    <row r="398" spans="1:9" x14ac:dyDescent="0.25">
      <c r="A398" t="s">
        <v>1244</v>
      </c>
      <c r="B398" t="s">
        <v>3139</v>
      </c>
      <c r="C398" t="s">
        <v>3146</v>
      </c>
      <c r="D398">
        <f t="shared" si="6"/>
        <v>1.5</v>
      </c>
      <c r="E398" t="s">
        <v>564</v>
      </c>
      <c r="F398">
        <v>1</v>
      </c>
      <c r="G398" s="19">
        <v>400000</v>
      </c>
      <c r="H398" s="19">
        <v>200000</v>
      </c>
      <c r="I398" t="s">
        <v>564</v>
      </c>
    </row>
    <row r="399" spans="1:9" x14ac:dyDescent="0.25">
      <c r="A399" t="s">
        <v>1245</v>
      </c>
      <c r="B399" t="s">
        <v>3139</v>
      </c>
      <c r="C399" t="s">
        <v>3146</v>
      </c>
      <c r="D399">
        <f t="shared" si="6"/>
        <v>1.5</v>
      </c>
      <c r="E399" t="s">
        <v>15</v>
      </c>
      <c r="F399">
        <v>1</v>
      </c>
      <c r="G399" s="19">
        <v>200000</v>
      </c>
      <c r="H399" s="19">
        <v>100000</v>
      </c>
      <c r="I399" t="s">
        <v>15</v>
      </c>
    </row>
    <row r="400" spans="1:9" x14ac:dyDescent="0.25">
      <c r="A400" t="s">
        <v>1245</v>
      </c>
      <c r="B400" t="s">
        <v>3139</v>
      </c>
      <c r="C400" t="s">
        <v>3146</v>
      </c>
      <c r="D400">
        <f t="shared" si="6"/>
        <v>1.44</v>
      </c>
      <c r="E400" t="s">
        <v>564</v>
      </c>
      <c r="F400">
        <v>1</v>
      </c>
      <c r="G400" s="19">
        <v>2500000</v>
      </c>
      <c r="H400" s="19">
        <v>1100000</v>
      </c>
      <c r="I400" t="s">
        <v>564</v>
      </c>
    </row>
    <row r="401" spans="1:9" x14ac:dyDescent="0.25">
      <c r="A401" t="s">
        <v>1247</v>
      </c>
      <c r="B401" t="s">
        <v>3139</v>
      </c>
      <c r="C401" t="s">
        <v>3146</v>
      </c>
      <c r="D401">
        <f t="shared" si="6"/>
        <v>1.375</v>
      </c>
      <c r="E401" t="s">
        <v>564</v>
      </c>
      <c r="F401">
        <v>1</v>
      </c>
      <c r="G401" s="19">
        <v>800000</v>
      </c>
      <c r="H401" s="19">
        <v>300000</v>
      </c>
      <c r="I401" t="s">
        <v>564</v>
      </c>
    </row>
    <row r="402" spans="1:9" x14ac:dyDescent="0.25">
      <c r="A402" t="s">
        <v>1248</v>
      </c>
      <c r="B402" t="s">
        <v>3139</v>
      </c>
      <c r="C402" t="s">
        <v>3146</v>
      </c>
      <c r="D402">
        <f t="shared" si="6"/>
        <v>3.3333333333333335</v>
      </c>
      <c r="E402" t="s">
        <v>564</v>
      </c>
      <c r="F402">
        <v>1</v>
      </c>
      <c r="G402" s="19">
        <v>300000</v>
      </c>
      <c r="H402" s="19">
        <v>700000</v>
      </c>
      <c r="I402" t="s">
        <v>564</v>
      </c>
    </row>
    <row r="403" spans="1:9" x14ac:dyDescent="0.25">
      <c r="A403" t="s">
        <v>1250</v>
      </c>
      <c r="B403" t="s">
        <v>3139</v>
      </c>
      <c r="C403" t="s">
        <v>3146</v>
      </c>
      <c r="D403">
        <f t="shared" si="6"/>
        <v>2.8636363636363638</v>
      </c>
      <c r="E403" t="s">
        <v>564</v>
      </c>
      <c r="F403">
        <v>1</v>
      </c>
      <c r="G403" s="19">
        <v>2200000</v>
      </c>
      <c r="H403" s="19">
        <v>4100000</v>
      </c>
      <c r="I403" t="s">
        <v>564</v>
      </c>
    </row>
    <row r="404" spans="1:9" x14ac:dyDescent="0.25">
      <c r="A404" t="s">
        <v>1252</v>
      </c>
      <c r="B404" t="s">
        <v>3139</v>
      </c>
      <c r="C404" t="s">
        <v>3146</v>
      </c>
      <c r="D404">
        <f t="shared" si="6"/>
        <v>4</v>
      </c>
      <c r="E404" t="s">
        <v>564</v>
      </c>
      <c r="F404">
        <v>1</v>
      </c>
      <c r="G404" s="19">
        <v>100000</v>
      </c>
      <c r="H404" s="19">
        <v>300000</v>
      </c>
      <c r="I404" t="s">
        <v>564</v>
      </c>
    </row>
    <row r="405" spans="1:9" x14ac:dyDescent="0.25">
      <c r="A405" t="s">
        <v>1254</v>
      </c>
      <c r="B405" t="s">
        <v>3139</v>
      </c>
      <c r="C405" t="s">
        <v>3146</v>
      </c>
      <c r="D405">
        <f t="shared" si="6"/>
        <v>3.3</v>
      </c>
      <c r="E405" t="s">
        <v>564</v>
      </c>
      <c r="F405">
        <v>1</v>
      </c>
      <c r="G405" s="19">
        <v>1000000</v>
      </c>
      <c r="H405" s="19">
        <v>2300000</v>
      </c>
      <c r="I405" t="s">
        <v>564</v>
      </c>
    </row>
    <row r="406" spans="1:9" x14ac:dyDescent="0.25">
      <c r="A406" t="s">
        <v>1255</v>
      </c>
      <c r="B406" t="s">
        <v>3139</v>
      </c>
      <c r="C406" t="s">
        <v>3146</v>
      </c>
      <c r="D406">
        <f t="shared" si="6"/>
        <v>2.68</v>
      </c>
      <c r="E406" t="s">
        <v>564</v>
      </c>
      <c r="F406">
        <v>1</v>
      </c>
      <c r="G406" s="19">
        <v>2500000</v>
      </c>
      <c r="H406" s="19">
        <v>4200000</v>
      </c>
      <c r="I406" t="s">
        <v>564</v>
      </c>
    </row>
    <row r="407" spans="1:9" x14ac:dyDescent="0.25">
      <c r="A407" t="s">
        <v>1256</v>
      </c>
      <c r="B407" t="s">
        <v>3139</v>
      </c>
      <c r="C407" t="s">
        <v>3146</v>
      </c>
      <c r="D407">
        <f t="shared" si="6"/>
        <v>2.5384615384615383</v>
      </c>
      <c r="E407" t="s">
        <v>564</v>
      </c>
      <c r="F407">
        <v>1</v>
      </c>
      <c r="G407" s="19">
        <v>1300000</v>
      </c>
      <c r="H407" s="19">
        <v>2000000</v>
      </c>
      <c r="I407" t="s">
        <v>564</v>
      </c>
    </row>
    <row r="408" spans="1:9" x14ac:dyDescent="0.25">
      <c r="A408" t="s">
        <v>1257</v>
      </c>
      <c r="B408" t="s">
        <v>3139</v>
      </c>
      <c r="C408" t="s">
        <v>3146</v>
      </c>
      <c r="D408">
        <f t="shared" si="6"/>
        <v>3.25</v>
      </c>
      <c r="E408" t="s">
        <v>564</v>
      </c>
      <c r="F408">
        <v>1</v>
      </c>
      <c r="G408" s="19">
        <v>400000</v>
      </c>
      <c r="H408" s="19">
        <v>900000</v>
      </c>
      <c r="I408" t="s">
        <v>564</v>
      </c>
    </row>
    <row r="409" spans="1:9" x14ac:dyDescent="0.25">
      <c r="A409" t="s">
        <v>1259</v>
      </c>
      <c r="B409" t="s">
        <v>3139</v>
      </c>
      <c r="C409" t="s">
        <v>3146</v>
      </c>
      <c r="D409">
        <f t="shared" si="6"/>
        <v>2.8461538461538463</v>
      </c>
      <c r="E409" t="s">
        <v>564</v>
      </c>
      <c r="F409">
        <v>1</v>
      </c>
      <c r="G409" s="19">
        <v>1300000</v>
      </c>
      <c r="H409" s="19">
        <v>2400000</v>
      </c>
      <c r="I409" t="s">
        <v>564</v>
      </c>
    </row>
    <row r="410" spans="1:9" x14ac:dyDescent="0.25">
      <c r="A410" t="s">
        <v>1260</v>
      </c>
      <c r="B410" t="s">
        <v>3139</v>
      </c>
      <c r="C410" t="s">
        <v>3146</v>
      </c>
      <c r="D410">
        <f t="shared" si="6"/>
        <v>2.5</v>
      </c>
      <c r="E410" t="s">
        <v>564</v>
      </c>
      <c r="F410">
        <v>1</v>
      </c>
      <c r="G410" s="19">
        <v>600000</v>
      </c>
      <c r="H410" s="19">
        <v>900000</v>
      </c>
      <c r="I410" t="s">
        <v>564</v>
      </c>
    </row>
    <row r="411" spans="1:9" x14ac:dyDescent="0.25">
      <c r="A411" t="s">
        <v>1261</v>
      </c>
      <c r="B411" t="s">
        <v>3139</v>
      </c>
      <c r="C411" t="s">
        <v>3146</v>
      </c>
      <c r="D411">
        <f t="shared" si="6"/>
        <v>3</v>
      </c>
      <c r="E411" t="s">
        <v>15</v>
      </c>
      <c r="F411">
        <v>1</v>
      </c>
      <c r="G411" s="19">
        <v>100000</v>
      </c>
      <c r="H411" s="19">
        <v>200000</v>
      </c>
      <c r="I411" t="s">
        <v>15</v>
      </c>
    </row>
    <row r="412" spans="1:9" x14ac:dyDescent="0.25">
      <c r="A412" t="s">
        <v>1263</v>
      </c>
      <c r="B412" t="s">
        <v>3139</v>
      </c>
      <c r="C412" t="s">
        <v>3146</v>
      </c>
      <c r="D412">
        <f t="shared" si="6"/>
        <v>2.7</v>
      </c>
      <c r="E412" t="s">
        <v>564</v>
      </c>
      <c r="F412">
        <v>1</v>
      </c>
      <c r="G412" s="19">
        <v>1000000</v>
      </c>
      <c r="H412" s="19">
        <v>1700000</v>
      </c>
      <c r="I412" t="s">
        <v>564</v>
      </c>
    </row>
    <row r="413" spans="1:9" x14ac:dyDescent="0.25">
      <c r="A413" t="s">
        <v>1264</v>
      </c>
      <c r="B413" t="s">
        <v>3139</v>
      </c>
      <c r="C413" t="s">
        <v>3146</v>
      </c>
      <c r="D413">
        <f t="shared" si="6"/>
        <v>2.9210526315789473</v>
      </c>
      <c r="E413" t="s">
        <v>637</v>
      </c>
      <c r="F413">
        <v>1</v>
      </c>
      <c r="G413" s="19">
        <v>3800000</v>
      </c>
      <c r="H413" s="19">
        <v>7300000</v>
      </c>
      <c r="I413" t="s">
        <v>13</v>
      </c>
    </row>
    <row r="414" spans="1:9" x14ac:dyDescent="0.25">
      <c r="A414" t="s">
        <v>1266</v>
      </c>
      <c r="B414" t="s">
        <v>3139</v>
      </c>
      <c r="C414" t="s">
        <v>3146</v>
      </c>
      <c r="D414">
        <f t="shared" si="6"/>
        <v>3</v>
      </c>
      <c r="E414" t="s">
        <v>595</v>
      </c>
      <c r="F414">
        <v>1</v>
      </c>
      <c r="G414" s="19">
        <v>200000</v>
      </c>
      <c r="H414" s="19">
        <v>400000</v>
      </c>
      <c r="I414" t="s">
        <v>13</v>
      </c>
    </row>
    <row r="415" spans="1:9" x14ac:dyDescent="0.25">
      <c r="A415" t="s">
        <v>1268</v>
      </c>
      <c r="B415" t="s">
        <v>3139</v>
      </c>
      <c r="C415" t="s">
        <v>3146</v>
      </c>
      <c r="D415">
        <f t="shared" si="6"/>
        <v>4.3636363636363633</v>
      </c>
      <c r="E415" t="s">
        <v>564</v>
      </c>
      <c r="F415">
        <v>1</v>
      </c>
      <c r="G415" s="19">
        <v>1100000</v>
      </c>
      <c r="H415" s="19">
        <v>3700000</v>
      </c>
      <c r="I415" t="s">
        <v>564</v>
      </c>
    </row>
    <row r="416" spans="1:9" x14ac:dyDescent="0.25">
      <c r="A416" t="s">
        <v>1269</v>
      </c>
      <c r="B416" t="s">
        <v>3139</v>
      </c>
      <c r="C416" t="s">
        <v>3146</v>
      </c>
      <c r="D416">
        <f t="shared" si="6"/>
        <v>4.1818181818181817</v>
      </c>
      <c r="E416" t="s">
        <v>564</v>
      </c>
      <c r="F416">
        <v>1</v>
      </c>
      <c r="G416" s="19">
        <v>1100000</v>
      </c>
      <c r="H416" s="19">
        <v>3500000</v>
      </c>
      <c r="I416" t="s">
        <v>564</v>
      </c>
    </row>
    <row r="417" spans="1:9" x14ac:dyDescent="0.25">
      <c r="A417" t="s">
        <v>1270</v>
      </c>
      <c r="B417" t="s">
        <v>3139</v>
      </c>
      <c r="C417" t="s">
        <v>3146</v>
      </c>
      <c r="D417">
        <f t="shared" si="6"/>
        <v>2.652173913043478</v>
      </c>
      <c r="E417" t="s">
        <v>564</v>
      </c>
      <c r="F417">
        <v>1</v>
      </c>
      <c r="G417" s="19">
        <v>2300000</v>
      </c>
      <c r="H417" s="19">
        <v>3800000</v>
      </c>
      <c r="I417" t="s">
        <v>564</v>
      </c>
    </row>
    <row r="418" spans="1:9" x14ac:dyDescent="0.25">
      <c r="A418" t="s">
        <v>1271</v>
      </c>
      <c r="B418" t="s">
        <v>3139</v>
      </c>
      <c r="C418" t="s">
        <v>3146</v>
      </c>
      <c r="D418">
        <f t="shared" si="6"/>
        <v>4.4000000000000004</v>
      </c>
      <c r="E418" t="s">
        <v>564</v>
      </c>
      <c r="F418">
        <v>1</v>
      </c>
      <c r="G418" s="19">
        <v>500000</v>
      </c>
      <c r="H418" s="19">
        <v>1700000</v>
      </c>
      <c r="I418" t="s">
        <v>564</v>
      </c>
    </row>
    <row r="419" spans="1:9" x14ac:dyDescent="0.25">
      <c r="A419" t="s">
        <v>1273</v>
      </c>
      <c r="B419" t="s">
        <v>3139</v>
      </c>
      <c r="C419" t="s">
        <v>3146</v>
      </c>
      <c r="D419">
        <f t="shared" si="6"/>
        <v>2</v>
      </c>
      <c r="E419" t="s">
        <v>637</v>
      </c>
      <c r="F419">
        <v>1</v>
      </c>
      <c r="G419" s="19">
        <v>100000</v>
      </c>
      <c r="H419" s="19">
        <v>100000</v>
      </c>
      <c r="I419" t="s">
        <v>13</v>
      </c>
    </row>
    <row r="420" spans="1:9" x14ac:dyDescent="0.25">
      <c r="A420" t="s">
        <v>1275</v>
      </c>
      <c r="B420" t="s">
        <v>3139</v>
      </c>
      <c r="C420" t="s">
        <v>3146</v>
      </c>
      <c r="D420">
        <f t="shared" si="6"/>
        <v>4.333333333333333</v>
      </c>
      <c r="E420" t="s">
        <v>564</v>
      </c>
      <c r="F420">
        <v>1</v>
      </c>
      <c r="G420" s="19">
        <v>1500000</v>
      </c>
      <c r="H420" s="19">
        <v>5000000</v>
      </c>
      <c r="I420" t="s">
        <v>564</v>
      </c>
    </row>
    <row r="421" spans="1:9" x14ac:dyDescent="0.25">
      <c r="A421" t="s">
        <v>1277</v>
      </c>
      <c r="B421" t="s">
        <v>3139</v>
      </c>
      <c r="C421" t="s">
        <v>3146</v>
      </c>
      <c r="D421">
        <f t="shared" si="6"/>
        <v>3</v>
      </c>
      <c r="E421" t="s">
        <v>607</v>
      </c>
      <c r="F421">
        <v>1</v>
      </c>
      <c r="G421" s="19">
        <v>100000</v>
      </c>
      <c r="H421" s="19">
        <v>200000</v>
      </c>
      <c r="I421" t="s">
        <v>13</v>
      </c>
    </row>
    <row r="422" spans="1:9" x14ac:dyDescent="0.25">
      <c r="A422" t="s">
        <v>1279</v>
      </c>
      <c r="B422" t="s">
        <v>3139</v>
      </c>
      <c r="C422" t="s">
        <v>3146</v>
      </c>
      <c r="D422">
        <f t="shared" si="6"/>
        <v>2.5333333333333332</v>
      </c>
      <c r="E422" t="s">
        <v>564</v>
      </c>
      <c r="F422">
        <v>1</v>
      </c>
      <c r="G422" s="19">
        <v>1500000</v>
      </c>
      <c r="H422" s="19">
        <v>2300000</v>
      </c>
      <c r="I422" t="s">
        <v>564</v>
      </c>
    </row>
    <row r="423" spans="1:9" x14ac:dyDescent="0.25">
      <c r="A423" t="s">
        <v>1281</v>
      </c>
      <c r="B423" t="s">
        <v>3139</v>
      </c>
      <c r="C423" t="s">
        <v>3146</v>
      </c>
      <c r="D423">
        <f t="shared" si="6"/>
        <v>3.4</v>
      </c>
      <c r="E423" t="s">
        <v>564</v>
      </c>
      <c r="F423">
        <v>1</v>
      </c>
      <c r="G423" s="19">
        <v>500000</v>
      </c>
      <c r="H423" s="19">
        <v>1200000</v>
      </c>
      <c r="I423" t="s">
        <v>564</v>
      </c>
    </row>
    <row r="424" spans="1:9" x14ac:dyDescent="0.25">
      <c r="A424" t="s">
        <v>1282</v>
      </c>
      <c r="B424" t="s">
        <v>3139</v>
      </c>
      <c r="C424" t="s">
        <v>3146</v>
      </c>
      <c r="D424">
        <f t="shared" si="6"/>
        <v>3.1666666666666665</v>
      </c>
      <c r="E424" t="s">
        <v>595</v>
      </c>
      <c r="F424">
        <v>1</v>
      </c>
      <c r="G424" s="19">
        <v>600000</v>
      </c>
      <c r="H424" s="19">
        <v>1300000</v>
      </c>
      <c r="I424" t="s">
        <v>13</v>
      </c>
    </row>
    <row r="425" spans="1:9" x14ac:dyDescent="0.25">
      <c r="A425" t="s">
        <v>1284</v>
      </c>
      <c r="B425" t="s">
        <v>3139</v>
      </c>
      <c r="C425" t="s">
        <v>3146</v>
      </c>
      <c r="D425">
        <f t="shared" si="6"/>
        <v>2</v>
      </c>
      <c r="E425" t="s">
        <v>595</v>
      </c>
      <c r="F425">
        <v>1</v>
      </c>
      <c r="G425" s="19">
        <v>100000</v>
      </c>
      <c r="H425" s="19">
        <v>100000</v>
      </c>
      <c r="I425" t="s">
        <v>13</v>
      </c>
    </row>
    <row r="426" spans="1:9" x14ac:dyDescent="0.25">
      <c r="A426" t="s">
        <v>1286</v>
      </c>
      <c r="B426" t="s">
        <v>3139</v>
      </c>
      <c r="C426" t="s">
        <v>3146</v>
      </c>
      <c r="D426">
        <f t="shared" si="6"/>
        <v>2</v>
      </c>
      <c r="E426" t="s">
        <v>564</v>
      </c>
      <c r="F426">
        <v>1</v>
      </c>
      <c r="G426" s="19">
        <v>100000</v>
      </c>
      <c r="H426" s="19">
        <v>100000</v>
      </c>
      <c r="I426" t="s">
        <v>564</v>
      </c>
    </row>
    <row r="427" spans="1:9" x14ac:dyDescent="0.25">
      <c r="A427" t="s">
        <v>1287</v>
      </c>
      <c r="B427" t="s">
        <v>3139</v>
      </c>
      <c r="C427" t="s">
        <v>3146</v>
      </c>
      <c r="D427">
        <f t="shared" si="6"/>
        <v>2.6666666666666665</v>
      </c>
      <c r="E427" t="s">
        <v>564</v>
      </c>
      <c r="F427">
        <v>1</v>
      </c>
      <c r="G427" s="19">
        <v>600000</v>
      </c>
      <c r="H427" s="19">
        <v>1000000</v>
      </c>
      <c r="I427" t="s">
        <v>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activeCell="D15" sqref="D2:D15"/>
    </sheetView>
  </sheetViews>
  <sheetFormatPr defaultRowHeight="15" x14ac:dyDescent="0.25"/>
  <sheetData>
    <row r="1" spans="1:4" x14ac:dyDescent="0.25">
      <c r="A1" s="1" t="s">
        <v>3134</v>
      </c>
      <c r="B1" s="1" t="s">
        <v>934</v>
      </c>
      <c r="C1" s="1" t="s">
        <v>3137</v>
      </c>
      <c r="D1" s="1" t="s">
        <v>3147</v>
      </c>
    </row>
    <row r="2" spans="1:4" x14ac:dyDescent="0.25">
      <c r="A2">
        <v>1</v>
      </c>
      <c r="B2">
        <v>2017</v>
      </c>
      <c r="C2" t="s">
        <v>3138</v>
      </c>
      <c r="D2" t="s">
        <v>3148</v>
      </c>
    </row>
    <row r="3" spans="1:4" x14ac:dyDescent="0.25">
      <c r="A3">
        <v>3</v>
      </c>
      <c r="B3">
        <v>2017</v>
      </c>
      <c r="C3" t="s">
        <v>3139</v>
      </c>
      <c r="D3" t="s">
        <v>3149</v>
      </c>
    </row>
    <row r="4" spans="1:4" x14ac:dyDescent="0.25">
      <c r="A4">
        <v>4</v>
      </c>
      <c r="B4">
        <v>2018</v>
      </c>
      <c r="C4" t="s">
        <v>3138</v>
      </c>
      <c r="D4" t="s">
        <v>3150</v>
      </c>
    </row>
    <row r="5" spans="1:4" x14ac:dyDescent="0.25">
      <c r="A5">
        <v>6</v>
      </c>
      <c r="B5">
        <v>2018</v>
      </c>
      <c r="C5" t="s">
        <v>3139</v>
      </c>
      <c r="D5" t="s">
        <v>3151</v>
      </c>
    </row>
    <row r="6" spans="1:4" x14ac:dyDescent="0.25">
      <c r="A6">
        <v>7</v>
      </c>
      <c r="B6">
        <v>2019</v>
      </c>
      <c r="C6" t="s">
        <v>3138</v>
      </c>
      <c r="D6" t="s">
        <v>3152</v>
      </c>
    </row>
    <row r="7" spans="1:4" x14ac:dyDescent="0.25">
      <c r="A7">
        <v>9</v>
      </c>
      <c r="B7">
        <v>2019</v>
      </c>
      <c r="C7" t="s">
        <v>3139</v>
      </c>
      <c r="D7" t="s">
        <v>3153</v>
      </c>
    </row>
    <row r="8" spans="1:4" x14ac:dyDescent="0.25">
      <c r="A8">
        <v>10</v>
      </c>
      <c r="B8">
        <v>2020</v>
      </c>
      <c r="C8" t="s">
        <v>3138</v>
      </c>
      <c r="D8" t="s">
        <v>3154</v>
      </c>
    </row>
    <row r="9" spans="1:4" x14ac:dyDescent="0.25">
      <c r="A9">
        <v>12</v>
      </c>
      <c r="B9">
        <v>2020</v>
      </c>
      <c r="C9" t="s">
        <v>3139</v>
      </c>
      <c r="D9" t="s">
        <v>3155</v>
      </c>
    </row>
    <row r="10" spans="1:4" x14ac:dyDescent="0.25">
      <c r="A10">
        <v>13</v>
      </c>
      <c r="B10">
        <v>2021</v>
      </c>
      <c r="C10" t="s">
        <v>3138</v>
      </c>
      <c r="D10" t="s">
        <v>3156</v>
      </c>
    </row>
    <row r="11" spans="1:4" x14ac:dyDescent="0.25">
      <c r="A11">
        <v>15</v>
      </c>
      <c r="B11">
        <v>2021</v>
      </c>
      <c r="C11" t="s">
        <v>3139</v>
      </c>
      <c r="D11" t="s">
        <v>3157</v>
      </c>
    </row>
    <row r="12" spans="1:4" x14ac:dyDescent="0.25">
      <c r="A12">
        <v>16</v>
      </c>
      <c r="B12">
        <v>2022</v>
      </c>
      <c r="C12" t="s">
        <v>3138</v>
      </c>
      <c r="D12" t="s">
        <v>3158</v>
      </c>
    </row>
    <row r="13" spans="1:4" x14ac:dyDescent="0.25">
      <c r="A13">
        <v>18</v>
      </c>
      <c r="B13">
        <v>2022</v>
      </c>
      <c r="C13" t="s">
        <v>3139</v>
      </c>
      <c r="D13" t="s">
        <v>3159</v>
      </c>
    </row>
    <row r="14" spans="1:4" x14ac:dyDescent="0.25">
      <c r="A14">
        <v>19</v>
      </c>
      <c r="B14">
        <v>2023</v>
      </c>
      <c r="C14" t="s">
        <v>3138</v>
      </c>
      <c r="D14" t="s">
        <v>3160</v>
      </c>
    </row>
    <row r="15" spans="1:4" x14ac:dyDescent="0.25">
      <c r="A15">
        <v>21</v>
      </c>
      <c r="B15">
        <v>2023</v>
      </c>
      <c r="C15" t="s">
        <v>3139</v>
      </c>
      <c r="D15" t="s">
        <v>3161</v>
      </c>
    </row>
  </sheetData>
  <autoFilter ref="A1:D15" xr:uid="{00000000-0001-0000-07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>
      <selection activeCell="K16" sqref="K16"/>
    </sheetView>
  </sheetViews>
  <sheetFormatPr defaultRowHeight="15" x14ac:dyDescent="0.25"/>
  <cols>
    <col min="9" max="9" width="10.140625" bestFit="1" customWidth="1"/>
    <col min="10" max="10" width="11.7109375" bestFit="1" customWidth="1"/>
    <col min="11" max="11" width="22.28515625" bestFit="1" customWidth="1"/>
  </cols>
  <sheetData>
    <row r="1" spans="1:11" x14ac:dyDescent="0.25">
      <c r="A1" s="1" t="s">
        <v>3134</v>
      </c>
      <c r="B1" s="1" t="s">
        <v>3162</v>
      </c>
      <c r="C1" s="1" t="s">
        <v>3163</v>
      </c>
      <c r="D1" s="1" t="s">
        <v>3164</v>
      </c>
      <c r="E1" s="1" t="s">
        <v>18</v>
      </c>
      <c r="F1" s="1" t="s">
        <v>3165</v>
      </c>
      <c r="G1" s="1" t="s">
        <v>3166</v>
      </c>
      <c r="H1" s="1" t="s">
        <v>3167</v>
      </c>
      <c r="I1" s="1" t="s">
        <v>3168</v>
      </c>
      <c r="J1" s="1" t="s">
        <v>3169</v>
      </c>
      <c r="K1" s="3" t="s">
        <v>3170</v>
      </c>
    </row>
    <row r="2" spans="1:11" x14ac:dyDescent="0.25">
      <c r="A2">
        <v>1</v>
      </c>
      <c r="B2" t="s">
        <v>3171</v>
      </c>
      <c r="C2" t="s">
        <v>3172</v>
      </c>
      <c r="D2">
        <v>45</v>
      </c>
      <c r="E2" t="s">
        <v>564</v>
      </c>
      <c r="F2" t="s">
        <v>906</v>
      </c>
      <c r="G2">
        <v>2017</v>
      </c>
      <c r="H2">
        <v>2023</v>
      </c>
      <c r="I2" t="s">
        <v>3173</v>
      </c>
      <c r="J2" t="s">
        <v>3172</v>
      </c>
      <c r="K2" t="s">
        <v>3174</v>
      </c>
    </row>
    <row r="3" spans="1:11" x14ac:dyDescent="0.25">
      <c r="A3">
        <v>6</v>
      </c>
      <c r="B3" t="s">
        <v>3175</v>
      </c>
      <c r="C3" t="s">
        <v>3176</v>
      </c>
      <c r="D3">
        <v>12</v>
      </c>
      <c r="E3" t="s">
        <v>15</v>
      </c>
      <c r="F3" t="s">
        <v>887</v>
      </c>
      <c r="G3">
        <v>2017</v>
      </c>
      <c r="H3">
        <v>2023</v>
      </c>
      <c r="I3" t="s">
        <v>3173</v>
      </c>
      <c r="J3" t="s">
        <v>3176</v>
      </c>
      <c r="K3" t="s">
        <v>3177</v>
      </c>
    </row>
    <row r="4" spans="1:11" x14ac:dyDescent="0.25">
      <c r="A4">
        <v>13</v>
      </c>
      <c r="B4" t="s">
        <v>3178</v>
      </c>
      <c r="C4" t="s">
        <v>3179</v>
      </c>
      <c r="D4">
        <v>46</v>
      </c>
      <c r="E4" t="s">
        <v>564</v>
      </c>
      <c r="F4" t="s">
        <v>887</v>
      </c>
      <c r="G4">
        <v>2017</v>
      </c>
      <c r="H4">
        <v>2023</v>
      </c>
      <c r="I4" t="s">
        <v>3173</v>
      </c>
      <c r="J4" t="s">
        <v>3179</v>
      </c>
      <c r="K4" t="s">
        <v>3174</v>
      </c>
    </row>
    <row r="5" spans="1:11" x14ac:dyDescent="0.25">
      <c r="A5">
        <v>19</v>
      </c>
      <c r="B5" t="s">
        <v>3180</v>
      </c>
      <c r="C5" t="s">
        <v>3181</v>
      </c>
      <c r="D5">
        <v>13</v>
      </c>
      <c r="E5" t="s">
        <v>15</v>
      </c>
      <c r="F5" t="s">
        <v>457</v>
      </c>
      <c r="G5">
        <v>2021</v>
      </c>
      <c r="H5">
        <v>2023</v>
      </c>
      <c r="I5" t="s">
        <v>3173</v>
      </c>
      <c r="J5" t="s">
        <v>3181</v>
      </c>
      <c r="K5" t="s">
        <v>3177</v>
      </c>
    </row>
    <row r="6" spans="1:11" x14ac:dyDescent="0.25">
      <c r="A6">
        <v>20</v>
      </c>
      <c r="B6" t="s">
        <v>3182</v>
      </c>
      <c r="C6" t="s">
        <v>3183</v>
      </c>
      <c r="D6">
        <v>16</v>
      </c>
      <c r="E6" t="s">
        <v>481</v>
      </c>
      <c r="F6" t="s">
        <v>457</v>
      </c>
      <c r="G6">
        <v>2017</v>
      </c>
      <c r="H6">
        <v>2023</v>
      </c>
      <c r="I6" t="s">
        <v>3173</v>
      </c>
      <c r="J6" t="s">
        <v>3183</v>
      </c>
      <c r="K6" t="s">
        <v>3184</v>
      </c>
    </row>
    <row r="7" spans="1:11" x14ac:dyDescent="0.25">
      <c r="A7">
        <v>22</v>
      </c>
      <c r="B7" t="s">
        <v>3185</v>
      </c>
      <c r="C7" t="s">
        <v>3186</v>
      </c>
      <c r="D7">
        <v>23</v>
      </c>
      <c r="E7" t="s">
        <v>13</v>
      </c>
      <c r="F7" t="s">
        <v>457</v>
      </c>
      <c r="G7">
        <v>2017</v>
      </c>
      <c r="H7">
        <v>2023</v>
      </c>
      <c r="I7" t="s">
        <v>3173</v>
      </c>
      <c r="J7" t="s">
        <v>3186</v>
      </c>
      <c r="K7" t="s">
        <v>3187</v>
      </c>
    </row>
    <row r="8" spans="1:11" x14ac:dyDescent="0.25">
      <c r="A8">
        <v>29</v>
      </c>
      <c r="B8" t="s">
        <v>3188</v>
      </c>
      <c r="C8" t="s">
        <v>3189</v>
      </c>
      <c r="D8">
        <v>49</v>
      </c>
      <c r="E8" t="s">
        <v>564</v>
      </c>
      <c r="F8" t="s">
        <v>457</v>
      </c>
      <c r="G8">
        <v>2017</v>
      </c>
      <c r="H8">
        <v>2023</v>
      </c>
      <c r="I8" t="s">
        <v>3173</v>
      </c>
      <c r="J8" t="s">
        <v>3189</v>
      </c>
      <c r="K8" t="s">
        <v>3174</v>
      </c>
    </row>
    <row r="9" spans="1:11" x14ac:dyDescent="0.25">
      <c r="A9">
        <v>30</v>
      </c>
      <c r="B9" t="s">
        <v>3190</v>
      </c>
      <c r="C9" t="s">
        <v>3191</v>
      </c>
      <c r="D9">
        <v>14</v>
      </c>
      <c r="E9" t="s">
        <v>15</v>
      </c>
      <c r="F9" t="s">
        <v>903</v>
      </c>
      <c r="G9">
        <v>2018</v>
      </c>
      <c r="H9">
        <v>2023</v>
      </c>
      <c r="I9" t="s">
        <v>3173</v>
      </c>
      <c r="J9" t="s">
        <v>3191</v>
      </c>
      <c r="K9" t="s">
        <v>3177</v>
      </c>
    </row>
    <row r="10" spans="1:11" x14ac:dyDescent="0.25">
      <c r="A10">
        <v>34</v>
      </c>
      <c r="B10" t="s">
        <v>3192</v>
      </c>
      <c r="C10" t="s">
        <v>3193</v>
      </c>
      <c r="D10">
        <v>11</v>
      </c>
      <c r="E10" t="s">
        <v>15</v>
      </c>
      <c r="F10" t="s">
        <v>906</v>
      </c>
      <c r="G10">
        <v>2017</v>
      </c>
      <c r="H10">
        <v>2023</v>
      </c>
      <c r="I10" t="s">
        <v>3173</v>
      </c>
      <c r="J10" t="s">
        <v>3193</v>
      </c>
      <c r="K10" t="s">
        <v>3177</v>
      </c>
    </row>
    <row r="11" spans="1:11" x14ac:dyDescent="0.25">
      <c r="A11">
        <v>35</v>
      </c>
      <c r="B11" t="s">
        <v>3194</v>
      </c>
      <c r="C11" t="s">
        <v>3195</v>
      </c>
      <c r="D11">
        <v>50</v>
      </c>
      <c r="E11" t="s">
        <v>564</v>
      </c>
      <c r="F11" t="s">
        <v>903</v>
      </c>
      <c r="G11">
        <v>2017</v>
      </c>
      <c r="H11">
        <v>2023</v>
      </c>
      <c r="I11" t="s">
        <v>3173</v>
      </c>
      <c r="J11" t="s">
        <v>3195</v>
      </c>
      <c r="K11" t="s">
        <v>3174</v>
      </c>
    </row>
    <row r="12" spans="1:11" x14ac:dyDescent="0.25">
      <c r="A12">
        <v>37</v>
      </c>
      <c r="B12" t="s">
        <v>3196</v>
      </c>
      <c r="C12" t="s">
        <v>3197</v>
      </c>
      <c r="D12">
        <v>48</v>
      </c>
      <c r="E12" t="s">
        <v>564</v>
      </c>
      <c r="F12" t="s">
        <v>6</v>
      </c>
      <c r="G12">
        <v>2021</v>
      </c>
      <c r="H12">
        <v>2023</v>
      </c>
      <c r="I12" t="s">
        <v>3173</v>
      </c>
      <c r="J12" t="s">
        <v>3197</v>
      </c>
      <c r="K12" t="s">
        <v>3174</v>
      </c>
    </row>
    <row r="13" spans="1:11" x14ac:dyDescent="0.25">
      <c r="A13">
        <v>40</v>
      </c>
      <c r="B13" t="s">
        <v>3198</v>
      </c>
      <c r="C13" t="s">
        <v>3199</v>
      </c>
      <c r="D13">
        <v>47</v>
      </c>
      <c r="E13" t="s">
        <v>564</v>
      </c>
      <c r="F13" t="s">
        <v>895</v>
      </c>
      <c r="G13">
        <v>2020</v>
      </c>
      <c r="H13">
        <v>2023</v>
      </c>
      <c r="I13" t="s">
        <v>3173</v>
      </c>
      <c r="J13" t="s">
        <v>3199</v>
      </c>
      <c r="K13" t="s">
        <v>3174</v>
      </c>
    </row>
    <row r="14" spans="1:11" x14ac:dyDescent="0.25">
      <c r="A14">
        <v>41</v>
      </c>
      <c r="B14" t="s">
        <v>3200</v>
      </c>
      <c r="C14" t="s">
        <v>3201</v>
      </c>
      <c r="D14">
        <v>21</v>
      </c>
      <c r="E14" t="s">
        <v>13</v>
      </c>
      <c r="F14" t="s">
        <v>887</v>
      </c>
      <c r="G14">
        <v>2017</v>
      </c>
      <c r="H14">
        <v>2023</v>
      </c>
      <c r="I14" t="s">
        <v>3173</v>
      </c>
      <c r="J14" t="s">
        <v>3201</v>
      </c>
      <c r="K14" t="s">
        <v>3248</v>
      </c>
    </row>
    <row r="15" spans="1:11" x14ac:dyDescent="0.25">
      <c r="A15">
        <v>43</v>
      </c>
      <c r="B15" t="s">
        <v>3203</v>
      </c>
      <c r="C15" t="s">
        <v>3204</v>
      </c>
      <c r="D15">
        <v>15</v>
      </c>
      <c r="E15" t="s">
        <v>481</v>
      </c>
      <c r="F15" t="s">
        <v>887</v>
      </c>
      <c r="G15">
        <v>2017</v>
      </c>
      <c r="H15">
        <v>2023</v>
      </c>
      <c r="I15" t="s">
        <v>3173</v>
      </c>
      <c r="J15" t="s">
        <v>3204</v>
      </c>
      <c r="K15" t="s">
        <v>3205</v>
      </c>
    </row>
    <row r="16" spans="1:11" x14ac:dyDescent="0.25">
      <c r="A16">
        <v>44</v>
      </c>
      <c r="B16" t="s">
        <v>3206</v>
      </c>
      <c r="C16" t="s">
        <v>3207</v>
      </c>
      <c r="D16">
        <v>22</v>
      </c>
      <c r="E16" t="s">
        <v>13</v>
      </c>
      <c r="F16" t="s">
        <v>895</v>
      </c>
      <c r="G16">
        <v>2017</v>
      </c>
      <c r="H16">
        <v>2020</v>
      </c>
      <c r="I16" t="s">
        <v>3173</v>
      </c>
      <c r="J16" t="s">
        <v>3207</v>
      </c>
      <c r="K16" t="s">
        <v>3208</v>
      </c>
    </row>
  </sheetData>
  <autoFilter ref="A1:K16" xr:uid="{00000000-0001-0000-08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8"/>
  <sheetViews>
    <sheetView workbookViewId="0">
      <selection activeCell="C10" sqref="C10"/>
    </sheetView>
  </sheetViews>
  <sheetFormatPr defaultRowHeight="15" x14ac:dyDescent="0.25"/>
  <cols>
    <col min="4" max="4" width="13.42578125" customWidth="1"/>
    <col min="5" max="5" width="13" customWidth="1"/>
    <col min="6" max="6" width="12.140625" customWidth="1"/>
    <col min="7" max="7" width="14.140625" customWidth="1"/>
  </cols>
  <sheetData>
    <row r="1" spans="1:7" x14ac:dyDescent="0.25">
      <c r="A1" s="1" t="s">
        <v>3164</v>
      </c>
      <c r="B1" s="1" t="s">
        <v>18</v>
      </c>
      <c r="C1" s="1" t="s">
        <v>3165</v>
      </c>
      <c r="D1" s="1" t="s">
        <v>3166</v>
      </c>
      <c r="E1" s="1" t="s">
        <v>3167</v>
      </c>
      <c r="F1" s="1" t="s">
        <v>3168</v>
      </c>
      <c r="G1" s="1" t="s">
        <v>3169</v>
      </c>
    </row>
    <row r="2" spans="1:7" x14ac:dyDescent="0.25">
      <c r="A2">
        <v>1</v>
      </c>
      <c r="B2" t="s">
        <v>527</v>
      </c>
      <c r="C2" t="s">
        <v>887</v>
      </c>
      <c r="D2">
        <v>2021</v>
      </c>
      <c r="E2">
        <v>2023</v>
      </c>
      <c r="F2" t="s">
        <v>3173</v>
      </c>
      <c r="G2" t="s">
        <v>3209</v>
      </c>
    </row>
    <row r="3" spans="1:7" x14ac:dyDescent="0.25">
      <c r="A3">
        <v>2</v>
      </c>
      <c r="B3" t="s">
        <v>527</v>
      </c>
      <c r="C3" t="s">
        <v>457</v>
      </c>
      <c r="D3">
        <v>2021</v>
      </c>
      <c r="E3">
        <v>2023</v>
      </c>
      <c r="F3" t="s">
        <v>3173</v>
      </c>
      <c r="G3" t="s">
        <v>3210</v>
      </c>
    </row>
    <row r="4" spans="1:7" x14ac:dyDescent="0.25">
      <c r="A4">
        <v>3</v>
      </c>
      <c r="B4" t="s">
        <v>520</v>
      </c>
      <c r="C4" t="s">
        <v>887</v>
      </c>
      <c r="D4">
        <v>2017</v>
      </c>
      <c r="E4">
        <v>2023</v>
      </c>
      <c r="F4" t="s">
        <v>3173</v>
      </c>
      <c r="G4" t="s">
        <v>3211</v>
      </c>
    </row>
    <row r="5" spans="1:7" x14ac:dyDescent="0.25">
      <c r="A5">
        <v>4</v>
      </c>
      <c r="B5" t="s">
        <v>515</v>
      </c>
      <c r="C5" t="s">
        <v>887</v>
      </c>
      <c r="D5">
        <v>2017</v>
      </c>
      <c r="E5">
        <v>2023</v>
      </c>
      <c r="F5" t="s">
        <v>3173</v>
      </c>
      <c r="G5" t="s">
        <v>3212</v>
      </c>
    </row>
    <row r="6" spans="1:7" x14ac:dyDescent="0.25">
      <c r="A6">
        <v>5</v>
      </c>
      <c r="B6" t="s">
        <v>515</v>
      </c>
      <c r="C6" t="s">
        <v>457</v>
      </c>
      <c r="D6">
        <v>2019</v>
      </c>
      <c r="E6">
        <v>2020</v>
      </c>
      <c r="F6" t="s">
        <v>3173</v>
      </c>
      <c r="G6" t="s">
        <v>3213</v>
      </c>
    </row>
    <row r="7" spans="1:7" x14ac:dyDescent="0.25">
      <c r="A7">
        <v>6</v>
      </c>
      <c r="B7" t="s">
        <v>493</v>
      </c>
      <c r="C7" t="s">
        <v>906</v>
      </c>
      <c r="D7">
        <v>2021</v>
      </c>
      <c r="E7">
        <v>2023</v>
      </c>
      <c r="F7" t="s">
        <v>3173</v>
      </c>
      <c r="G7" t="s">
        <v>3214</v>
      </c>
    </row>
    <row r="8" spans="1:7" x14ac:dyDescent="0.25">
      <c r="A8">
        <v>7</v>
      </c>
      <c r="B8" t="s">
        <v>493</v>
      </c>
      <c r="C8" t="s">
        <v>887</v>
      </c>
      <c r="D8">
        <v>2017</v>
      </c>
      <c r="E8">
        <v>2023</v>
      </c>
      <c r="F8" t="s">
        <v>3173</v>
      </c>
      <c r="G8" t="s">
        <v>3215</v>
      </c>
    </row>
    <row r="9" spans="1:7" x14ac:dyDescent="0.25">
      <c r="A9">
        <v>8</v>
      </c>
      <c r="B9" t="s">
        <v>493</v>
      </c>
      <c r="C9" t="s">
        <v>6</v>
      </c>
      <c r="D9">
        <v>2021</v>
      </c>
      <c r="E9">
        <v>2023</v>
      </c>
      <c r="F9" t="s">
        <v>3173</v>
      </c>
      <c r="G9" t="s">
        <v>3216</v>
      </c>
    </row>
    <row r="10" spans="1:7" x14ac:dyDescent="0.25">
      <c r="A10">
        <v>9</v>
      </c>
      <c r="B10" t="s">
        <v>493</v>
      </c>
      <c r="C10" t="s">
        <v>457</v>
      </c>
      <c r="D10">
        <v>2017</v>
      </c>
      <c r="E10">
        <v>2023</v>
      </c>
      <c r="F10" t="s">
        <v>3173</v>
      </c>
      <c r="G10" t="s">
        <v>3217</v>
      </c>
    </row>
    <row r="11" spans="1:7" x14ac:dyDescent="0.25">
      <c r="A11">
        <v>11</v>
      </c>
      <c r="B11" t="s">
        <v>15</v>
      </c>
      <c r="C11" t="s">
        <v>906</v>
      </c>
      <c r="D11">
        <v>2017</v>
      </c>
      <c r="E11">
        <v>2023</v>
      </c>
      <c r="F11" t="s">
        <v>3173</v>
      </c>
      <c r="G11" t="s">
        <v>3193</v>
      </c>
    </row>
    <row r="12" spans="1:7" x14ac:dyDescent="0.25">
      <c r="A12">
        <v>12</v>
      </c>
      <c r="B12" t="s">
        <v>15</v>
      </c>
      <c r="C12" t="s">
        <v>887</v>
      </c>
      <c r="D12">
        <v>2017</v>
      </c>
      <c r="E12">
        <v>2023</v>
      </c>
      <c r="F12" t="s">
        <v>3173</v>
      </c>
      <c r="G12" t="s">
        <v>3176</v>
      </c>
    </row>
    <row r="13" spans="1:7" x14ac:dyDescent="0.25">
      <c r="A13">
        <v>13</v>
      </c>
      <c r="B13" t="s">
        <v>15</v>
      </c>
      <c r="C13" t="s">
        <v>457</v>
      </c>
      <c r="D13">
        <v>2021</v>
      </c>
      <c r="E13">
        <v>2023</v>
      </c>
      <c r="F13" t="s">
        <v>3173</v>
      </c>
      <c r="G13" t="s">
        <v>3181</v>
      </c>
    </row>
    <row r="14" spans="1:7" x14ac:dyDescent="0.25">
      <c r="A14">
        <v>14</v>
      </c>
      <c r="B14" t="s">
        <v>15</v>
      </c>
      <c r="C14" t="s">
        <v>903</v>
      </c>
      <c r="D14">
        <v>2018</v>
      </c>
      <c r="E14">
        <v>2023</v>
      </c>
      <c r="F14" t="s">
        <v>3173</v>
      </c>
      <c r="G14" t="s">
        <v>3191</v>
      </c>
    </row>
    <row r="15" spans="1:7" x14ac:dyDescent="0.25">
      <c r="A15">
        <v>15</v>
      </c>
      <c r="B15" t="s">
        <v>481</v>
      </c>
      <c r="C15" t="s">
        <v>887</v>
      </c>
      <c r="D15">
        <v>2017</v>
      </c>
      <c r="E15">
        <v>2023</v>
      </c>
      <c r="F15" t="s">
        <v>3173</v>
      </c>
      <c r="G15" t="s">
        <v>3204</v>
      </c>
    </row>
    <row r="16" spans="1:7" x14ac:dyDescent="0.25">
      <c r="A16">
        <v>16</v>
      </c>
      <c r="B16" t="s">
        <v>481</v>
      </c>
      <c r="C16" t="s">
        <v>457</v>
      </c>
      <c r="D16">
        <v>2017</v>
      </c>
      <c r="E16">
        <v>2023</v>
      </c>
      <c r="F16" t="s">
        <v>3173</v>
      </c>
      <c r="G16" t="s">
        <v>3183</v>
      </c>
    </row>
    <row r="17" spans="1:7" x14ac:dyDescent="0.25">
      <c r="A17">
        <v>17</v>
      </c>
      <c r="B17" t="s">
        <v>541</v>
      </c>
      <c r="C17" t="s">
        <v>887</v>
      </c>
      <c r="D17">
        <v>2017</v>
      </c>
      <c r="E17">
        <v>2023</v>
      </c>
      <c r="F17" t="s">
        <v>3173</v>
      </c>
      <c r="G17" t="s">
        <v>3218</v>
      </c>
    </row>
    <row r="18" spans="1:7" x14ac:dyDescent="0.25">
      <c r="A18">
        <v>18</v>
      </c>
      <c r="B18" t="s">
        <v>541</v>
      </c>
      <c r="C18" t="s">
        <v>457</v>
      </c>
      <c r="D18">
        <v>2017</v>
      </c>
      <c r="E18">
        <v>2023</v>
      </c>
      <c r="F18" t="s">
        <v>3173</v>
      </c>
      <c r="G18" t="s">
        <v>3219</v>
      </c>
    </row>
    <row r="19" spans="1:7" x14ac:dyDescent="0.25">
      <c r="A19">
        <v>19</v>
      </c>
      <c r="B19" t="s">
        <v>573</v>
      </c>
      <c r="C19" t="s">
        <v>887</v>
      </c>
      <c r="D19">
        <v>2021</v>
      </c>
      <c r="E19">
        <v>2023</v>
      </c>
      <c r="F19" t="s">
        <v>3173</v>
      </c>
      <c r="G19" t="s">
        <v>3220</v>
      </c>
    </row>
    <row r="20" spans="1:7" x14ac:dyDescent="0.25">
      <c r="A20">
        <v>21</v>
      </c>
      <c r="B20" t="s">
        <v>13</v>
      </c>
      <c r="C20" t="s">
        <v>887</v>
      </c>
      <c r="D20">
        <v>2017</v>
      </c>
      <c r="E20">
        <v>2023</v>
      </c>
      <c r="F20" t="s">
        <v>3173</v>
      </c>
      <c r="G20" t="s">
        <v>3201</v>
      </c>
    </row>
    <row r="21" spans="1:7" x14ac:dyDescent="0.25">
      <c r="A21">
        <v>22</v>
      </c>
      <c r="B21" t="s">
        <v>13</v>
      </c>
      <c r="C21" t="s">
        <v>895</v>
      </c>
      <c r="D21">
        <v>2017</v>
      </c>
      <c r="E21">
        <v>2023</v>
      </c>
      <c r="F21" t="s">
        <v>3173</v>
      </c>
      <c r="G21" t="s">
        <v>3207</v>
      </c>
    </row>
    <row r="22" spans="1:7" x14ac:dyDescent="0.25">
      <c r="A22">
        <v>23</v>
      </c>
      <c r="B22" t="s">
        <v>13</v>
      </c>
      <c r="C22" t="s">
        <v>457</v>
      </c>
      <c r="D22">
        <v>2017</v>
      </c>
      <c r="E22">
        <v>2023</v>
      </c>
      <c r="F22" t="s">
        <v>3173</v>
      </c>
      <c r="G22" t="s">
        <v>3186</v>
      </c>
    </row>
    <row r="23" spans="1:7" x14ac:dyDescent="0.25">
      <c r="A23">
        <v>24</v>
      </c>
      <c r="B23" t="s">
        <v>598</v>
      </c>
      <c r="C23" t="s">
        <v>887</v>
      </c>
      <c r="D23">
        <v>2019</v>
      </c>
      <c r="E23">
        <v>2019</v>
      </c>
      <c r="F23" t="s">
        <v>3173</v>
      </c>
      <c r="G23" t="s">
        <v>3221</v>
      </c>
    </row>
    <row r="24" spans="1:7" x14ac:dyDescent="0.25">
      <c r="A24">
        <v>26</v>
      </c>
      <c r="B24" t="s">
        <v>613</v>
      </c>
      <c r="C24" t="s">
        <v>887</v>
      </c>
      <c r="D24">
        <v>2017</v>
      </c>
      <c r="E24">
        <v>2023</v>
      </c>
      <c r="F24" t="s">
        <v>3173</v>
      </c>
      <c r="G24" t="s">
        <v>3222</v>
      </c>
    </row>
    <row r="25" spans="1:7" x14ac:dyDescent="0.25">
      <c r="A25">
        <v>27</v>
      </c>
      <c r="B25" t="s">
        <v>613</v>
      </c>
      <c r="C25" t="s">
        <v>457</v>
      </c>
      <c r="D25">
        <v>2017</v>
      </c>
      <c r="E25">
        <v>2023</v>
      </c>
      <c r="F25" t="s">
        <v>3173</v>
      </c>
      <c r="G25" t="s">
        <v>3223</v>
      </c>
    </row>
    <row r="26" spans="1:7" x14ac:dyDescent="0.25">
      <c r="A26">
        <v>28</v>
      </c>
      <c r="B26" t="s">
        <v>544</v>
      </c>
      <c r="C26" t="s">
        <v>887</v>
      </c>
      <c r="D26">
        <v>2021</v>
      </c>
      <c r="E26">
        <v>2021</v>
      </c>
      <c r="F26" t="s">
        <v>3173</v>
      </c>
      <c r="G26" t="s">
        <v>3224</v>
      </c>
    </row>
    <row r="27" spans="1:7" x14ac:dyDescent="0.25">
      <c r="A27">
        <v>29</v>
      </c>
      <c r="B27" t="s">
        <v>544</v>
      </c>
      <c r="C27" t="s">
        <v>457</v>
      </c>
      <c r="D27">
        <v>2021</v>
      </c>
      <c r="E27">
        <v>2023</v>
      </c>
      <c r="F27" t="s">
        <v>3173</v>
      </c>
      <c r="G27" t="s">
        <v>3225</v>
      </c>
    </row>
    <row r="28" spans="1:7" x14ac:dyDescent="0.25">
      <c r="A28">
        <v>30</v>
      </c>
      <c r="B28" t="s">
        <v>631</v>
      </c>
      <c r="C28" t="s">
        <v>887</v>
      </c>
      <c r="D28">
        <v>2017</v>
      </c>
      <c r="E28">
        <v>2023</v>
      </c>
      <c r="F28" t="s">
        <v>3173</v>
      </c>
      <c r="G28" t="s">
        <v>3226</v>
      </c>
    </row>
    <row r="29" spans="1:7" x14ac:dyDescent="0.25">
      <c r="A29">
        <v>31</v>
      </c>
      <c r="B29" t="s">
        <v>634</v>
      </c>
      <c r="C29" t="s">
        <v>887</v>
      </c>
      <c r="D29">
        <v>2021</v>
      </c>
      <c r="E29">
        <v>2023</v>
      </c>
      <c r="F29" t="s">
        <v>3173</v>
      </c>
      <c r="G29" t="s">
        <v>3227</v>
      </c>
    </row>
    <row r="30" spans="1:7" x14ac:dyDescent="0.25">
      <c r="A30">
        <v>32</v>
      </c>
      <c r="B30" t="s">
        <v>634</v>
      </c>
      <c r="C30" t="s">
        <v>895</v>
      </c>
      <c r="D30">
        <v>2021</v>
      </c>
      <c r="E30">
        <v>2023</v>
      </c>
      <c r="F30" t="s">
        <v>3173</v>
      </c>
      <c r="G30" t="s">
        <v>3228</v>
      </c>
    </row>
    <row r="31" spans="1:7" x14ac:dyDescent="0.25">
      <c r="A31">
        <v>33</v>
      </c>
      <c r="B31" t="s">
        <v>634</v>
      </c>
      <c r="C31" t="s">
        <v>457</v>
      </c>
      <c r="D31">
        <v>2021</v>
      </c>
      <c r="E31">
        <v>2023</v>
      </c>
      <c r="F31" t="s">
        <v>3173</v>
      </c>
      <c r="G31" t="s">
        <v>3229</v>
      </c>
    </row>
    <row r="32" spans="1:7" x14ac:dyDescent="0.25">
      <c r="A32">
        <v>34</v>
      </c>
      <c r="B32" t="s">
        <v>643</v>
      </c>
      <c r="C32" t="s">
        <v>887</v>
      </c>
      <c r="D32">
        <v>2017</v>
      </c>
      <c r="E32">
        <v>2023</v>
      </c>
      <c r="F32" t="s">
        <v>3173</v>
      </c>
      <c r="G32" t="s">
        <v>3230</v>
      </c>
    </row>
    <row r="33" spans="1:7" x14ac:dyDescent="0.25">
      <c r="A33">
        <v>35</v>
      </c>
      <c r="B33" t="s">
        <v>643</v>
      </c>
      <c r="C33" t="s">
        <v>457</v>
      </c>
      <c r="D33">
        <v>2017</v>
      </c>
      <c r="E33">
        <v>2023</v>
      </c>
      <c r="F33" t="s">
        <v>3173</v>
      </c>
      <c r="G33" t="s">
        <v>3231</v>
      </c>
    </row>
    <row r="34" spans="1:7" x14ac:dyDescent="0.25">
      <c r="A34">
        <v>36</v>
      </c>
      <c r="B34" t="s">
        <v>553</v>
      </c>
      <c r="C34" t="s">
        <v>887</v>
      </c>
      <c r="D34">
        <v>2021</v>
      </c>
      <c r="E34">
        <v>2023</v>
      </c>
      <c r="F34" t="s">
        <v>3173</v>
      </c>
      <c r="G34" t="s">
        <v>3232</v>
      </c>
    </row>
    <row r="35" spans="1:7" x14ac:dyDescent="0.25">
      <c r="A35">
        <v>37</v>
      </c>
      <c r="B35" t="s">
        <v>553</v>
      </c>
      <c r="C35" t="s">
        <v>457</v>
      </c>
      <c r="D35">
        <v>2019</v>
      </c>
      <c r="E35">
        <v>2023</v>
      </c>
      <c r="F35" t="s">
        <v>3173</v>
      </c>
      <c r="G35" t="s">
        <v>3233</v>
      </c>
    </row>
    <row r="36" spans="1:7" x14ac:dyDescent="0.25">
      <c r="A36">
        <v>38</v>
      </c>
      <c r="B36" t="s">
        <v>686</v>
      </c>
      <c r="C36" t="s">
        <v>887</v>
      </c>
      <c r="D36">
        <v>2017</v>
      </c>
      <c r="E36">
        <v>2023</v>
      </c>
      <c r="F36" t="s">
        <v>3173</v>
      </c>
      <c r="G36" t="s">
        <v>3234</v>
      </c>
    </row>
    <row r="37" spans="1:7" x14ac:dyDescent="0.25">
      <c r="A37">
        <v>39</v>
      </c>
      <c r="B37" t="s">
        <v>686</v>
      </c>
      <c r="C37" t="s">
        <v>457</v>
      </c>
      <c r="D37">
        <v>2021</v>
      </c>
      <c r="E37">
        <v>2023</v>
      </c>
      <c r="F37" t="s">
        <v>3173</v>
      </c>
      <c r="G37" t="s">
        <v>3235</v>
      </c>
    </row>
    <row r="38" spans="1:7" x14ac:dyDescent="0.25">
      <c r="A38">
        <v>40</v>
      </c>
      <c r="B38" t="s">
        <v>701</v>
      </c>
      <c r="C38" t="s">
        <v>887</v>
      </c>
      <c r="D38">
        <v>2017</v>
      </c>
      <c r="E38">
        <v>2023</v>
      </c>
      <c r="F38" t="s">
        <v>3173</v>
      </c>
      <c r="G38" t="s">
        <v>3236</v>
      </c>
    </row>
    <row r="39" spans="1:7" x14ac:dyDescent="0.25">
      <c r="A39">
        <v>41</v>
      </c>
      <c r="B39" t="s">
        <v>557</v>
      </c>
      <c r="C39" t="s">
        <v>457</v>
      </c>
      <c r="D39">
        <v>2021</v>
      </c>
      <c r="E39">
        <v>2023</v>
      </c>
      <c r="F39" t="s">
        <v>3173</v>
      </c>
      <c r="G39" t="s">
        <v>3237</v>
      </c>
    </row>
    <row r="40" spans="1:7" x14ac:dyDescent="0.25">
      <c r="A40">
        <v>42</v>
      </c>
      <c r="B40" t="s">
        <v>532</v>
      </c>
      <c r="C40" t="s">
        <v>457</v>
      </c>
      <c r="D40">
        <v>2021</v>
      </c>
      <c r="E40">
        <v>2023</v>
      </c>
      <c r="F40" t="s">
        <v>3173</v>
      </c>
      <c r="G40" t="s">
        <v>3238</v>
      </c>
    </row>
    <row r="41" spans="1:7" x14ac:dyDescent="0.25">
      <c r="A41">
        <v>43</v>
      </c>
      <c r="B41" t="s">
        <v>560</v>
      </c>
      <c r="C41" t="s">
        <v>887</v>
      </c>
      <c r="D41">
        <v>2021</v>
      </c>
      <c r="E41">
        <v>2023</v>
      </c>
      <c r="F41" t="s">
        <v>3173</v>
      </c>
      <c r="G41" t="s">
        <v>3239</v>
      </c>
    </row>
    <row r="42" spans="1:7" x14ac:dyDescent="0.25">
      <c r="A42">
        <v>44</v>
      </c>
      <c r="B42" t="s">
        <v>560</v>
      </c>
      <c r="C42" t="s">
        <v>457</v>
      </c>
      <c r="D42">
        <v>2021</v>
      </c>
      <c r="E42">
        <v>2023</v>
      </c>
      <c r="F42" t="s">
        <v>3173</v>
      </c>
      <c r="G42" t="s">
        <v>3240</v>
      </c>
    </row>
    <row r="43" spans="1:7" x14ac:dyDescent="0.25">
      <c r="A43">
        <v>45</v>
      </c>
      <c r="B43" t="s">
        <v>564</v>
      </c>
      <c r="C43" t="s">
        <v>906</v>
      </c>
      <c r="D43">
        <v>2017</v>
      </c>
      <c r="E43">
        <v>2023</v>
      </c>
      <c r="F43" t="s">
        <v>3173</v>
      </c>
      <c r="G43" t="s">
        <v>3172</v>
      </c>
    </row>
    <row r="44" spans="1:7" x14ac:dyDescent="0.25">
      <c r="A44">
        <v>46</v>
      </c>
      <c r="B44" t="s">
        <v>564</v>
      </c>
      <c r="C44" t="s">
        <v>887</v>
      </c>
      <c r="D44">
        <v>2017</v>
      </c>
      <c r="E44">
        <v>2023</v>
      </c>
      <c r="F44" t="s">
        <v>3173</v>
      </c>
      <c r="G44" t="s">
        <v>3179</v>
      </c>
    </row>
    <row r="45" spans="1:7" x14ac:dyDescent="0.25">
      <c r="A45">
        <v>47</v>
      </c>
      <c r="B45" t="s">
        <v>564</v>
      </c>
      <c r="C45" t="s">
        <v>895</v>
      </c>
      <c r="D45">
        <v>2020</v>
      </c>
      <c r="E45">
        <v>2023</v>
      </c>
      <c r="F45" t="s">
        <v>3173</v>
      </c>
      <c r="G45" t="s">
        <v>3199</v>
      </c>
    </row>
    <row r="46" spans="1:7" x14ac:dyDescent="0.25">
      <c r="A46">
        <v>48</v>
      </c>
      <c r="B46" t="s">
        <v>564</v>
      </c>
      <c r="C46" t="s">
        <v>6</v>
      </c>
      <c r="D46">
        <v>2017</v>
      </c>
      <c r="E46">
        <v>2023</v>
      </c>
      <c r="F46" t="s">
        <v>3173</v>
      </c>
      <c r="G46" t="s">
        <v>3197</v>
      </c>
    </row>
    <row r="47" spans="1:7" x14ac:dyDescent="0.25">
      <c r="A47">
        <v>49</v>
      </c>
      <c r="B47" t="s">
        <v>564</v>
      </c>
      <c r="C47" t="s">
        <v>457</v>
      </c>
      <c r="D47">
        <v>2017</v>
      </c>
      <c r="E47">
        <v>2023</v>
      </c>
      <c r="F47" t="s">
        <v>3173</v>
      </c>
      <c r="G47" t="s">
        <v>3189</v>
      </c>
    </row>
    <row r="48" spans="1:7" x14ac:dyDescent="0.25">
      <c r="A48">
        <v>50</v>
      </c>
      <c r="B48" t="s">
        <v>564</v>
      </c>
      <c r="C48" t="s">
        <v>903</v>
      </c>
      <c r="D48">
        <v>2017</v>
      </c>
      <c r="E48">
        <v>2023</v>
      </c>
      <c r="F48" t="s">
        <v>3173</v>
      </c>
      <c r="G48" t="s">
        <v>3195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8E35-A48F-46B9-A08F-435BF3E4539A}">
  <dimension ref="A1:I44"/>
  <sheetViews>
    <sheetView tabSelected="1" workbookViewId="0">
      <selection activeCell="H32" sqref="H32"/>
    </sheetView>
  </sheetViews>
  <sheetFormatPr defaultRowHeight="15" x14ac:dyDescent="0.25"/>
  <cols>
    <col min="2" max="2" width="18" bestFit="1" customWidth="1"/>
    <col min="7" max="8" width="22.140625" bestFit="1" customWidth="1"/>
  </cols>
  <sheetData>
    <row r="1" spans="1:9" x14ac:dyDescent="0.25">
      <c r="A1" t="s">
        <v>3170</v>
      </c>
      <c r="B1" t="s">
        <v>3241</v>
      </c>
      <c r="C1" t="s">
        <v>3242</v>
      </c>
      <c r="H1" t="s">
        <v>3170</v>
      </c>
      <c r="I1" t="s">
        <v>3243</v>
      </c>
    </row>
    <row r="2" spans="1:9" x14ac:dyDescent="0.25">
      <c r="A2" t="s">
        <v>3205</v>
      </c>
      <c r="B2" t="s">
        <v>481</v>
      </c>
      <c r="C2" t="s">
        <v>3244</v>
      </c>
      <c r="H2" t="s">
        <v>3205</v>
      </c>
      <c r="I2" t="s">
        <v>523</v>
      </c>
    </row>
    <row r="3" spans="1:9" x14ac:dyDescent="0.25">
      <c r="A3" t="s">
        <v>3184</v>
      </c>
      <c r="B3" t="s">
        <v>481</v>
      </c>
      <c r="C3" t="s">
        <v>3245</v>
      </c>
      <c r="H3" t="s">
        <v>3205</v>
      </c>
      <c r="I3" t="s">
        <v>532</v>
      </c>
    </row>
    <row r="4" spans="1:9" x14ac:dyDescent="0.25">
      <c r="A4" t="s">
        <v>3174</v>
      </c>
      <c r="B4" t="s">
        <v>564</v>
      </c>
      <c r="C4" t="s">
        <v>3246</v>
      </c>
      <c r="H4" t="s">
        <v>3205</v>
      </c>
      <c r="I4" t="s">
        <v>511</v>
      </c>
    </row>
    <row r="5" spans="1:9" x14ac:dyDescent="0.25">
      <c r="A5" t="s">
        <v>3177</v>
      </c>
      <c r="B5" t="s">
        <v>15</v>
      </c>
      <c r="C5" t="s">
        <v>3247</v>
      </c>
      <c r="H5" t="s">
        <v>3184</v>
      </c>
      <c r="I5" t="s">
        <v>523</v>
      </c>
    </row>
    <row r="6" spans="1:9" x14ac:dyDescent="0.25">
      <c r="A6" t="s">
        <v>3248</v>
      </c>
      <c r="B6" t="s">
        <v>13</v>
      </c>
      <c r="C6" t="s">
        <v>3249</v>
      </c>
      <c r="H6" t="s">
        <v>3184</v>
      </c>
      <c r="I6" t="s">
        <v>532</v>
      </c>
    </row>
    <row r="7" spans="1:9" x14ac:dyDescent="0.25">
      <c r="A7" t="s">
        <v>3187</v>
      </c>
      <c r="B7" t="s">
        <v>13</v>
      </c>
      <c r="C7" t="s">
        <v>3250</v>
      </c>
      <c r="H7" t="s">
        <v>3184</v>
      </c>
      <c r="I7" t="s">
        <v>511</v>
      </c>
    </row>
    <row r="8" spans="1:9" x14ac:dyDescent="0.25">
      <c r="A8" t="s">
        <v>3202</v>
      </c>
      <c r="B8" t="s">
        <v>13</v>
      </c>
      <c r="C8" t="s">
        <v>3251</v>
      </c>
      <c r="H8" t="s">
        <v>3174</v>
      </c>
      <c r="I8" t="s">
        <v>564</v>
      </c>
    </row>
    <row r="9" spans="1:9" x14ac:dyDescent="0.25">
      <c r="A9" t="s">
        <v>3208</v>
      </c>
      <c r="B9" t="s">
        <v>13</v>
      </c>
      <c r="C9" t="s">
        <v>3252</v>
      </c>
      <c r="H9" t="s">
        <v>3177</v>
      </c>
      <c r="I9" t="s">
        <v>15</v>
      </c>
    </row>
    <row r="10" spans="1:9" x14ac:dyDescent="0.25">
      <c r="H10" t="s">
        <v>3248</v>
      </c>
      <c r="I10" t="s">
        <v>622</v>
      </c>
    </row>
    <row r="11" spans="1:9" x14ac:dyDescent="0.25">
      <c r="H11" t="s">
        <v>3248</v>
      </c>
      <c r="I11" t="s">
        <v>490</v>
      </c>
    </row>
    <row r="12" spans="1:9" x14ac:dyDescent="0.25">
      <c r="H12" t="s">
        <v>3248</v>
      </c>
      <c r="I12" t="s">
        <v>502</v>
      </c>
    </row>
    <row r="13" spans="1:9" x14ac:dyDescent="0.25">
      <c r="H13" t="s">
        <v>3248</v>
      </c>
      <c r="I13" t="s">
        <v>595</v>
      </c>
    </row>
    <row r="14" spans="1:9" x14ac:dyDescent="0.25">
      <c r="H14" t="s">
        <v>3248</v>
      </c>
      <c r="I14" t="s">
        <v>550</v>
      </c>
    </row>
    <row r="15" spans="1:9" x14ac:dyDescent="0.25">
      <c r="H15" t="s">
        <v>3248</v>
      </c>
      <c r="I15" t="s">
        <v>628</v>
      </c>
    </row>
    <row r="16" spans="1:9" x14ac:dyDescent="0.25">
      <c r="H16" t="s">
        <v>3248</v>
      </c>
      <c r="I16" t="s">
        <v>662</v>
      </c>
    </row>
    <row r="17" spans="8:9" x14ac:dyDescent="0.25">
      <c r="H17" t="s">
        <v>3248</v>
      </c>
      <c r="I17" t="s">
        <v>695</v>
      </c>
    </row>
    <row r="18" spans="8:9" x14ac:dyDescent="0.25">
      <c r="H18" t="s">
        <v>3248</v>
      </c>
      <c r="I18" t="s">
        <v>732</v>
      </c>
    </row>
    <row r="19" spans="8:9" x14ac:dyDescent="0.25">
      <c r="H19" t="s">
        <v>3248</v>
      </c>
      <c r="I19" t="s">
        <v>535</v>
      </c>
    </row>
    <row r="20" spans="8:9" x14ac:dyDescent="0.25">
      <c r="H20" t="s">
        <v>3248</v>
      </c>
      <c r="I20" t="s">
        <v>505</v>
      </c>
    </row>
    <row r="21" spans="8:9" x14ac:dyDescent="0.25">
      <c r="H21" t="s">
        <v>3248</v>
      </c>
      <c r="I21" t="s">
        <v>607</v>
      </c>
    </row>
    <row r="22" spans="8:9" x14ac:dyDescent="0.25">
      <c r="H22" t="s">
        <v>3248</v>
      </c>
      <c r="I22" t="s">
        <v>637</v>
      </c>
    </row>
    <row r="23" spans="8:9" x14ac:dyDescent="0.25">
      <c r="H23" t="s">
        <v>3248</v>
      </c>
      <c r="I23" t="s">
        <v>716</v>
      </c>
    </row>
    <row r="24" spans="8:9" x14ac:dyDescent="0.25">
      <c r="H24" t="s">
        <v>3248</v>
      </c>
      <c r="I24" t="s">
        <v>719</v>
      </c>
    </row>
    <row r="25" spans="8:9" x14ac:dyDescent="0.25">
      <c r="H25" t="s">
        <v>3248</v>
      </c>
      <c r="I25" t="s">
        <v>751</v>
      </c>
    </row>
    <row r="26" spans="8:9" x14ac:dyDescent="0.25">
      <c r="H26" t="s">
        <v>3248</v>
      </c>
      <c r="I26" t="s">
        <v>598</v>
      </c>
    </row>
    <row r="27" spans="8:9" x14ac:dyDescent="0.25">
      <c r="H27" t="s">
        <v>3187</v>
      </c>
      <c r="I27" t="s">
        <v>490</v>
      </c>
    </row>
    <row r="28" spans="8:9" x14ac:dyDescent="0.25">
      <c r="H28" t="s">
        <v>3187</v>
      </c>
      <c r="I28" t="s">
        <v>502</v>
      </c>
    </row>
    <row r="29" spans="8:9" x14ac:dyDescent="0.25">
      <c r="H29" t="s">
        <v>3187</v>
      </c>
      <c r="I29" t="s">
        <v>576</v>
      </c>
    </row>
    <row r="30" spans="8:9" x14ac:dyDescent="0.25">
      <c r="H30" t="s">
        <v>3187</v>
      </c>
      <c r="I30" t="s">
        <v>580</v>
      </c>
    </row>
    <row r="31" spans="8:9" x14ac:dyDescent="0.25">
      <c r="H31" t="s">
        <v>3187</v>
      </c>
      <c r="I31" t="s">
        <v>595</v>
      </c>
    </row>
    <row r="32" spans="8:9" x14ac:dyDescent="0.25">
      <c r="H32" t="s">
        <v>3187</v>
      </c>
      <c r="I32" t="s">
        <v>550</v>
      </c>
    </row>
    <row r="33" spans="8:9" x14ac:dyDescent="0.25">
      <c r="H33" t="s">
        <v>3187</v>
      </c>
      <c r="I33" t="s">
        <v>628</v>
      </c>
    </row>
    <row r="34" spans="8:9" x14ac:dyDescent="0.25">
      <c r="H34" t="s">
        <v>3187</v>
      </c>
      <c r="I34" t="s">
        <v>662</v>
      </c>
    </row>
    <row r="35" spans="8:9" x14ac:dyDescent="0.25">
      <c r="H35" t="s">
        <v>3187</v>
      </c>
      <c r="I35" t="s">
        <v>695</v>
      </c>
    </row>
    <row r="36" spans="8:9" x14ac:dyDescent="0.25">
      <c r="H36" t="s">
        <v>3187</v>
      </c>
      <c r="I36" t="s">
        <v>698</v>
      </c>
    </row>
    <row r="37" spans="8:9" x14ac:dyDescent="0.25">
      <c r="H37" t="s">
        <v>3187</v>
      </c>
      <c r="I37" t="s">
        <v>713</v>
      </c>
    </row>
    <row r="38" spans="8:9" x14ac:dyDescent="0.25">
      <c r="H38" t="s">
        <v>3187</v>
      </c>
      <c r="I38" t="s">
        <v>735</v>
      </c>
    </row>
    <row r="39" spans="8:9" x14ac:dyDescent="0.25">
      <c r="H39" t="s">
        <v>3187</v>
      </c>
      <c r="I39" t="s">
        <v>726</v>
      </c>
    </row>
    <row r="40" spans="8:9" x14ac:dyDescent="0.25">
      <c r="H40" t="s">
        <v>3187</v>
      </c>
      <c r="I40" t="s">
        <v>535</v>
      </c>
    </row>
    <row r="41" spans="8:9" x14ac:dyDescent="0.25">
      <c r="H41" t="s">
        <v>3187</v>
      </c>
      <c r="I41" t="s">
        <v>598</v>
      </c>
    </row>
    <row r="42" spans="8:9" x14ac:dyDescent="0.25">
      <c r="H42" t="s">
        <v>3208</v>
      </c>
      <c r="I42" t="s">
        <v>598</v>
      </c>
    </row>
    <row r="43" spans="8:9" x14ac:dyDescent="0.25">
      <c r="H43" t="s">
        <v>3208</v>
      </c>
      <c r="I43" t="s">
        <v>550</v>
      </c>
    </row>
    <row r="44" spans="8:9" x14ac:dyDescent="0.25">
      <c r="H44" t="s">
        <v>3208</v>
      </c>
      <c r="I44" t="s">
        <v>502</v>
      </c>
    </row>
  </sheetData>
  <autoFilter ref="H1:I41" xr:uid="{6AC88E35-A48F-46B9-A08F-435BF3E4539A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5"/>
  <sheetViews>
    <sheetView workbookViewId="0">
      <selection activeCell="I9" sqref="I9"/>
    </sheetView>
  </sheetViews>
  <sheetFormatPr defaultRowHeight="15" x14ac:dyDescent="0.25"/>
  <cols>
    <col min="9" max="9" width="14.28515625" bestFit="1" customWidth="1"/>
  </cols>
  <sheetData>
    <row r="1" spans="1:11" x14ac:dyDescent="0.25">
      <c r="A1" s="1" t="s">
        <v>934</v>
      </c>
      <c r="B1" s="1" t="s">
        <v>3137</v>
      </c>
      <c r="C1" s="1" t="s">
        <v>18</v>
      </c>
      <c r="D1" s="1" t="s">
        <v>3165</v>
      </c>
      <c r="E1" s="1" t="s">
        <v>3253</v>
      </c>
      <c r="F1" s="1" t="s">
        <v>3254</v>
      </c>
      <c r="G1" s="1" t="s">
        <v>3163</v>
      </c>
      <c r="H1" s="1" t="s">
        <v>3147</v>
      </c>
      <c r="I1" s="1" t="s">
        <v>3255</v>
      </c>
      <c r="J1" s="1" t="s">
        <v>3256</v>
      </c>
      <c r="K1" s="1" t="s">
        <v>3257</v>
      </c>
    </row>
    <row r="2" spans="1:11" x14ac:dyDescent="0.25">
      <c r="A2">
        <v>2017</v>
      </c>
      <c r="B2" t="s">
        <v>3138</v>
      </c>
      <c r="C2" t="s">
        <v>15</v>
      </c>
      <c r="D2" t="s">
        <v>906</v>
      </c>
      <c r="E2" t="s">
        <v>906</v>
      </c>
      <c r="F2" t="s">
        <v>3258</v>
      </c>
      <c r="G2" t="s">
        <v>3193</v>
      </c>
      <c r="H2" t="s">
        <v>3148</v>
      </c>
      <c r="I2">
        <v>2900000</v>
      </c>
      <c r="J2">
        <v>1</v>
      </c>
      <c r="K2" t="s">
        <v>3259</v>
      </c>
    </row>
    <row r="3" spans="1:11" x14ac:dyDescent="0.25">
      <c r="A3">
        <v>2017</v>
      </c>
      <c r="B3" t="s">
        <v>3138</v>
      </c>
      <c r="C3" t="s">
        <v>564</v>
      </c>
      <c r="D3" t="s">
        <v>906</v>
      </c>
      <c r="E3" t="s">
        <v>906</v>
      </c>
      <c r="F3" t="s">
        <v>3260</v>
      </c>
      <c r="G3" t="s">
        <v>3172</v>
      </c>
      <c r="H3" t="s">
        <v>3148</v>
      </c>
      <c r="I3">
        <v>73600000</v>
      </c>
      <c r="J3">
        <v>1</v>
      </c>
      <c r="K3" t="s">
        <v>3261</v>
      </c>
    </row>
    <row r="4" spans="1:11" x14ac:dyDescent="0.25">
      <c r="A4">
        <v>2017</v>
      </c>
      <c r="B4" t="s">
        <v>3138</v>
      </c>
      <c r="C4" t="s">
        <v>15</v>
      </c>
      <c r="D4" t="s">
        <v>887</v>
      </c>
      <c r="E4" t="s">
        <v>887</v>
      </c>
      <c r="F4" t="s">
        <v>3262</v>
      </c>
      <c r="G4" t="s">
        <v>3176</v>
      </c>
      <c r="H4" t="s">
        <v>3148</v>
      </c>
      <c r="I4">
        <v>3300000</v>
      </c>
      <c r="J4">
        <v>1</v>
      </c>
      <c r="K4" t="s">
        <v>3263</v>
      </c>
    </row>
    <row r="5" spans="1:11" x14ac:dyDescent="0.25">
      <c r="A5">
        <v>2017</v>
      </c>
      <c r="B5" t="s">
        <v>3138</v>
      </c>
      <c r="C5" t="s">
        <v>481</v>
      </c>
      <c r="D5" t="s">
        <v>887</v>
      </c>
      <c r="E5" t="s">
        <v>887</v>
      </c>
      <c r="F5" t="s">
        <v>3264</v>
      </c>
      <c r="G5" t="s">
        <v>3204</v>
      </c>
      <c r="H5" t="s">
        <v>3148</v>
      </c>
      <c r="I5">
        <v>1700000</v>
      </c>
      <c r="J5">
        <v>1</v>
      </c>
      <c r="K5" t="s">
        <v>3265</v>
      </c>
    </row>
    <row r="6" spans="1:11" x14ac:dyDescent="0.25">
      <c r="A6">
        <v>2017</v>
      </c>
      <c r="B6" t="s">
        <v>3138</v>
      </c>
      <c r="C6" t="s">
        <v>13</v>
      </c>
      <c r="D6" t="s">
        <v>887</v>
      </c>
      <c r="E6" t="s">
        <v>887</v>
      </c>
      <c r="F6" t="s">
        <v>3266</v>
      </c>
      <c r="G6" t="s">
        <v>3201</v>
      </c>
      <c r="H6" t="s">
        <v>3148</v>
      </c>
      <c r="I6">
        <v>11500000</v>
      </c>
      <c r="J6">
        <v>1</v>
      </c>
      <c r="K6" t="s">
        <v>3267</v>
      </c>
    </row>
    <row r="7" spans="1:11" x14ac:dyDescent="0.25">
      <c r="A7">
        <v>2017</v>
      </c>
      <c r="B7" t="s">
        <v>3138</v>
      </c>
      <c r="C7" t="s">
        <v>564</v>
      </c>
      <c r="D7" t="s">
        <v>887</v>
      </c>
      <c r="E7" t="s">
        <v>887</v>
      </c>
      <c r="F7" t="s">
        <v>3268</v>
      </c>
      <c r="G7" t="s">
        <v>3179</v>
      </c>
      <c r="H7" t="s">
        <v>3148</v>
      </c>
      <c r="I7">
        <v>60200000</v>
      </c>
      <c r="J7">
        <v>1</v>
      </c>
      <c r="K7" t="s">
        <v>3269</v>
      </c>
    </row>
    <row r="8" spans="1:11" x14ac:dyDescent="0.25">
      <c r="A8">
        <v>2017</v>
      </c>
      <c r="B8" t="s">
        <v>3138</v>
      </c>
      <c r="C8" t="s">
        <v>564</v>
      </c>
      <c r="D8" t="s">
        <v>6</v>
      </c>
      <c r="E8" t="s">
        <v>6</v>
      </c>
      <c r="F8" t="s">
        <v>3270</v>
      </c>
      <c r="G8" t="s">
        <v>3197</v>
      </c>
      <c r="H8" t="s">
        <v>3148</v>
      </c>
      <c r="I8" s="14">
        <v>6000000</v>
      </c>
      <c r="J8">
        <v>1</v>
      </c>
      <c r="K8" t="s">
        <v>3271</v>
      </c>
    </row>
    <row r="9" spans="1:11" x14ac:dyDescent="0.25">
      <c r="A9">
        <v>2017</v>
      </c>
      <c r="B9" t="s">
        <v>3138</v>
      </c>
      <c r="C9" t="s">
        <v>481</v>
      </c>
      <c r="D9" t="s">
        <v>457</v>
      </c>
      <c r="E9" t="s">
        <v>457</v>
      </c>
      <c r="F9" t="s">
        <v>3272</v>
      </c>
      <c r="G9" t="s">
        <v>3183</v>
      </c>
      <c r="H9" t="s">
        <v>3148</v>
      </c>
      <c r="I9">
        <v>4700000</v>
      </c>
      <c r="J9">
        <v>1</v>
      </c>
      <c r="K9" t="s">
        <v>3273</v>
      </c>
    </row>
    <row r="10" spans="1:11" x14ac:dyDescent="0.25">
      <c r="A10">
        <v>2017</v>
      </c>
      <c r="B10" t="s">
        <v>3138</v>
      </c>
      <c r="C10" t="s">
        <v>13</v>
      </c>
      <c r="D10" t="s">
        <v>457</v>
      </c>
      <c r="E10" t="s">
        <v>457</v>
      </c>
      <c r="F10" t="s">
        <v>3274</v>
      </c>
      <c r="G10" t="s">
        <v>3186</v>
      </c>
      <c r="H10" t="s">
        <v>3148</v>
      </c>
      <c r="I10">
        <v>24300000</v>
      </c>
      <c r="J10">
        <v>1</v>
      </c>
      <c r="K10" t="s">
        <v>3275</v>
      </c>
    </row>
    <row r="11" spans="1:11" x14ac:dyDescent="0.25">
      <c r="A11">
        <v>2017</v>
      </c>
      <c r="B11" t="s">
        <v>3138</v>
      </c>
      <c r="C11" t="s">
        <v>564</v>
      </c>
      <c r="D11" t="s">
        <v>457</v>
      </c>
      <c r="E11" t="s">
        <v>457</v>
      </c>
      <c r="F11" t="s">
        <v>3276</v>
      </c>
      <c r="G11" t="s">
        <v>3189</v>
      </c>
      <c r="H11" t="s">
        <v>3148</v>
      </c>
      <c r="I11">
        <v>77700000</v>
      </c>
      <c r="J11">
        <v>1</v>
      </c>
      <c r="K11" t="s">
        <v>3277</v>
      </c>
    </row>
    <row r="12" spans="1:11" x14ac:dyDescent="0.25">
      <c r="A12">
        <v>2017</v>
      </c>
      <c r="B12" t="s">
        <v>3138</v>
      </c>
      <c r="C12" t="s">
        <v>564</v>
      </c>
      <c r="D12" t="s">
        <v>903</v>
      </c>
      <c r="E12" t="s">
        <v>903</v>
      </c>
      <c r="F12" t="s">
        <v>3278</v>
      </c>
      <c r="G12" t="s">
        <v>3195</v>
      </c>
      <c r="H12" t="s">
        <v>3148</v>
      </c>
      <c r="I12">
        <v>17200000</v>
      </c>
      <c r="J12">
        <v>1</v>
      </c>
      <c r="K12" t="s">
        <v>3279</v>
      </c>
    </row>
    <row r="13" spans="1:11" x14ac:dyDescent="0.25">
      <c r="A13">
        <v>2017</v>
      </c>
      <c r="B13" t="s">
        <v>3139</v>
      </c>
      <c r="C13" t="s">
        <v>13</v>
      </c>
      <c r="D13" t="s">
        <v>887</v>
      </c>
      <c r="E13" t="s">
        <v>887</v>
      </c>
      <c r="F13" t="s">
        <v>3280</v>
      </c>
      <c r="G13" t="s">
        <v>3201</v>
      </c>
      <c r="H13" t="s">
        <v>3149</v>
      </c>
      <c r="I13">
        <v>200000</v>
      </c>
      <c r="J13">
        <v>3</v>
      </c>
      <c r="K13" t="s">
        <v>3281</v>
      </c>
    </row>
    <row r="14" spans="1:11" x14ac:dyDescent="0.25">
      <c r="A14">
        <v>2017</v>
      </c>
      <c r="B14" t="s">
        <v>3139</v>
      </c>
      <c r="C14" t="s">
        <v>564</v>
      </c>
      <c r="D14" t="s">
        <v>887</v>
      </c>
      <c r="E14" t="s">
        <v>887</v>
      </c>
      <c r="F14" t="s">
        <v>3282</v>
      </c>
      <c r="G14" t="s">
        <v>3179</v>
      </c>
      <c r="H14" t="s">
        <v>3149</v>
      </c>
      <c r="I14">
        <v>12600000</v>
      </c>
      <c r="J14">
        <v>3</v>
      </c>
      <c r="K14" t="s">
        <v>3283</v>
      </c>
    </row>
    <row r="15" spans="1:11" x14ac:dyDescent="0.25">
      <c r="A15">
        <v>2017</v>
      </c>
      <c r="B15" t="s">
        <v>3139</v>
      </c>
      <c r="C15" t="s">
        <v>564</v>
      </c>
      <c r="D15" t="s">
        <v>6</v>
      </c>
      <c r="E15" t="s">
        <v>6</v>
      </c>
      <c r="F15" t="s">
        <v>3284</v>
      </c>
      <c r="G15" t="s">
        <v>3197</v>
      </c>
      <c r="H15" t="s">
        <v>3149</v>
      </c>
      <c r="I15" s="14">
        <v>18200000</v>
      </c>
      <c r="J15">
        <v>3</v>
      </c>
      <c r="K15" t="s">
        <v>3285</v>
      </c>
    </row>
    <row r="16" spans="1:11" x14ac:dyDescent="0.25">
      <c r="A16">
        <v>2017</v>
      </c>
      <c r="B16" t="s">
        <v>3139</v>
      </c>
      <c r="C16" t="s">
        <v>481</v>
      </c>
      <c r="D16" t="s">
        <v>457</v>
      </c>
      <c r="E16" t="s">
        <v>457</v>
      </c>
      <c r="F16" t="s">
        <v>3286</v>
      </c>
      <c r="G16" t="s">
        <v>3183</v>
      </c>
      <c r="H16" t="s">
        <v>3149</v>
      </c>
      <c r="I16">
        <v>200000</v>
      </c>
      <c r="J16">
        <v>3</v>
      </c>
      <c r="K16" t="s">
        <v>3287</v>
      </c>
    </row>
    <row r="17" spans="1:11" x14ac:dyDescent="0.25">
      <c r="A17">
        <v>2017</v>
      </c>
      <c r="B17" t="s">
        <v>3139</v>
      </c>
      <c r="C17" t="s">
        <v>13</v>
      </c>
      <c r="D17" t="s">
        <v>457</v>
      </c>
      <c r="E17" t="s">
        <v>457</v>
      </c>
      <c r="F17" t="s">
        <v>3288</v>
      </c>
      <c r="G17" t="s">
        <v>3186</v>
      </c>
      <c r="H17" t="s">
        <v>3149</v>
      </c>
      <c r="I17">
        <v>600000</v>
      </c>
      <c r="J17">
        <v>3</v>
      </c>
      <c r="K17" t="s">
        <v>3289</v>
      </c>
    </row>
    <row r="18" spans="1:11" x14ac:dyDescent="0.25">
      <c r="A18">
        <v>2017</v>
      </c>
      <c r="B18" t="s">
        <v>3139</v>
      </c>
      <c r="C18" t="s">
        <v>564</v>
      </c>
      <c r="D18" t="s">
        <v>457</v>
      </c>
      <c r="E18" t="s">
        <v>457</v>
      </c>
      <c r="F18" t="s">
        <v>3290</v>
      </c>
      <c r="G18" t="s">
        <v>3189</v>
      </c>
      <c r="H18" t="s">
        <v>3149</v>
      </c>
      <c r="I18">
        <v>39300000</v>
      </c>
      <c r="J18">
        <v>3</v>
      </c>
      <c r="K18" t="s">
        <v>3291</v>
      </c>
    </row>
    <row r="19" spans="1:11" x14ac:dyDescent="0.25">
      <c r="A19">
        <v>2018</v>
      </c>
      <c r="B19" t="s">
        <v>3138</v>
      </c>
      <c r="C19" t="s">
        <v>15</v>
      </c>
      <c r="D19" t="s">
        <v>906</v>
      </c>
      <c r="E19" t="s">
        <v>906</v>
      </c>
      <c r="F19" t="s">
        <v>3292</v>
      </c>
      <c r="G19" t="s">
        <v>3193</v>
      </c>
      <c r="H19" t="s">
        <v>3150</v>
      </c>
      <c r="I19">
        <v>2500000</v>
      </c>
      <c r="J19">
        <v>4</v>
      </c>
      <c r="K19" t="s">
        <v>3293</v>
      </c>
    </row>
    <row r="20" spans="1:11" x14ac:dyDescent="0.25">
      <c r="A20">
        <v>2018</v>
      </c>
      <c r="B20" t="s">
        <v>3138</v>
      </c>
      <c r="C20" t="s">
        <v>564</v>
      </c>
      <c r="D20" t="s">
        <v>906</v>
      </c>
      <c r="E20" t="s">
        <v>906</v>
      </c>
      <c r="F20" t="s">
        <v>3294</v>
      </c>
      <c r="G20" t="s">
        <v>3172</v>
      </c>
      <c r="H20" t="s">
        <v>3150</v>
      </c>
      <c r="I20">
        <v>70800000</v>
      </c>
      <c r="J20">
        <v>4</v>
      </c>
      <c r="K20" t="s">
        <v>3295</v>
      </c>
    </row>
    <row r="21" spans="1:11" x14ac:dyDescent="0.25">
      <c r="A21">
        <v>2018</v>
      </c>
      <c r="B21" t="s">
        <v>3138</v>
      </c>
      <c r="C21" t="s">
        <v>15</v>
      </c>
      <c r="D21" t="s">
        <v>887</v>
      </c>
      <c r="E21" t="s">
        <v>887</v>
      </c>
      <c r="F21" t="s">
        <v>3296</v>
      </c>
      <c r="G21" t="s">
        <v>3176</v>
      </c>
      <c r="H21" t="s">
        <v>3150</v>
      </c>
      <c r="I21">
        <v>2700000</v>
      </c>
      <c r="J21">
        <v>4</v>
      </c>
      <c r="K21" t="s">
        <v>3297</v>
      </c>
    </row>
    <row r="22" spans="1:11" x14ac:dyDescent="0.25">
      <c r="A22">
        <v>2018</v>
      </c>
      <c r="B22" t="s">
        <v>3138</v>
      </c>
      <c r="C22" t="s">
        <v>481</v>
      </c>
      <c r="D22" t="s">
        <v>887</v>
      </c>
      <c r="E22" t="s">
        <v>887</v>
      </c>
      <c r="F22" t="s">
        <v>3298</v>
      </c>
      <c r="G22" t="s">
        <v>3204</v>
      </c>
      <c r="H22" t="s">
        <v>3150</v>
      </c>
      <c r="I22">
        <v>1600000</v>
      </c>
      <c r="J22">
        <v>4</v>
      </c>
      <c r="K22" t="s">
        <v>3299</v>
      </c>
    </row>
    <row r="23" spans="1:11" x14ac:dyDescent="0.25">
      <c r="A23">
        <v>2018</v>
      </c>
      <c r="B23" t="s">
        <v>3138</v>
      </c>
      <c r="C23" t="s">
        <v>13</v>
      </c>
      <c r="D23" t="s">
        <v>887</v>
      </c>
      <c r="E23" t="s">
        <v>887</v>
      </c>
      <c r="F23" t="s">
        <v>3300</v>
      </c>
      <c r="G23" t="s">
        <v>3201</v>
      </c>
      <c r="H23" t="s">
        <v>3150</v>
      </c>
      <c r="I23">
        <v>8800000</v>
      </c>
      <c r="J23">
        <v>4</v>
      </c>
      <c r="K23" t="s">
        <v>3301</v>
      </c>
    </row>
    <row r="24" spans="1:11" x14ac:dyDescent="0.25">
      <c r="A24">
        <v>2018</v>
      </c>
      <c r="B24" t="s">
        <v>3138</v>
      </c>
      <c r="C24" t="s">
        <v>564</v>
      </c>
      <c r="D24" t="s">
        <v>887</v>
      </c>
      <c r="E24" t="s">
        <v>887</v>
      </c>
      <c r="F24" t="s">
        <v>3302</v>
      </c>
      <c r="G24" t="s">
        <v>3179</v>
      </c>
      <c r="H24" t="s">
        <v>3150</v>
      </c>
      <c r="I24">
        <v>47800000</v>
      </c>
      <c r="J24">
        <v>4</v>
      </c>
      <c r="K24" t="s">
        <v>3303</v>
      </c>
    </row>
    <row r="25" spans="1:11" x14ac:dyDescent="0.25">
      <c r="A25">
        <v>2018</v>
      </c>
      <c r="B25" t="s">
        <v>3138</v>
      </c>
      <c r="C25" t="s">
        <v>564</v>
      </c>
      <c r="D25" t="s">
        <v>6</v>
      </c>
      <c r="E25" t="s">
        <v>6</v>
      </c>
      <c r="F25" t="s">
        <v>3304</v>
      </c>
      <c r="G25" t="s">
        <v>3197</v>
      </c>
      <c r="H25" t="s">
        <v>3150</v>
      </c>
      <c r="I25" s="14">
        <v>5600000</v>
      </c>
      <c r="J25">
        <v>4</v>
      </c>
      <c r="K25" t="s">
        <v>3305</v>
      </c>
    </row>
    <row r="26" spans="1:11" x14ac:dyDescent="0.25">
      <c r="A26">
        <v>2018</v>
      </c>
      <c r="B26" t="s">
        <v>3138</v>
      </c>
      <c r="C26" t="s">
        <v>481</v>
      </c>
      <c r="D26" t="s">
        <v>457</v>
      </c>
      <c r="E26" t="s">
        <v>457</v>
      </c>
      <c r="F26" t="s">
        <v>3306</v>
      </c>
      <c r="G26" t="s">
        <v>3183</v>
      </c>
      <c r="H26" t="s">
        <v>3150</v>
      </c>
      <c r="I26">
        <v>4100000</v>
      </c>
      <c r="J26">
        <v>4</v>
      </c>
      <c r="K26" t="s">
        <v>3307</v>
      </c>
    </row>
    <row r="27" spans="1:11" x14ac:dyDescent="0.25">
      <c r="A27">
        <v>2018</v>
      </c>
      <c r="B27" t="s">
        <v>3138</v>
      </c>
      <c r="C27" t="s">
        <v>13</v>
      </c>
      <c r="D27" t="s">
        <v>457</v>
      </c>
      <c r="E27" t="s">
        <v>457</v>
      </c>
      <c r="F27" t="s">
        <v>3308</v>
      </c>
      <c r="G27" t="s">
        <v>3186</v>
      </c>
      <c r="H27" t="s">
        <v>3150</v>
      </c>
      <c r="I27">
        <v>20200000</v>
      </c>
      <c r="J27">
        <v>4</v>
      </c>
      <c r="K27" t="s">
        <v>3309</v>
      </c>
    </row>
    <row r="28" spans="1:11" x14ac:dyDescent="0.25">
      <c r="A28">
        <v>2018</v>
      </c>
      <c r="B28" t="s">
        <v>3138</v>
      </c>
      <c r="C28" t="s">
        <v>564</v>
      </c>
      <c r="D28" t="s">
        <v>457</v>
      </c>
      <c r="E28" t="s">
        <v>457</v>
      </c>
      <c r="F28" t="s">
        <v>3310</v>
      </c>
      <c r="G28" t="s">
        <v>3189</v>
      </c>
      <c r="H28" t="s">
        <v>3150</v>
      </c>
      <c r="I28">
        <v>67700000</v>
      </c>
      <c r="J28">
        <v>4</v>
      </c>
      <c r="K28" t="s">
        <v>3311</v>
      </c>
    </row>
    <row r="29" spans="1:11" x14ac:dyDescent="0.25">
      <c r="A29">
        <v>2018</v>
      </c>
      <c r="B29" t="s">
        <v>3138</v>
      </c>
      <c r="C29" t="s">
        <v>15</v>
      </c>
      <c r="D29" t="s">
        <v>903</v>
      </c>
      <c r="E29" t="s">
        <v>903</v>
      </c>
      <c r="F29" t="s">
        <v>3312</v>
      </c>
      <c r="G29" t="s">
        <v>3191</v>
      </c>
      <c r="H29" t="s">
        <v>3150</v>
      </c>
      <c r="I29">
        <v>800000</v>
      </c>
      <c r="J29">
        <v>4</v>
      </c>
      <c r="K29" t="s">
        <v>3313</v>
      </c>
    </row>
    <row r="30" spans="1:11" x14ac:dyDescent="0.25">
      <c r="A30">
        <v>2018</v>
      </c>
      <c r="B30" t="s">
        <v>3138</v>
      </c>
      <c r="C30" t="s">
        <v>564</v>
      </c>
      <c r="D30" t="s">
        <v>903</v>
      </c>
      <c r="E30" t="s">
        <v>903</v>
      </c>
      <c r="F30" t="s">
        <v>3314</v>
      </c>
      <c r="G30" t="s">
        <v>3195</v>
      </c>
      <c r="H30" t="s">
        <v>3150</v>
      </c>
      <c r="I30">
        <v>19700000</v>
      </c>
      <c r="J30">
        <v>4</v>
      </c>
      <c r="K30" t="s">
        <v>3315</v>
      </c>
    </row>
    <row r="31" spans="1:11" x14ac:dyDescent="0.25">
      <c r="A31">
        <v>2018</v>
      </c>
      <c r="B31" t="s">
        <v>3139</v>
      </c>
      <c r="C31" t="s">
        <v>564</v>
      </c>
      <c r="D31" t="s">
        <v>906</v>
      </c>
      <c r="E31" t="s">
        <v>906</v>
      </c>
      <c r="F31" t="s">
        <v>3316</v>
      </c>
      <c r="G31" t="s">
        <v>3172</v>
      </c>
      <c r="H31" t="s">
        <v>3151</v>
      </c>
      <c r="I31">
        <v>10000000</v>
      </c>
      <c r="J31">
        <v>6</v>
      </c>
      <c r="K31" t="s">
        <v>3317</v>
      </c>
    </row>
    <row r="32" spans="1:11" x14ac:dyDescent="0.25">
      <c r="A32">
        <v>2018</v>
      </c>
      <c r="B32" t="s">
        <v>3139</v>
      </c>
      <c r="C32" t="s">
        <v>15</v>
      </c>
      <c r="D32" t="s">
        <v>887</v>
      </c>
      <c r="E32" t="s">
        <v>887</v>
      </c>
      <c r="F32" t="s">
        <v>3318</v>
      </c>
      <c r="G32" t="s">
        <v>3176</v>
      </c>
      <c r="H32" t="s">
        <v>3151</v>
      </c>
      <c r="I32">
        <v>400000</v>
      </c>
      <c r="J32">
        <v>6</v>
      </c>
      <c r="K32" t="s">
        <v>3319</v>
      </c>
    </row>
    <row r="33" spans="1:11" x14ac:dyDescent="0.25">
      <c r="A33">
        <v>2018</v>
      </c>
      <c r="B33" t="s">
        <v>3139</v>
      </c>
      <c r="C33" t="s">
        <v>564</v>
      </c>
      <c r="D33" t="s">
        <v>887</v>
      </c>
      <c r="E33" t="s">
        <v>887</v>
      </c>
      <c r="F33" t="s">
        <v>3320</v>
      </c>
      <c r="G33" t="s">
        <v>3179</v>
      </c>
      <c r="H33" t="s">
        <v>3151</v>
      </c>
      <c r="I33">
        <v>9000000</v>
      </c>
      <c r="J33">
        <v>6</v>
      </c>
      <c r="K33" t="s">
        <v>3321</v>
      </c>
    </row>
    <row r="34" spans="1:11" x14ac:dyDescent="0.25">
      <c r="A34">
        <v>2018</v>
      </c>
      <c r="B34" t="s">
        <v>3139</v>
      </c>
      <c r="C34" t="s">
        <v>564</v>
      </c>
      <c r="D34" t="s">
        <v>6</v>
      </c>
      <c r="E34" t="s">
        <v>6</v>
      </c>
      <c r="F34" t="s">
        <v>3322</v>
      </c>
      <c r="G34" t="s">
        <v>3197</v>
      </c>
      <c r="H34" t="s">
        <v>3151</v>
      </c>
      <c r="I34" s="14">
        <v>18300000</v>
      </c>
      <c r="J34">
        <v>6</v>
      </c>
      <c r="K34" t="s">
        <v>3323</v>
      </c>
    </row>
    <row r="35" spans="1:11" x14ac:dyDescent="0.25">
      <c r="A35">
        <v>2018</v>
      </c>
      <c r="B35" t="s">
        <v>3139</v>
      </c>
      <c r="C35" t="s">
        <v>564</v>
      </c>
      <c r="D35" t="s">
        <v>457</v>
      </c>
      <c r="E35" t="s">
        <v>457</v>
      </c>
      <c r="F35" t="s">
        <v>3324</v>
      </c>
      <c r="G35" t="s">
        <v>3189</v>
      </c>
      <c r="H35" t="s">
        <v>3151</v>
      </c>
      <c r="I35">
        <v>35600000</v>
      </c>
      <c r="J35">
        <v>6</v>
      </c>
      <c r="K35" t="s">
        <v>3325</v>
      </c>
    </row>
    <row r="36" spans="1:11" x14ac:dyDescent="0.25">
      <c r="A36">
        <v>2018</v>
      </c>
      <c r="B36" t="s">
        <v>3139</v>
      </c>
      <c r="C36" t="s">
        <v>564</v>
      </c>
      <c r="D36" t="s">
        <v>903</v>
      </c>
      <c r="E36" t="s">
        <v>903</v>
      </c>
      <c r="F36" t="s">
        <v>3326</v>
      </c>
      <c r="G36" t="s">
        <v>3195</v>
      </c>
      <c r="H36" t="s">
        <v>3151</v>
      </c>
      <c r="I36">
        <v>18000000</v>
      </c>
      <c r="J36">
        <v>6</v>
      </c>
      <c r="K36" t="s">
        <v>3327</v>
      </c>
    </row>
    <row r="37" spans="1:11" x14ac:dyDescent="0.25">
      <c r="A37">
        <v>2019</v>
      </c>
      <c r="B37" t="s">
        <v>3138</v>
      </c>
      <c r="C37" t="s">
        <v>15</v>
      </c>
      <c r="D37" t="s">
        <v>906</v>
      </c>
      <c r="E37" t="s">
        <v>906</v>
      </c>
      <c r="F37" t="s">
        <v>3328</v>
      </c>
      <c r="G37" t="s">
        <v>3193</v>
      </c>
      <c r="H37" t="s">
        <v>3152</v>
      </c>
      <c r="I37">
        <v>1400000</v>
      </c>
      <c r="J37">
        <v>7</v>
      </c>
      <c r="K37" t="s">
        <v>3329</v>
      </c>
    </row>
    <row r="38" spans="1:11" x14ac:dyDescent="0.25">
      <c r="A38">
        <v>2019</v>
      </c>
      <c r="B38" t="s">
        <v>3138</v>
      </c>
      <c r="C38" t="s">
        <v>564</v>
      </c>
      <c r="D38" t="s">
        <v>906</v>
      </c>
      <c r="E38" t="s">
        <v>906</v>
      </c>
      <c r="F38" t="s">
        <v>3330</v>
      </c>
      <c r="G38" t="s">
        <v>3172</v>
      </c>
      <c r="H38" t="s">
        <v>3152</v>
      </c>
      <c r="I38">
        <v>50000000</v>
      </c>
      <c r="J38">
        <v>7</v>
      </c>
      <c r="K38" t="s">
        <v>3331</v>
      </c>
    </row>
    <row r="39" spans="1:11" x14ac:dyDescent="0.25">
      <c r="A39">
        <v>2019</v>
      </c>
      <c r="B39" t="s">
        <v>3138</v>
      </c>
      <c r="C39" t="s">
        <v>15</v>
      </c>
      <c r="D39" t="s">
        <v>887</v>
      </c>
      <c r="E39" t="s">
        <v>887</v>
      </c>
      <c r="F39" t="s">
        <v>3332</v>
      </c>
      <c r="G39" t="s">
        <v>3176</v>
      </c>
      <c r="H39" t="s">
        <v>3152</v>
      </c>
      <c r="I39">
        <v>1700000</v>
      </c>
      <c r="J39">
        <v>7</v>
      </c>
      <c r="K39" t="s">
        <v>3333</v>
      </c>
    </row>
    <row r="40" spans="1:11" x14ac:dyDescent="0.25">
      <c r="A40">
        <v>2019</v>
      </c>
      <c r="B40" t="s">
        <v>3138</v>
      </c>
      <c r="C40" t="s">
        <v>481</v>
      </c>
      <c r="D40" t="s">
        <v>887</v>
      </c>
      <c r="E40" t="s">
        <v>887</v>
      </c>
      <c r="F40" t="s">
        <v>3334</v>
      </c>
      <c r="G40" t="s">
        <v>3204</v>
      </c>
      <c r="H40" t="s">
        <v>3152</v>
      </c>
      <c r="I40">
        <v>1500000</v>
      </c>
      <c r="J40">
        <v>7</v>
      </c>
      <c r="K40" t="s">
        <v>3335</v>
      </c>
    </row>
    <row r="41" spans="1:11" x14ac:dyDescent="0.25">
      <c r="A41">
        <v>2019</v>
      </c>
      <c r="B41" t="s">
        <v>3138</v>
      </c>
      <c r="C41" t="s">
        <v>13</v>
      </c>
      <c r="D41" t="s">
        <v>887</v>
      </c>
      <c r="E41" t="s">
        <v>887</v>
      </c>
      <c r="F41" t="s">
        <v>3336</v>
      </c>
      <c r="G41" t="s">
        <v>3201</v>
      </c>
      <c r="H41" t="s">
        <v>3152</v>
      </c>
      <c r="I41">
        <v>7800000</v>
      </c>
      <c r="J41">
        <v>7</v>
      </c>
      <c r="K41" t="s">
        <v>3337</v>
      </c>
    </row>
    <row r="42" spans="1:11" x14ac:dyDescent="0.25">
      <c r="A42">
        <v>2019</v>
      </c>
      <c r="B42" t="s">
        <v>3138</v>
      </c>
      <c r="C42" t="s">
        <v>564</v>
      </c>
      <c r="D42" t="s">
        <v>887</v>
      </c>
      <c r="E42" t="s">
        <v>887</v>
      </c>
      <c r="F42" t="s">
        <v>3338</v>
      </c>
      <c r="G42" t="s">
        <v>3179</v>
      </c>
      <c r="H42" t="s">
        <v>3152</v>
      </c>
      <c r="I42">
        <v>36200000</v>
      </c>
      <c r="J42">
        <v>7</v>
      </c>
      <c r="K42" t="s">
        <v>3339</v>
      </c>
    </row>
    <row r="43" spans="1:11" x14ac:dyDescent="0.25">
      <c r="A43">
        <v>2019</v>
      </c>
      <c r="B43" t="s">
        <v>3138</v>
      </c>
      <c r="C43" t="s">
        <v>564</v>
      </c>
      <c r="D43" t="s">
        <v>6</v>
      </c>
      <c r="E43" t="s">
        <v>6</v>
      </c>
      <c r="F43" t="s">
        <v>3340</v>
      </c>
      <c r="G43" t="s">
        <v>3197</v>
      </c>
      <c r="H43" t="s">
        <v>3152</v>
      </c>
      <c r="I43" s="14">
        <v>10600000</v>
      </c>
      <c r="J43">
        <v>7</v>
      </c>
      <c r="K43" t="s">
        <v>3341</v>
      </c>
    </row>
    <row r="44" spans="1:11" x14ac:dyDescent="0.25">
      <c r="A44">
        <v>2019</v>
      </c>
      <c r="B44" t="s">
        <v>3138</v>
      </c>
      <c r="C44" t="s">
        <v>481</v>
      </c>
      <c r="D44" t="s">
        <v>457</v>
      </c>
      <c r="E44" t="s">
        <v>457</v>
      </c>
      <c r="F44" t="s">
        <v>3342</v>
      </c>
      <c r="G44" t="s">
        <v>3183</v>
      </c>
      <c r="H44" t="s">
        <v>3152</v>
      </c>
      <c r="I44">
        <v>4200000</v>
      </c>
      <c r="J44">
        <v>7</v>
      </c>
      <c r="K44" t="s">
        <v>3343</v>
      </c>
    </row>
    <row r="45" spans="1:11" x14ac:dyDescent="0.25">
      <c r="A45">
        <v>2019</v>
      </c>
      <c r="B45" t="s">
        <v>3138</v>
      </c>
      <c r="C45" t="s">
        <v>13</v>
      </c>
      <c r="D45" t="s">
        <v>457</v>
      </c>
      <c r="E45" t="s">
        <v>457</v>
      </c>
      <c r="F45" t="s">
        <v>3344</v>
      </c>
      <c r="G45" t="s">
        <v>3186</v>
      </c>
      <c r="H45" t="s">
        <v>3152</v>
      </c>
      <c r="I45">
        <v>7700000</v>
      </c>
      <c r="J45">
        <v>7</v>
      </c>
      <c r="K45" t="s">
        <v>3345</v>
      </c>
    </row>
    <row r="46" spans="1:11" x14ac:dyDescent="0.25">
      <c r="A46">
        <v>2019</v>
      </c>
      <c r="B46" t="s">
        <v>3138</v>
      </c>
      <c r="C46" t="s">
        <v>564</v>
      </c>
      <c r="D46" t="s">
        <v>457</v>
      </c>
      <c r="E46" t="s">
        <v>457</v>
      </c>
      <c r="F46" t="s">
        <v>3346</v>
      </c>
      <c r="G46" t="s">
        <v>3189</v>
      </c>
      <c r="H46" t="s">
        <v>3152</v>
      </c>
      <c r="I46">
        <v>47900000</v>
      </c>
      <c r="J46">
        <v>7</v>
      </c>
      <c r="K46" t="s">
        <v>3347</v>
      </c>
    </row>
    <row r="47" spans="1:11" x14ac:dyDescent="0.25">
      <c r="A47">
        <v>2019</v>
      </c>
      <c r="B47" t="s">
        <v>3138</v>
      </c>
      <c r="C47" t="s">
        <v>15</v>
      </c>
      <c r="D47" t="s">
        <v>903</v>
      </c>
      <c r="E47" t="s">
        <v>903</v>
      </c>
      <c r="F47" t="s">
        <v>3348</v>
      </c>
      <c r="G47" t="s">
        <v>3191</v>
      </c>
      <c r="H47" t="s">
        <v>3152</v>
      </c>
      <c r="I47">
        <v>500000</v>
      </c>
      <c r="J47">
        <v>7</v>
      </c>
      <c r="K47" t="s">
        <v>3349</v>
      </c>
    </row>
    <row r="48" spans="1:11" x14ac:dyDescent="0.25">
      <c r="A48">
        <v>2019</v>
      </c>
      <c r="B48" t="s">
        <v>3138</v>
      </c>
      <c r="C48" t="s">
        <v>564</v>
      </c>
      <c r="D48" t="s">
        <v>903</v>
      </c>
      <c r="E48" t="s">
        <v>903</v>
      </c>
      <c r="F48" t="s">
        <v>3350</v>
      </c>
      <c r="G48" t="s">
        <v>3195</v>
      </c>
      <c r="H48" t="s">
        <v>3152</v>
      </c>
      <c r="I48">
        <v>15800000</v>
      </c>
      <c r="J48">
        <v>7</v>
      </c>
      <c r="K48" t="s">
        <v>3351</v>
      </c>
    </row>
    <row r="49" spans="1:11" x14ac:dyDescent="0.25">
      <c r="A49">
        <v>2019</v>
      </c>
      <c r="B49" t="s">
        <v>3139</v>
      </c>
      <c r="C49" t="s">
        <v>564</v>
      </c>
      <c r="D49" t="s">
        <v>906</v>
      </c>
      <c r="E49" t="s">
        <v>906</v>
      </c>
      <c r="F49" t="s">
        <v>3352</v>
      </c>
      <c r="G49" t="s">
        <v>3172</v>
      </c>
      <c r="H49" t="s">
        <v>3153</v>
      </c>
      <c r="I49">
        <v>10400000</v>
      </c>
      <c r="J49">
        <v>9</v>
      </c>
      <c r="K49" t="s">
        <v>3353</v>
      </c>
    </row>
    <row r="50" spans="1:11" x14ac:dyDescent="0.25">
      <c r="A50">
        <v>2019</v>
      </c>
      <c r="B50" t="s">
        <v>3139</v>
      </c>
      <c r="C50" t="s">
        <v>15</v>
      </c>
      <c r="D50" t="s">
        <v>887</v>
      </c>
      <c r="E50" t="s">
        <v>887</v>
      </c>
      <c r="F50" t="s">
        <v>3354</v>
      </c>
      <c r="G50" t="s">
        <v>3176</v>
      </c>
      <c r="H50" t="s">
        <v>3153</v>
      </c>
      <c r="I50">
        <v>200000</v>
      </c>
      <c r="J50">
        <v>9</v>
      </c>
      <c r="K50" t="s">
        <v>3355</v>
      </c>
    </row>
    <row r="51" spans="1:11" x14ac:dyDescent="0.25">
      <c r="A51">
        <v>2019</v>
      </c>
      <c r="B51" t="s">
        <v>3139</v>
      </c>
      <c r="C51" t="s">
        <v>564</v>
      </c>
      <c r="D51" t="s">
        <v>887</v>
      </c>
      <c r="E51" t="s">
        <v>887</v>
      </c>
      <c r="F51" t="s">
        <v>3356</v>
      </c>
      <c r="G51" t="s">
        <v>3179</v>
      </c>
      <c r="H51" t="s">
        <v>3153</v>
      </c>
      <c r="I51">
        <v>8800000</v>
      </c>
      <c r="J51">
        <v>9</v>
      </c>
      <c r="K51" t="s">
        <v>3357</v>
      </c>
    </row>
    <row r="52" spans="1:11" x14ac:dyDescent="0.25">
      <c r="A52">
        <v>2019</v>
      </c>
      <c r="B52" t="s">
        <v>3139</v>
      </c>
      <c r="C52" t="s">
        <v>564</v>
      </c>
      <c r="D52" t="s">
        <v>6</v>
      </c>
      <c r="E52" t="s">
        <v>6</v>
      </c>
      <c r="F52" t="s">
        <v>3358</v>
      </c>
      <c r="G52" t="s">
        <v>3197</v>
      </c>
      <c r="H52" t="s">
        <v>3153</v>
      </c>
      <c r="I52" s="14">
        <v>29000000</v>
      </c>
      <c r="J52">
        <v>9</v>
      </c>
      <c r="K52" t="s">
        <v>3359</v>
      </c>
    </row>
    <row r="53" spans="1:11" x14ac:dyDescent="0.25">
      <c r="A53">
        <v>2019</v>
      </c>
      <c r="B53" t="s">
        <v>3139</v>
      </c>
      <c r="C53" t="s">
        <v>564</v>
      </c>
      <c r="D53" t="s">
        <v>457</v>
      </c>
      <c r="E53" t="s">
        <v>457</v>
      </c>
      <c r="F53" t="s">
        <v>3360</v>
      </c>
      <c r="G53" t="s">
        <v>3189</v>
      </c>
      <c r="H53" t="s">
        <v>3153</v>
      </c>
      <c r="I53">
        <v>33500000</v>
      </c>
      <c r="J53">
        <v>9</v>
      </c>
      <c r="K53" t="s">
        <v>3361</v>
      </c>
    </row>
    <row r="54" spans="1:11" x14ac:dyDescent="0.25">
      <c r="A54">
        <v>2019</v>
      </c>
      <c r="B54" t="s">
        <v>3139</v>
      </c>
      <c r="C54" t="s">
        <v>564</v>
      </c>
      <c r="D54" t="s">
        <v>903</v>
      </c>
      <c r="E54" t="s">
        <v>903</v>
      </c>
      <c r="F54" t="s">
        <v>3362</v>
      </c>
      <c r="G54" t="s">
        <v>3195</v>
      </c>
      <c r="H54" t="s">
        <v>3153</v>
      </c>
      <c r="I54">
        <v>18100000</v>
      </c>
      <c r="J54">
        <v>9</v>
      </c>
      <c r="K54" t="s">
        <v>3363</v>
      </c>
    </row>
    <row r="55" spans="1:11" x14ac:dyDescent="0.25">
      <c r="A55">
        <v>2020</v>
      </c>
      <c r="B55" t="s">
        <v>3138</v>
      </c>
      <c r="C55" t="s">
        <v>15</v>
      </c>
      <c r="D55" t="s">
        <v>906</v>
      </c>
      <c r="E55" t="s">
        <v>906</v>
      </c>
      <c r="F55" t="s">
        <v>3364</v>
      </c>
      <c r="G55" t="s">
        <v>3193</v>
      </c>
      <c r="H55" t="s">
        <v>3154</v>
      </c>
      <c r="I55">
        <v>2200000</v>
      </c>
      <c r="J55">
        <v>10</v>
      </c>
      <c r="K55" t="s">
        <v>3365</v>
      </c>
    </row>
    <row r="56" spans="1:11" x14ac:dyDescent="0.25">
      <c r="A56">
        <v>2020</v>
      </c>
      <c r="B56" t="s">
        <v>3138</v>
      </c>
      <c r="C56" t="s">
        <v>564</v>
      </c>
      <c r="D56" t="s">
        <v>906</v>
      </c>
      <c r="E56" t="s">
        <v>906</v>
      </c>
      <c r="F56" t="s">
        <v>3366</v>
      </c>
      <c r="G56" t="s">
        <v>3172</v>
      </c>
      <c r="H56" t="s">
        <v>3154</v>
      </c>
      <c r="I56">
        <v>43700000</v>
      </c>
      <c r="J56">
        <v>10</v>
      </c>
      <c r="K56" t="s">
        <v>3367</v>
      </c>
    </row>
    <row r="57" spans="1:11" x14ac:dyDescent="0.25">
      <c r="A57">
        <v>2020</v>
      </c>
      <c r="B57" t="s">
        <v>3138</v>
      </c>
      <c r="C57" t="s">
        <v>15</v>
      </c>
      <c r="D57" t="s">
        <v>887</v>
      </c>
      <c r="E57" t="s">
        <v>887</v>
      </c>
      <c r="F57" t="s">
        <v>3368</v>
      </c>
      <c r="G57" t="s">
        <v>3176</v>
      </c>
      <c r="H57" t="s">
        <v>3154</v>
      </c>
      <c r="I57">
        <v>1300000</v>
      </c>
      <c r="J57">
        <v>10</v>
      </c>
      <c r="K57" t="s">
        <v>3369</v>
      </c>
    </row>
    <row r="58" spans="1:11" x14ac:dyDescent="0.25">
      <c r="A58">
        <v>2020</v>
      </c>
      <c r="B58" t="s">
        <v>3138</v>
      </c>
      <c r="C58" t="s">
        <v>481</v>
      </c>
      <c r="D58" t="s">
        <v>887</v>
      </c>
      <c r="E58" t="s">
        <v>887</v>
      </c>
      <c r="F58" t="s">
        <v>3370</v>
      </c>
      <c r="G58" t="s">
        <v>3204</v>
      </c>
      <c r="H58" t="s">
        <v>3154</v>
      </c>
      <c r="I58">
        <v>1200000</v>
      </c>
      <c r="J58">
        <v>10</v>
      </c>
      <c r="K58" t="s">
        <v>3371</v>
      </c>
    </row>
    <row r="59" spans="1:11" x14ac:dyDescent="0.25">
      <c r="A59">
        <v>2020</v>
      </c>
      <c r="B59" t="s">
        <v>3138</v>
      </c>
      <c r="C59" t="s">
        <v>13</v>
      </c>
      <c r="D59" t="s">
        <v>887</v>
      </c>
      <c r="E59" t="s">
        <v>887</v>
      </c>
      <c r="F59" t="s">
        <v>3372</v>
      </c>
      <c r="G59" t="s">
        <v>3201</v>
      </c>
      <c r="H59" t="s">
        <v>3154</v>
      </c>
      <c r="I59">
        <v>4400000</v>
      </c>
      <c r="J59">
        <v>10</v>
      </c>
      <c r="K59" t="s">
        <v>3373</v>
      </c>
    </row>
    <row r="60" spans="1:11" x14ac:dyDescent="0.25">
      <c r="A60">
        <v>2020</v>
      </c>
      <c r="B60" t="s">
        <v>3138</v>
      </c>
      <c r="C60" t="s">
        <v>564</v>
      </c>
      <c r="D60" t="s">
        <v>887</v>
      </c>
      <c r="E60" t="s">
        <v>887</v>
      </c>
      <c r="F60" t="s">
        <v>3374</v>
      </c>
      <c r="G60" t="s">
        <v>3179</v>
      </c>
      <c r="H60" t="s">
        <v>3154</v>
      </c>
      <c r="I60">
        <v>34200000</v>
      </c>
      <c r="J60">
        <v>10</v>
      </c>
      <c r="K60" t="s">
        <v>3375</v>
      </c>
    </row>
    <row r="61" spans="1:11" x14ac:dyDescent="0.25">
      <c r="A61">
        <v>2020</v>
      </c>
      <c r="B61" t="s">
        <v>3138</v>
      </c>
      <c r="C61" t="s">
        <v>564</v>
      </c>
      <c r="D61" t="s">
        <v>895</v>
      </c>
      <c r="E61" t="s">
        <v>895</v>
      </c>
      <c r="F61" t="s">
        <v>3376</v>
      </c>
      <c r="G61" t="s">
        <v>3199</v>
      </c>
      <c r="H61" t="s">
        <v>3154</v>
      </c>
      <c r="I61">
        <v>30400000</v>
      </c>
      <c r="J61">
        <v>10</v>
      </c>
      <c r="K61" t="s">
        <v>3377</v>
      </c>
    </row>
    <row r="62" spans="1:11" x14ac:dyDescent="0.25">
      <c r="A62">
        <v>2020</v>
      </c>
      <c r="B62" t="s">
        <v>3138</v>
      </c>
      <c r="C62" t="s">
        <v>564</v>
      </c>
      <c r="D62" t="s">
        <v>6</v>
      </c>
      <c r="E62" t="s">
        <v>6</v>
      </c>
      <c r="F62" t="s">
        <v>3378</v>
      </c>
      <c r="G62" t="s">
        <v>3197</v>
      </c>
      <c r="H62" t="s">
        <v>3154</v>
      </c>
      <c r="I62" s="14">
        <v>9700000</v>
      </c>
      <c r="J62">
        <v>10</v>
      </c>
      <c r="K62" t="s">
        <v>3379</v>
      </c>
    </row>
    <row r="63" spans="1:11" x14ac:dyDescent="0.25">
      <c r="A63">
        <v>2020</v>
      </c>
      <c r="B63" t="s">
        <v>3138</v>
      </c>
      <c r="C63" t="s">
        <v>481</v>
      </c>
      <c r="D63" t="s">
        <v>457</v>
      </c>
      <c r="E63" t="s">
        <v>457</v>
      </c>
      <c r="F63" t="s">
        <v>3380</v>
      </c>
      <c r="G63" t="s">
        <v>3183</v>
      </c>
      <c r="H63" t="s">
        <v>3154</v>
      </c>
      <c r="I63">
        <v>5000000</v>
      </c>
      <c r="J63">
        <v>10</v>
      </c>
      <c r="K63" t="s">
        <v>3381</v>
      </c>
    </row>
    <row r="64" spans="1:11" x14ac:dyDescent="0.25">
      <c r="A64">
        <v>2020</v>
      </c>
      <c r="B64" t="s">
        <v>3138</v>
      </c>
      <c r="C64" t="s">
        <v>13</v>
      </c>
      <c r="D64" t="s">
        <v>457</v>
      </c>
      <c r="E64" t="s">
        <v>457</v>
      </c>
      <c r="F64" t="s">
        <v>3382</v>
      </c>
      <c r="G64" t="s">
        <v>3186</v>
      </c>
      <c r="H64" t="s">
        <v>3154</v>
      </c>
      <c r="I64">
        <v>5900000</v>
      </c>
      <c r="J64">
        <v>10</v>
      </c>
      <c r="K64" t="s">
        <v>3383</v>
      </c>
    </row>
    <row r="65" spans="1:11" x14ac:dyDescent="0.25">
      <c r="A65">
        <v>2020</v>
      </c>
      <c r="B65" t="s">
        <v>3138</v>
      </c>
      <c r="C65" t="s">
        <v>564</v>
      </c>
      <c r="D65" t="s">
        <v>457</v>
      </c>
      <c r="E65" t="s">
        <v>457</v>
      </c>
      <c r="F65" t="s">
        <v>3384</v>
      </c>
      <c r="G65" t="s">
        <v>3189</v>
      </c>
      <c r="H65" t="s">
        <v>3154</v>
      </c>
      <c r="I65">
        <v>49900000</v>
      </c>
      <c r="J65">
        <v>10</v>
      </c>
      <c r="K65" t="s">
        <v>3385</v>
      </c>
    </row>
    <row r="66" spans="1:11" x14ac:dyDescent="0.25">
      <c r="A66">
        <v>2020</v>
      </c>
      <c r="B66" t="s">
        <v>3138</v>
      </c>
      <c r="C66" t="s">
        <v>564</v>
      </c>
      <c r="D66" t="s">
        <v>903</v>
      </c>
      <c r="E66" t="s">
        <v>903</v>
      </c>
      <c r="F66" t="s">
        <v>3386</v>
      </c>
      <c r="G66" t="s">
        <v>3195</v>
      </c>
      <c r="H66" t="s">
        <v>3154</v>
      </c>
      <c r="I66">
        <v>13800000</v>
      </c>
      <c r="J66">
        <v>10</v>
      </c>
      <c r="K66" t="s">
        <v>3387</v>
      </c>
    </row>
    <row r="67" spans="1:11" x14ac:dyDescent="0.25">
      <c r="A67">
        <v>2020</v>
      </c>
      <c r="B67" t="s">
        <v>3139</v>
      </c>
      <c r="C67" t="s">
        <v>564</v>
      </c>
      <c r="D67" t="s">
        <v>906</v>
      </c>
      <c r="E67" t="s">
        <v>906</v>
      </c>
      <c r="F67" t="s">
        <v>3388</v>
      </c>
      <c r="G67" t="s">
        <v>3172</v>
      </c>
      <c r="H67" t="s">
        <v>3155</v>
      </c>
      <c r="I67">
        <v>10200000</v>
      </c>
      <c r="J67">
        <v>12</v>
      </c>
      <c r="K67" t="s">
        <v>3389</v>
      </c>
    </row>
    <row r="68" spans="1:11" x14ac:dyDescent="0.25">
      <c r="A68">
        <v>2020</v>
      </c>
      <c r="B68" t="s">
        <v>3139</v>
      </c>
      <c r="C68" t="s">
        <v>15</v>
      </c>
      <c r="D68" t="s">
        <v>887</v>
      </c>
      <c r="E68" t="s">
        <v>887</v>
      </c>
      <c r="F68" t="s">
        <v>3390</v>
      </c>
      <c r="G68" t="s">
        <v>3176</v>
      </c>
      <c r="H68" t="s">
        <v>3155</v>
      </c>
      <c r="I68">
        <v>100000</v>
      </c>
      <c r="J68">
        <v>12</v>
      </c>
      <c r="K68" t="s">
        <v>3391</v>
      </c>
    </row>
    <row r="69" spans="1:11" x14ac:dyDescent="0.25">
      <c r="A69">
        <v>2020</v>
      </c>
      <c r="B69" t="s">
        <v>3139</v>
      </c>
      <c r="C69" t="s">
        <v>564</v>
      </c>
      <c r="D69" t="s">
        <v>887</v>
      </c>
      <c r="E69" t="s">
        <v>887</v>
      </c>
      <c r="F69" t="s">
        <v>3392</v>
      </c>
      <c r="G69" t="s">
        <v>3179</v>
      </c>
      <c r="H69" t="s">
        <v>3155</v>
      </c>
      <c r="I69">
        <v>8900000</v>
      </c>
      <c r="J69">
        <v>12</v>
      </c>
      <c r="K69" t="s">
        <v>3393</v>
      </c>
    </row>
    <row r="70" spans="1:11" x14ac:dyDescent="0.25">
      <c r="A70">
        <v>2020</v>
      </c>
      <c r="B70" t="s">
        <v>3139</v>
      </c>
      <c r="C70" t="s">
        <v>564</v>
      </c>
      <c r="D70" t="s">
        <v>895</v>
      </c>
      <c r="E70" t="s">
        <v>895</v>
      </c>
      <c r="F70" t="s">
        <v>3394</v>
      </c>
      <c r="G70" t="s">
        <v>3199</v>
      </c>
      <c r="H70" t="s">
        <v>3155</v>
      </c>
      <c r="I70">
        <v>3500000</v>
      </c>
      <c r="J70">
        <v>12</v>
      </c>
      <c r="K70" t="s">
        <v>3395</v>
      </c>
    </row>
    <row r="71" spans="1:11" x14ac:dyDescent="0.25">
      <c r="A71">
        <v>2020</v>
      </c>
      <c r="B71" t="s">
        <v>3139</v>
      </c>
      <c r="C71" t="s">
        <v>564</v>
      </c>
      <c r="D71" t="s">
        <v>6</v>
      </c>
      <c r="E71" t="s">
        <v>6</v>
      </c>
      <c r="F71" t="s">
        <v>3396</v>
      </c>
      <c r="G71" t="s">
        <v>3197</v>
      </c>
      <c r="H71" t="s">
        <v>3155</v>
      </c>
      <c r="I71" s="14">
        <v>30600000</v>
      </c>
      <c r="J71">
        <v>12</v>
      </c>
      <c r="K71" t="s">
        <v>3397</v>
      </c>
    </row>
    <row r="72" spans="1:11" x14ac:dyDescent="0.25">
      <c r="A72">
        <v>2020</v>
      </c>
      <c r="B72" t="s">
        <v>3139</v>
      </c>
      <c r="C72" t="s">
        <v>564</v>
      </c>
      <c r="D72" t="s">
        <v>457</v>
      </c>
      <c r="E72" t="s">
        <v>457</v>
      </c>
      <c r="F72" t="s">
        <v>3398</v>
      </c>
      <c r="G72" t="s">
        <v>3189</v>
      </c>
      <c r="H72" t="s">
        <v>3155</v>
      </c>
      <c r="I72">
        <v>23400000</v>
      </c>
      <c r="J72">
        <v>12</v>
      </c>
      <c r="K72" t="s">
        <v>3399</v>
      </c>
    </row>
    <row r="73" spans="1:11" x14ac:dyDescent="0.25">
      <c r="A73">
        <v>2020</v>
      </c>
      <c r="B73" t="s">
        <v>3139</v>
      </c>
      <c r="C73" t="s">
        <v>564</v>
      </c>
      <c r="D73" t="s">
        <v>903</v>
      </c>
      <c r="E73" t="s">
        <v>903</v>
      </c>
      <c r="F73" t="s">
        <v>3400</v>
      </c>
      <c r="G73" t="s">
        <v>3195</v>
      </c>
      <c r="H73" t="s">
        <v>3155</v>
      </c>
      <c r="I73">
        <v>18500000</v>
      </c>
      <c r="J73">
        <v>12</v>
      </c>
      <c r="K73" t="s">
        <v>3401</v>
      </c>
    </row>
    <row r="74" spans="1:11" x14ac:dyDescent="0.25">
      <c r="A74">
        <v>2021</v>
      </c>
      <c r="B74" t="s">
        <v>3138</v>
      </c>
      <c r="C74" t="s">
        <v>15</v>
      </c>
      <c r="D74" t="s">
        <v>906</v>
      </c>
      <c r="E74" t="s">
        <v>906</v>
      </c>
      <c r="F74" t="s">
        <v>3402</v>
      </c>
      <c r="G74" t="s">
        <v>3193</v>
      </c>
      <c r="H74" t="s">
        <v>3156</v>
      </c>
      <c r="I74">
        <v>1200000</v>
      </c>
      <c r="J74">
        <v>13</v>
      </c>
      <c r="K74" t="s">
        <v>3403</v>
      </c>
    </row>
    <row r="75" spans="1:11" x14ac:dyDescent="0.25">
      <c r="A75">
        <v>2021</v>
      </c>
      <c r="B75" t="s">
        <v>3138</v>
      </c>
      <c r="C75" t="s">
        <v>564</v>
      </c>
      <c r="D75" t="s">
        <v>906</v>
      </c>
      <c r="E75" t="s">
        <v>906</v>
      </c>
      <c r="F75" t="s">
        <v>3404</v>
      </c>
      <c r="G75" t="s">
        <v>3172</v>
      </c>
      <c r="H75" t="s">
        <v>3156</v>
      </c>
      <c r="I75">
        <v>32500000</v>
      </c>
      <c r="J75">
        <v>13</v>
      </c>
      <c r="K75" t="s">
        <v>3405</v>
      </c>
    </row>
    <row r="76" spans="1:11" x14ac:dyDescent="0.25">
      <c r="A76">
        <v>2021</v>
      </c>
      <c r="B76" t="s">
        <v>3138</v>
      </c>
      <c r="C76" t="s">
        <v>15</v>
      </c>
      <c r="D76" t="s">
        <v>887</v>
      </c>
      <c r="E76" t="s">
        <v>887</v>
      </c>
      <c r="F76" t="s">
        <v>3406</v>
      </c>
      <c r="G76" t="s">
        <v>3176</v>
      </c>
      <c r="H76" t="s">
        <v>3156</v>
      </c>
      <c r="I76">
        <v>1400000</v>
      </c>
      <c r="J76">
        <v>13</v>
      </c>
      <c r="K76" t="s">
        <v>3407</v>
      </c>
    </row>
    <row r="77" spans="1:11" x14ac:dyDescent="0.25">
      <c r="A77">
        <v>2021</v>
      </c>
      <c r="B77" t="s">
        <v>3138</v>
      </c>
      <c r="C77" t="s">
        <v>481</v>
      </c>
      <c r="D77" t="s">
        <v>887</v>
      </c>
      <c r="E77" t="s">
        <v>887</v>
      </c>
      <c r="F77" t="s">
        <v>3408</v>
      </c>
      <c r="G77" t="s">
        <v>3204</v>
      </c>
      <c r="H77" t="s">
        <v>3156</v>
      </c>
      <c r="I77">
        <v>1000000</v>
      </c>
      <c r="J77">
        <v>13</v>
      </c>
      <c r="K77" t="s">
        <v>3409</v>
      </c>
    </row>
    <row r="78" spans="1:11" x14ac:dyDescent="0.25">
      <c r="A78">
        <v>2021</v>
      </c>
      <c r="B78" t="s">
        <v>3138</v>
      </c>
      <c r="C78" t="s">
        <v>13</v>
      </c>
      <c r="D78" t="s">
        <v>887</v>
      </c>
      <c r="E78" t="s">
        <v>887</v>
      </c>
      <c r="F78" t="s">
        <v>3410</v>
      </c>
      <c r="G78" t="s">
        <v>3201</v>
      </c>
      <c r="H78" t="s">
        <v>3156</v>
      </c>
      <c r="I78">
        <v>6100000</v>
      </c>
      <c r="J78">
        <v>13</v>
      </c>
      <c r="K78" t="s">
        <v>3411</v>
      </c>
    </row>
    <row r="79" spans="1:11" x14ac:dyDescent="0.25">
      <c r="A79">
        <v>2021</v>
      </c>
      <c r="B79" t="s">
        <v>3138</v>
      </c>
      <c r="C79" t="s">
        <v>564</v>
      </c>
      <c r="D79" t="s">
        <v>887</v>
      </c>
      <c r="E79" t="s">
        <v>887</v>
      </c>
      <c r="F79" t="s">
        <v>3412</v>
      </c>
      <c r="G79" t="s">
        <v>3179</v>
      </c>
      <c r="H79" t="s">
        <v>3156</v>
      </c>
      <c r="I79">
        <v>30400000</v>
      </c>
      <c r="J79">
        <v>13</v>
      </c>
      <c r="K79" t="s">
        <v>3413</v>
      </c>
    </row>
    <row r="80" spans="1:11" x14ac:dyDescent="0.25">
      <c r="A80">
        <v>2021</v>
      </c>
      <c r="B80" t="s">
        <v>3138</v>
      </c>
      <c r="C80" t="s">
        <v>564</v>
      </c>
      <c r="D80" t="s">
        <v>895</v>
      </c>
      <c r="E80" t="s">
        <v>895</v>
      </c>
      <c r="F80" t="s">
        <v>3414</v>
      </c>
      <c r="G80" t="s">
        <v>3199</v>
      </c>
      <c r="H80" t="s">
        <v>3156</v>
      </c>
      <c r="I80">
        <v>20100000</v>
      </c>
      <c r="J80">
        <v>13</v>
      </c>
      <c r="K80" t="s">
        <v>3415</v>
      </c>
    </row>
    <row r="81" spans="1:11" x14ac:dyDescent="0.25">
      <c r="A81">
        <v>2021</v>
      </c>
      <c r="B81" t="s">
        <v>3138</v>
      </c>
      <c r="C81" t="s">
        <v>564</v>
      </c>
      <c r="D81" t="s">
        <v>6</v>
      </c>
      <c r="E81" t="s">
        <v>6</v>
      </c>
      <c r="F81" t="s">
        <v>3416</v>
      </c>
      <c r="G81" t="s">
        <v>3197</v>
      </c>
      <c r="H81" t="s">
        <v>3156</v>
      </c>
      <c r="I81" s="14">
        <v>5200000</v>
      </c>
      <c r="J81">
        <v>13</v>
      </c>
      <c r="K81" t="s">
        <v>3417</v>
      </c>
    </row>
    <row r="82" spans="1:11" x14ac:dyDescent="0.25">
      <c r="A82">
        <v>2021</v>
      </c>
      <c r="B82" t="s">
        <v>3138</v>
      </c>
      <c r="C82" t="s">
        <v>15</v>
      </c>
      <c r="D82" t="s">
        <v>457</v>
      </c>
      <c r="E82" t="s">
        <v>457</v>
      </c>
      <c r="F82" t="s">
        <v>3418</v>
      </c>
      <c r="G82" t="s">
        <v>3181</v>
      </c>
      <c r="H82" t="s">
        <v>3156</v>
      </c>
      <c r="I82">
        <v>300000</v>
      </c>
      <c r="J82">
        <v>13</v>
      </c>
      <c r="K82" t="s">
        <v>3419</v>
      </c>
    </row>
    <row r="83" spans="1:11" x14ac:dyDescent="0.25">
      <c r="A83">
        <v>2021</v>
      </c>
      <c r="B83" t="s">
        <v>3138</v>
      </c>
      <c r="C83" t="s">
        <v>481</v>
      </c>
      <c r="D83" t="s">
        <v>457</v>
      </c>
      <c r="E83" t="s">
        <v>457</v>
      </c>
      <c r="F83" t="s">
        <v>3420</v>
      </c>
      <c r="G83" t="s">
        <v>3183</v>
      </c>
      <c r="H83" t="s">
        <v>3156</v>
      </c>
      <c r="I83">
        <v>1400000</v>
      </c>
      <c r="J83">
        <v>13</v>
      </c>
      <c r="K83" t="s">
        <v>3421</v>
      </c>
    </row>
    <row r="84" spans="1:11" x14ac:dyDescent="0.25">
      <c r="A84">
        <v>2021</v>
      </c>
      <c r="B84" t="s">
        <v>3138</v>
      </c>
      <c r="C84" t="s">
        <v>13</v>
      </c>
      <c r="D84" t="s">
        <v>457</v>
      </c>
      <c r="E84" t="s">
        <v>457</v>
      </c>
      <c r="F84" t="s">
        <v>3422</v>
      </c>
      <c r="G84" t="s">
        <v>3186</v>
      </c>
      <c r="H84" t="s">
        <v>3156</v>
      </c>
      <c r="I84">
        <v>5300000</v>
      </c>
      <c r="J84">
        <v>13</v>
      </c>
      <c r="K84" t="s">
        <v>3423</v>
      </c>
    </row>
    <row r="85" spans="1:11" x14ac:dyDescent="0.25">
      <c r="A85">
        <v>2021</v>
      </c>
      <c r="B85" t="s">
        <v>3138</v>
      </c>
      <c r="C85" t="s">
        <v>564</v>
      </c>
      <c r="D85" t="s">
        <v>457</v>
      </c>
      <c r="E85" t="s">
        <v>457</v>
      </c>
      <c r="F85" t="s">
        <v>3424</v>
      </c>
      <c r="G85" t="s">
        <v>3189</v>
      </c>
      <c r="H85" t="s">
        <v>3156</v>
      </c>
      <c r="I85">
        <v>46300000</v>
      </c>
      <c r="J85">
        <v>13</v>
      </c>
      <c r="K85" t="s">
        <v>3425</v>
      </c>
    </row>
    <row r="86" spans="1:11" x14ac:dyDescent="0.25">
      <c r="A86">
        <v>2021</v>
      </c>
      <c r="B86" t="s">
        <v>3138</v>
      </c>
      <c r="C86" t="s">
        <v>15</v>
      </c>
      <c r="D86" t="s">
        <v>903</v>
      </c>
      <c r="E86" t="s">
        <v>903</v>
      </c>
      <c r="F86" t="s">
        <v>3426</v>
      </c>
      <c r="G86" t="s">
        <v>3191</v>
      </c>
      <c r="H86" t="s">
        <v>3156</v>
      </c>
      <c r="I86">
        <v>1000000</v>
      </c>
      <c r="J86">
        <v>13</v>
      </c>
      <c r="K86" t="s">
        <v>3427</v>
      </c>
    </row>
    <row r="87" spans="1:11" x14ac:dyDescent="0.25">
      <c r="A87">
        <v>2021</v>
      </c>
      <c r="B87" t="s">
        <v>3138</v>
      </c>
      <c r="C87" t="s">
        <v>564</v>
      </c>
      <c r="D87" t="s">
        <v>903</v>
      </c>
      <c r="E87" t="s">
        <v>903</v>
      </c>
      <c r="F87" t="s">
        <v>3428</v>
      </c>
      <c r="G87" t="s">
        <v>3195</v>
      </c>
      <c r="H87" t="s">
        <v>3156</v>
      </c>
      <c r="I87">
        <v>10700000</v>
      </c>
      <c r="J87">
        <v>13</v>
      </c>
      <c r="K87" t="s">
        <v>3429</v>
      </c>
    </row>
    <row r="88" spans="1:11" x14ac:dyDescent="0.25">
      <c r="A88">
        <v>2021</v>
      </c>
      <c r="B88" t="s">
        <v>3139</v>
      </c>
      <c r="C88" t="s">
        <v>564</v>
      </c>
      <c r="D88" t="s">
        <v>906</v>
      </c>
      <c r="E88" t="s">
        <v>906</v>
      </c>
      <c r="F88" t="s">
        <v>3430</v>
      </c>
      <c r="G88" t="s">
        <v>3172</v>
      </c>
      <c r="H88" t="s">
        <v>3157</v>
      </c>
      <c r="I88">
        <v>10000000</v>
      </c>
      <c r="J88">
        <v>15</v>
      </c>
      <c r="K88" t="s">
        <v>3431</v>
      </c>
    </row>
    <row r="89" spans="1:11" x14ac:dyDescent="0.25">
      <c r="A89">
        <v>2021</v>
      </c>
      <c r="B89" t="s">
        <v>3139</v>
      </c>
      <c r="C89" t="s">
        <v>481</v>
      </c>
      <c r="D89" t="s">
        <v>887</v>
      </c>
      <c r="E89" t="s">
        <v>887</v>
      </c>
      <c r="F89" t="s">
        <v>3432</v>
      </c>
      <c r="G89" t="s">
        <v>3204</v>
      </c>
      <c r="H89" t="s">
        <v>3157</v>
      </c>
      <c r="I89">
        <v>100000</v>
      </c>
      <c r="J89">
        <v>15</v>
      </c>
      <c r="K89" t="s">
        <v>3433</v>
      </c>
    </row>
    <row r="90" spans="1:11" x14ac:dyDescent="0.25">
      <c r="A90">
        <v>2021</v>
      </c>
      <c r="B90" t="s">
        <v>3139</v>
      </c>
      <c r="C90" t="s">
        <v>13</v>
      </c>
      <c r="D90" t="s">
        <v>887</v>
      </c>
      <c r="E90" t="s">
        <v>887</v>
      </c>
      <c r="F90" t="s">
        <v>3434</v>
      </c>
      <c r="G90" t="s">
        <v>3201</v>
      </c>
      <c r="H90" t="s">
        <v>3157</v>
      </c>
      <c r="I90">
        <v>200000</v>
      </c>
      <c r="J90">
        <v>15</v>
      </c>
      <c r="K90" t="s">
        <v>3435</v>
      </c>
    </row>
    <row r="91" spans="1:11" x14ac:dyDescent="0.25">
      <c r="A91">
        <v>2021</v>
      </c>
      <c r="B91" t="s">
        <v>3139</v>
      </c>
      <c r="C91" t="s">
        <v>564</v>
      </c>
      <c r="D91" t="s">
        <v>887</v>
      </c>
      <c r="E91" t="s">
        <v>887</v>
      </c>
      <c r="F91" t="s">
        <v>3436</v>
      </c>
      <c r="G91" t="s">
        <v>3179</v>
      </c>
      <c r="H91" t="s">
        <v>3157</v>
      </c>
      <c r="I91">
        <v>7600000</v>
      </c>
      <c r="J91">
        <v>15</v>
      </c>
      <c r="K91" t="s">
        <v>3437</v>
      </c>
    </row>
    <row r="92" spans="1:11" x14ac:dyDescent="0.25">
      <c r="A92">
        <v>2021</v>
      </c>
      <c r="B92" t="s">
        <v>3139</v>
      </c>
      <c r="C92" t="s">
        <v>564</v>
      </c>
      <c r="D92" t="s">
        <v>895</v>
      </c>
      <c r="E92" t="s">
        <v>895</v>
      </c>
      <c r="F92" t="s">
        <v>3438</v>
      </c>
      <c r="G92" t="s">
        <v>3199</v>
      </c>
      <c r="H92" t="s">
        <v>3157</v>
      </c>
      <c r="I92">
        <v>3200000</v>
      </c>
      <c r="J92">
        <v>15</v>
      </c>
      <c r="K92" t="s">
        <v>3439</v>
      </c>
    </row>
    <row r="93" spans="1:11" x14ac:dyDescent="0.25">
      <c r="A93">
        <v>2021</v>
      </c>
      <c r="B93" t="s">
        <v>3139</v>
      </c>
      <c r="C93" t="s">
        <v>564</v>
      </c>
      <c r="D93" t="s">
        <v>6</v>
      </c>
      <c r="E93" t="s">
        <v>6</v>
      </c>
      <c r="F93" t="s">
        <v>3440</v>
      </c>
      <c r="G93" t="s">
        <v>3197</v>
      </c>
      <c r="H93" t="s">
        <v>3157</v>
      </c>
      <c r="I93" s="14">
        <v>20300000</v>
      </c>
      <c r="J93">
        <v>15</v>
      </c>
      <c r="K93" t="s">
        <v>3441</v>
      </c>
    </row>
    <row r="94" spans="1:11" x14ac:dyDescent="0.25">
      <c r="A94">
        <v>2021</v>
      </c>
      <c r="B94" t="s">
        <v>3139</v>
      </c>
      <c r="C94" t="s">
        <v>481</v>
      </c>
      <c r="D94" t="s">
        <v>457</v>
      </c>
      <c r="E94" t="s">
        <v>457</v>
      </c>
      <c r="F94" t="s">
        <v>3442</v>
      </c>
      <c r="G94" t="s">
        <v>3183</v>
      </c>
      <c r="H94" t="s">
        <v>3157</v>
      </c>
      <c r="I94">
        <v>300000</v>
      </c>
      <c r="J94">
        <v>15</v>
      </c>
      <c r="K94" t="s">
        <v>3443</v>
      </c>
    </row>
    <row r="95" spans="1:11" x14ac:dyDescent="0.25">
      <c r="A95">
        <v>2021</v>
      </c>
      <c r="B95" t="s">
        <v>3139</v>
      </c>
      <c r="C95" t="s">
        <v>13</v>
      </c>
      <c r="D95" t="s">
        <v>457</v>
      </c>
      <c r="E95" t="s">
        <v>457</v>
      </c>
      <c r="F95" t="s">
        <v>3444</v>
      </c>
      <c r="G95" t="s">
        <v>3186</v>
      </c>
      <c r="H95" t="s">
        <v>3157</v>
      </c>
      <c r="I95">
        <v>900000</v>
      </c>
      <c r="J95">
        <v>15</v>
      </c>
      <c r="K95" t="s">
        <v>3445</v>
      </c>
    </row>
    <row r="96" spans="1:11" x14ac:dyDescent="0.25">
      <c r="A96">
        <v>2021</v>
      </c>
      <c r="B96" t="s">
        <v>3139</v>
      </c>
      <c r="C96" t="s">
        <v>564</v>
      </c>
      <c r="D96" t="s">
        <v>457</v>
      </c>
      <c r="E96" t="s">
        <v>457</v>
      </c>
      <c r="F96" t="s">
        <v>3446</v>
      </c>
      <c r="G96" t="s">
        <v>3189</v>
      </c>
      <c r="H96" t="s">
        <v>3157</v>
      </c>
      <c r="I96">
        <v>24600000</v>
      </c>
      <c r="J96">
        <v>15</v>
      </c>
      <c r="K96" t="s">
        <v>3447</v>
      </c>
    </row>
    <row r="97" spans="1:11" x14ac:dyDescent="0.25">
      <c r="A97">
        <v>2021</v>
      </c>
      <c r="B97" t="s">
        <v>3139</v>
      </c>
      <c r="C97" t="s">
        <v>564</v>
      </c>
      <c r="D97" t="s">
        <v>903</v>
      </c>
      <c r="E97" t="s">
        <v>903</v>
      </c>
      <c r="F97" t="s">
        <v>3448</v>
      </c>
      <c r="G97" t="s">
        <v>3195</v>
      </c>
      <c r="H97" t="s">
        <v>3157</v>
      </c>
      <c r="I97">
        <v>16400000</v>
      </c>
      <c r="J97">
        <v>15</v>
      </c>
      <c r="K97" t="s">
        <v>3449</v>
      </c>
    </row>
    <row r="98" spans="1:11" x14ac:dyDescent="0.25">
      <c r="A98">
        <v>2022</v>
      </c>
      <c r="B98" t="s">
        <v>3138</v>
      </c>
      <c r="C98" t="s">
        <v>15</v>
      </c>
      <c r="D98" t="s">
        <v>906</v>
      </c>
      <c r="E98" t="s">
        <v>906</v>
      </c>
      <c r="F98" t="s">
        <v>3450</v>
      </c>
      <c r="G98" t="s">
        <v>3193</v>
      </c>
      <c r="H98" t="s">
        <v>3158</v>
      </c>
      <c r="I98">
        <v>1200000</v>
      </c>
      <c r="J98">
        <v>16</v>
      </c>
      <c r="K98" t="s">
        <v>3451</v>
      </c>
    </row>
    <row r="99" spans="1:11" x14ac:dyDescent="0.25">
      <c r="A99">
        <v>2022</v>
      </c>
      <c r="B99" t="s">
        <v>3138</v>
      </c>
      <c r="C99" t="s">
        <v>564</v>
      </c>
      <c r="D99" t="s">
        <v>906</v>
      </c>
      <c r="E99" t="s">
        <v>906</v>
      </c>
      <c r="F99" t="s">
        <v>3452</v>
      </c>
      <c r="G99" t="s">
        <v>3172</v>
      </c>
      <c r="H99" t="s">
        <v>3158</v>
      </c>
      <c r="I99">
        <v>33300000</v>
      </c>
      <c r="J99">
        <v>16</v>
      </c>
      <c r="K99" t="s">
        <v>3453</v>
      </c>
    </row>
    <row r="100" spans="1:11" x14ac:dyDescent="0.25">
      <c r="A100">
        <v>2022</v>
      </c>
      <c r="B100" t="s">
        <v>3138</v>
      </c>
      <c r="C100" t="s">
        <v>15</v>
      </c>
      <c r="D100" t="s">
        <v>887</v>
      </c>
      <c r="E100" t="s">
        <v>887</v>
      </c>
      <c r="F100" t="s">
        <v>3454</v>
      </c>
      <c r="G100" t="s">
        <v>3176</v>
      </c>
      <c r="H100" t="s">
        <v>3158</v>
      </c>
      <c r="I100">
        <v>1600000</v>
      </c>
      <c r="J100">
        <v>16</v>
      </c>
      <c r="K100" t="s">
        <v>3455</v>
      </c>
    </row>
    <row r="101" spans="1:11" x14ac:dyDescent="0.25">
      <c r="A101">
        <v>2022</v>
      </c>
      <c r="B101" t="s">
        <v>3138</v>
      </c>
      <c r="C101" t="s">
        <v>481</v>
      </c>
      <c r="D101" t="s">
        <v>887</v>
      </c>
      <c r="E101" t="s">
        <v>887</v>
      </c>
      <c r="F101" t="s">
        <v>3456</v>
      </c>
      <c r="G101" t="s">
        <v>3204</v>
      </c>
      <c r="H101" t="s">
        <v>3158</v>
      </c>
      <c r="I101">
        <v>900000</v>
      </c>
      <c r="J101">
        <v>16</v>
      </c>
      <c r="K101" t="s">
        <v>3457</v>
      </c>
    </row>
    <row r="102" spans="1:11" x14ac:dyDescent="0.25">
      <c r="A102">
        <v>2022</v>
      </c>
      <c r="B102" t="s">
        <v>3138</v>
      </c>
      <c r="C102" t="s">
        <v>13</v>
      </c>
      <c r="D102" t="s">
        <v>887</v>
      </c>
      <c r="E102" t="s">
        <v>887</v>
      </c>
      <c r="F102" t="s">
        <v>3458</v>
      </c>
      <c r="G102" t="s">
        <v>3201</v>
      </c>
      <c r="H102" t="s">
        <v>3158</v>
      </c>
      <c r="I102">
        <v>5600000</v>
      </c>
      <c r="J102">
        <v>16</v>
      </c>
      <c r="K102" t="s">
        <v>3459</v>
      </c>
    </row>
    <row r="103" spans="1:11" x14ac:dyDescent="0.25">
      <c r="A103">
        <v>2022</v>
      </c>
      <c r="B103" t="s">
        <v>3138</v>
      </c>
      <c r="C103" t="s">
        <v>564</v>
      </c>
      <c r="D103" t="s">
        <v>887</v>
      </c>
      <c r="E103" t="s">
        <v>887</v>
      </c>
      <c r="F103" t="s">
        <v>3460</v>
      </c>
      <c r="G103" t="s">
        <v>3179</v>
      </c>
      <c r="H103" t="s">
        <v>3158</v>
      </c>
      <c r="I103">
        <v>30400000</v>
      </c>
      <c r="J103">
        <v>16</v>
      </c>
      <c r="K103" t="s">
        <v>3461</v>
      </c>
    </row>
    <row r="104" spans="1:11" x14ac:dyDescent="0.25">
      <c r="A104">
        <v>2022</v>
      </c>
      <c r="B104" t="s">
        <v>3138</v>
      </c>
      <c r="C104" t="s">
        <v>564</v>
      </c>
      <c r="D104" t="s">
        <v>895</v>
      </c>
      <c r="E104" t="s">
        <v>895</v>
      </c>
      <c r="F104" t="s">
        <v>3462</v>
      </c>
      <c r="G104" t="s">
        <v>3199</v>
      </c>
      <c r="H104" t="s">
        <v>3158</v>
      </c>
      <c r="I104">
        <v>19000000</v>
      </c>
      <c r="J104">
        <v>16</v>
      </c>
      <c r="K104" t="s">
        <v>3463</v>
      </c>
    </row>
    <row r="105" spans="1:11" x14ac:dyDescent="0.25">
      <c r="A105">
        <v>2022</v>
      </c>
      <c r="B105" t="s">
        <v>3138</v>
      </c>
      <c r="C105" t="s">
        <v>564</v>
      </c>
      <c r="D105" t="s">
        <v>6</v>
      </c>
      <c r="E105" t="s">
        <v>6</v>
      </c>
      <c r="F105" t="s">
        <v>3464</v>
      </c>
      <c r="G105" t="s">
        <v>3197</v>
      </c>
      <c r="H105" t="s">
        <v>3158</v>
      </c>
      <c r="I105" s="14">
        <v>5200000</v>
      </c>
      <c r="J105">
        <v>16</v>
      </c>
      <c r="K105" t="s">
        <v>3465</v>
      </c>
    </row>
    <row r="106" spans="1:11" x14ac:dyDescent="0.25">
      <c r="A106">
        <v>2022</v>
      </c>
      <c r="B106" t="s">
        <v>3138</v>
      </c>
      <c r="C106" t="s">
        <v>15</v>
      </c>
      <c r="D106" t="s">
        <v>457</v>
      </c>
      <c r="E106" t="s">
        <v>457</v>
      </c>
      <c r="F106" t="s">
        <v>3466</v>
      </c>
      <c r="G106" t="s">
        <v>3181</v>
      </c>
      <c r="H106" t="s">
        <v>3158</v>
      </c>
      <c r="I106">
        <v>300000</v>
      </c>
      <c r="J106">
        <v>16</v>
      </c>
      <c r="K106" t="s">
        <v>3467</v>
      </c>
    </row>
    <row r="107" spans="1:11" x14ac:dyDescent="0.25">
      <c r="A107">
        <v>2022</v>
      </c>
      <c r="B107" t="s">
        <v>3138</v>
      </c>
      <c r="C107" t="s">
        <v>481</v>
      </c>
      <c r="D107" t="s">
        <v>457</v>
      </c>
      <c r="E107" t="s">
        <v>457</v>
      </c>
      <c r="F107" t="s">
        <v>3468</v>
      </c>
      <c r="G107" t="s">
        <v>3183</v>
      </c>
      <c r="H107" t="s">
        <v>3158</v>
      </c>
      <c r="I107">
        <v>1500000</v>
      </c>
      <c r="J107">
        <v>16</v>
      </c>
      <c r="K107" t="s">
        <v>3469</v>
      </c>
    </row>
    <row r="108" spans="1:11" x14ac:dyDescent="0.25">
      <c r="A108">
        <v>2022</v>
      </c>
      <c r="B108" t="s">
        <v>3138</v>
      </c>
      <c r="C108" t="s">
        <v>13</v>
      </c>
      <c r="D108" t="s">
        <v>457</v>
      </c>
      <c r="E108" t="s">
        <v>457</v>
      </c>
      <c r="F108" t="s">
        <v>3470</v>
      </c>
      <c r="G108" t="s">
        <v>3186</v>
      </c>
      <c r="H108" t="s">
        <v>3158</v>
      </c>
      <c r="I108">
        <v>4800000</v>
      </c>
      <c r="J108">
        <v>16</v>
      </c>
      <c r="K108" t="s">
        <v>3471</v>
      </c>
    </row>
    <row r="109" spans="1:11" x14ac:dyDescent="0.25">
      <c r="A109">
        <v>2022</v>
      </c>
      <c r="B109" t="s">
        <v>3138</v>
      </c>
      <c r="C109" t="s">
        <v>564</v>
      </c>
      <c r="D109" t="s">
        <v>457</v>
      </c>
      <c r="E109" t="s">
        <v>457</v>
      </c>
      <c r="F109" t="s">
        <v>3472</v>
      </c>
      <c r="G109" t="s">
        <v>3189</v>
      </c>
      <c r="H109" t="s">
        <v>3158</v>
      </c>
      <c r="I109">
        <v>47700000</v>
      </c>
      <c r="J109">
        <v>16</v>
      </c>
      <c r="K109" t="s">
        <v>3473</v>
      </c>
    </row>
    <row r="110" spans="1:11" x14ac:dyDescent="0.25">
      <c r="A110">
        <v>2022</v>
      </c>
      <c r="B110" t="s">
        <v>3138</v>
      </c>
      <c r="C110" t="s">
        <v>15</v>
      </c>
      <c r="D110" t="s">
        <v>903</v>
      </c>
      <c r="E110" t="s">
        <v>903</v>
      </c>
      <c r="F110" t="s">
        <v>3474</v>
      </c>
      <c r="G110" t="s">
        <v>3191</v>
      </c>
      <c r="H110" t="s">
        <v>3158</v>
      </c>
      <c r="I110">
        <v>1000000</v>
      </c>
      <c r="J110">
        <v>16</v>
      </c>
      <c r="K110" t="s">
        <v>3475</v>
      </c>
    </row>
    <row r="111" spans="1:11" x14ac:dyDescent="0.25">
      <c r="A111">
        <v>2022</v>
      </c>
      <c r="B111" t="s">
        <v>3138</v>
      </c>
      <c r="C111" t="s">
        <v>564</v>
      </c>
      <c r="D111" t="s">
        <v>903</v>
      </c>
      <c r="E111" t="s">
        <v>903</v>
      </c>
      <c r="F111" t="s">
        <v>3476</v>
      </c>
      <c r="G111" t="s">
        <v>3195</v>
      </c>
      <c r="H111" t="s">
        <v>3158</v>
      </c>
      <c r="I111">
        <v>10900000</v>
      </c>
      <c r="J111">
        <v>16</v>
      </c>
      <c r="K111" t="s">
        <v>3477</v>
      </c>
    </row>
    <row r="112" spans="1:11" x14ac:dyDescent="0.25">
      <c r="A112">
        <v>2022</v>
      </c>
      <c r="B112" t="s">
        <v>3139</v>
      </c>
      <c r="C112" t="s">
        <v>564</v>
      </c>
      <c r="D112" t="s">
        <v>906</v>
      </c>
      <c r="E112" t="s">
        <v>906</v>
      </c>
      <c r="F112" t="s">
        <v>3478</v>
      </c>
      <c r="G112" t="s">
        <v>3172</v>
      </c>
      <c r="H112" t="s">
        <v>3159</v>
      </c>
      <c r="I112">
        <v>9500000</v>
      </c>
      <c r="J112">
        <v>18</v>
      </c>
      <c r="K112" t="s">
        <v>3479</v>
      </c>
    </row>
    <row r="113" spans="1:11" x14ac:dyDescent="0.25">
      <c r="A113">
        <v>2022</v>
      </c>
      <c r="B113" t="s">
        <v>3139</v>
      </c>
      <c r="C113" t="s">
        <v>481</v>
      </c>
      <c r="D113" t="s">
        <v>887</v>
      </c>
      <c r="E113" t="s">
        <v>887</v>
      </c>
      <c r="F113" t="s">
        <v>3480</v>
      </c>
      <c r="G113" t="s">
        <v>3204</v>
      </c>
      <c r="H113" t="s">
        <v>3159</v>
      </c>
      <c r="I113">
        <v>100000</v>
      </c>
      <c r="J113">
        <v>18</v>
      </c>
      <c r="K113" t="s">
        <v>3481</v>
      </c>
    </row>
    <row r="114" spans="1:11" x14ac:dyDescent="0.25">
      <c r="A114">
        <v>2022</v>
      </c>
      <c r="B114" t="s">
        <v>3139</v>
      </c>
      <c r="C114" t="s">
        <v>13</v>
      </c>
      <c r="D114" t="s">
        <v>887</v>
      </c>
      <c r="E114" t="s">
        <v>887</v>
      </c>
      <c r="F114" t="s">
        <v>3482</v>
      </c>
      <c r="G114" t="s">
        <v>3201</v>
      </c>
      <c r="H114" t="s">
        <v>3159</v>
      </c>
      <c r="I114">
        <v>200000</v>
      </c>
      <c r="J114">
        <v>18</v>
      </c>
      <c r="K114" t="s">
        <v>3483</v>
      </c>
    </row>
    <row r="115" spans="1:11" x14ac:dyDescent="0.25">
      <c r="A115">
        <v>2022</v>
      </c>
      <c r="B115" t="s">
        <v>3139</v>
      </c>
      <c r="C115" t="s">
        <v>564</v>
      </c>
      <c r="D115" t="s">
        <v>887</v>
      </c>
      <c r="E115" t="s">
        <v>887</v>
      </c>
      <c r="F115" t="s">
        <v>3484</v>
      </c>
      <c r="G115" t="s">
        <v>3179</v>
      </c>
      <c r="H115" t="s">
        <v>3159</v>
      </c>
      <c r="I115">
        <v>3900000</v>
      </c>
      <c r="J115">
        <v>18</v>
      </c>
      <c r="K115" t="s">
        <v>3485</v>
      </c>
    </row>
    <row r="116" spans="1:11" x14ac:dyDescent="0.25">
      <c r="A116">
        <v>2022</v>
      </c>
      <c r="B116" t="s">
        <v>3139</v>
      </c>
      <c r="C116" t="s">
        <v>564</v>
      </c>
      <c r="D116" t="s">
        <v>895</v>
      </c>
      <c r="E116" t="s">
        <v>895</v>
      </c>
      <c r="F116" t="s">
        <v>3486</v>
      </c>
      <c r="G116" t="s">
        <v>3199</v>
      </c>
      <c r="H116" t="s">
        <v>3159</v>
      </c>
      <c r="I116">
        <v>2100000</v>
      </c>
      <c r="J116">
        <v>18</v>
      </c>
      <c r="K116" t="s">
        <v>3487</v>
      </c>
    </row>
    <row r="117" spans="1:11" x14ac:dyDescent="0.25">
      <c r="A117">
        <v>2022</v>
      </c>
      <c r="B117" t="s">
        <v>3139</v>
      </c>
      <c r="C117" t="s">
        <v>564</v>
      </c>
      <c r="D117" t="s">
        <v>6</v>
      </c>
      <c r="E117" t="s">
        <v>6</v>
      </c>
      <c r="F117" t="s">
        <v>3488</v>
      </c>
      <c r="G117" t="s">
        <v>3197</v>
      </c>
      <c r="H117" t="s">
        <v>3159</v>
      </c>
      <c r="I117" s="14">
        <v>6500000</v>
      </c>
      <c r="J117">
        <v>18</v>
      </c>
      <c r="K117" t="s">
        <v>3489</v>
      </c>
    </row>
    <row r="118" spans="1:11" x14ac:dyDescent="0.25">
      <c r="A118">
        <v>2022</v>
      </c>
      <c r="B118" t="s">
        <v>3139</v>
      </c>
      <c r="C118" t="s">
        <v>481</v>
      </c>
      <c r="D118" t="s">
        <v>457</v>
      </c>
      <c r="E118" t="s">
        <v>457</v>
      </c>
      <c r="F118" t="s">
        <v>3490</v>
      </c>
      <c r="G118" t="s">
        <v>3183</v>
      </c>
      <c r="H118" t="s">
        <v>3159</v>
      </c>
      <c r="I118">
        <v>200000</v>
      </c>
      <c r="J118">
        <v>18</v>
      </c>
      <c r="K118" t="s">
        <v>3491</v>
      </c>
    </row>
    <row r="119" spans="1:11" x14ac:dyDescent="0.25">
      <c r="A119">
        <v>2022</v>
      </c>
      <c r="B119" t="s">
        <v>3139</v>
      </c>
      <c r="C119" t="s">
        <v>13</v>
      </c>
      <c r="D119" t="s">
        <v>457</v>
      </c>
      <c r="E119" t="s">
        <v>457</v>
      </c>
      <c r="F119" t="s">
        <v>3492</v>
      </c>
      <c r="G119" t="s">
        <v>3186</v>
      </c>
      <c r="H119" t="s">
        <v>3159</v>
      </c>
      <c r="I119">
        <v>700000</v>
      </c>
      <c r="J119">
        <v>18</v>
      </c>
      <c r="K119" t="s">
        <v>3493</v>
      </c>
    </row>
    <row r="120" spans="1:11" x14ac:dyDescent="0.25">
      <c r="A120">
        <v>2022</v>
      </c>
      <c r="B120" t="s">
        <v>3139</v>
      </c>
      <c r="C120" t="s">
        <v>564</v>
      </c>
      <c r="D120" t="s">
        <v>457</v>
      </c>
      <c r="E120" t="s">
        <v>457</v>
      </c>
      <c r="F120" t="s">
        <v>3494</v>
      </c>
      <c r="G120" t="s">
        <v>3189</v>
      </c>
      <c r="H120" t="s">
        <v>3159</v>
      </c>
      <c r="I120">
        <v>24700000</v>
      </c>
      <c r="J120">
        <v>18</v>
      </c>
      <c r="K120" t="s">
        <v>3495</v>
      </c>
    </row>
    <row r="121" spans="1:11" x14ac:dyDescent="0.25">
      <c r="A121">
        <v>2022</v>
      </c>
      <c r="B121" t="s">
        <v>3139</v>
      </c>
      <c r="C121" t="s">
        <v>564</v>
      </c>
      <c r="D121" t="s">
        <v>903</v>
      </c>
      <c r="E121" t="s">
        <v>903</v>
      </c>
      <c r="F121" t="s">
        <v>3496</v>
      </c>
      <c r="G121" t="s">
        <v>3195</v>
      </c>
      <c r="H121" t="s">
        <v>3159</v>
      </c>
      <c r="I121">
        <v>14200000</v>
      </c>
      <c r="J121">
        <v>18</v>
      </c>
      <c r="K121" t="s">
        <v>3497</v>
      </c>
    </row>
    <row r="122" spans="1:11" x14ac:dyDescent="0.25">
      <c r="A122">
        <v>2023</v>
      </c>
      <c r="B122" t="s">
        <v>3138</v>
      </c>
      <c r="C122" t="s">
        <v>15</v>
      </c>
      <c r="D122" t="s">
        <v>906</v>
      </c>
      <c r="E122" t="s">
        <v>906</v>
      </c>
      <c r="F122" t="s">
        <v>3498</v>
      </c>
      <c r="G122" t="s">
        <v>3193</v>
      </c>
      <c r="H122" t="s">
        <v>3160</v>
      </c>
      <c r="I122">
        <v>1300000</v>
      </c>
      <c r="J122">
        <v>19</v>
      </c>
      <c r="K122" t="s">
        <v>3499</v>
      </c>
    </row>
    <row r="123" spans="1:11" x14ac:dyDescent="0.25">
      <c r="A123">
        <v>2023</v>
      </c>
      <c r="B123" t="s">
        <v>3138</v>
      </c>
      <c r="C123" t="s">
        <v>564</v>
      </c>
      <c r="D123" t="s">
        <v>906</v>
      </c>
      <c r="E123" t="s">
        <v>906</v>
      </c>
      <c r="F123" t="s">
        <v>3500</v>
      </c>
      <c r="G123" t="s">
        <v>3172</v>
      </c>
      <c r="H123" t="s">
        <v>3160</v>
      </c>
      <c r="I123">
        <v>25000000</v>
      </c>
      <c r="J123">
        <v>19</v>
      </c>
      <c r="K123" t="s">
        <v>3501</v>
      </c>
    </row>
    <row r="124" spans="1:11" x14ac:dyDescent="0.25">
      <c r="A124">
        <v>2023</v>
      </c>
      <c r="B124" t="s">
        <v>3138</v>
      </c>
      <c r="C124" t="s">
        <v>15</v>
      </c>
      <c r="D124" t="s">
        <v>887</v>
      </c>
      <c r="E124" t="s">
        <v>887</v>
      </c>
      <c r="F124" t="s">
        <v>3502</v>
      </c>
      <c r="G124" t="s">
        <v>3176</v>
      </c>
      <c r="H124" t="s">
        <v>3160</v>
      </c>
      <c r="I124">
        <v>1500000</v>
      </c>
      <c r="J124">
        <v>19</v>
      </c>
      <c r="K124" t="s">
        <v>3503</v>
      </c>
    </row>
    <row r="125" spans="1:11" x14ac:dyDescent="0.25">
      <c r="A125">
        <v>2023</v>
      </c>
      <c r="B125" t="s">
        <v>3138</v>
      </c>
      <c r="C125" t="s">
        <v>481</v>
      </c>
      <c r="D125" t="s">
        <v>887</v>
      </c>
      <c r="E125" t="s">
        <v>887</v>
      </c>
      <c r="F125" t="s">
        <v>3504</v>
      </c>
      <c r="G125" t="s">
        <v>3204</v>
      </c>
      <c r="H125" t="s">
        <v>3160</v>
      </c>
      <c r="I125">
        <v>1100000</v>
      </c>
      <c r="J125">
        <v>19</v>
      </c>
      <c r="K125" t="s">
        <v>3505</v>
      </c>
    </row>
    <row r="126" spans="1:11" x14ac:dyDescent="0.25">
      <c r="A126">
        <v>2023</v>
      </c>
      <c r="B126" t="s">
        <v>3138</v>
      </c>
      <c r="C126" t="s">
        <v>13</v>
      </c>
      <c r="D126" t="s">
        <v>887</v>
      </c>
      <c r="E126" t="s">
        <v>887</v>
      </c>
      <c r="F126" t="s">
        <v>3506</v>
      </c>
      <c r="G126" t="s">
        <v>3201</v>
      </c>
      <c r="H126" t="s">
        <v>3160</v>
      </c>
      <c r="I126">
        <v>7500000</v>
      </c>
      <c r="J126">
        <v>19</v>
      </c>
      <c r="K126" t="s">
        <v>3507</v>
      </c>
    </row>
    <row r="127" spans="1:11" x14ac:dyDescent="0.25">
      <c r="A127">
        <v>2023</v>
      </c>
      <c r="B127" t="s">
        <v>3138</v>
      </c>
      <c r="C127" t="s">
        <v>564</v>
      </c>
      <c r="D127" t="s">
        <v>887</v>
      </c>
      <c r="E127" t="s">
        <v>887</v>
      </c>
      <c r="F127" t="s">
        <v>3508</v>
      </c>
      <c r="G127" t="s">
        <v>3179</v>
      </c>
      <c r="H127" t="s">
        <v>3160</v>
      </c>
      <c r="I127">
        <v>27000000</v>
      </c>
      <c r="J127">
        <v>19</v>
      </c>
      <c r="K127" t="s">
        <v>3509</v>
      </c>
    </row>
    <row r="128" spans="1:11" x14ac:dyDescent="0.25">
      <c r="A128">
        <v>2023</v>
      </c>
      <c r="B128" t="s">
        <v>3138</v>
      </c>
      <c r="C128" t="s">
        <v>564</v>
      </c>
      <c r="D128" t="s">
        <v>895</v>
      </c>
      <c r="E128" t="s">
        <v>895</v>
      </c>
      <c r="F128" t="s">
        <v>3510</v>
      </c>
      <c r="G128" t="s">
        <v>3199</v>
      </c>
      <c r="H128" t="s">
        <v>3160</v>
      </c>
      <c r="I128">
        <v>14800000</v>
      </c>
      <c r="J128">
        <v>19</v>
      </c>
      <c r="K128" t="s">
        <v>3511</v>
      </c>
    </row>
    <row r="129" spans="1:11" x14ac:dyDescent="0.25">
      <c r="A129">
        <v>2023</v>
      </c>
      <c r="B129" t="s">
        <v>3138</v>
      </c>
      <c r="C129" t="s">
        <v>564</v>
      </c>
      <c r="D129" t="s">
        <v>6</v>
      </c>
      <c r="E129" t="s">
        <v>6</v>
      </c>
      <c r="F129" t="s">
        <v>3512</v>
      </c>
      <c r="G129" t="s">
        <v>3197</v>
      </c>
      <c r="H129" t="s">
        <v>3160</v>
      </c>
      <c r="I129" s="14">
        <v>2400000</v>
      </c>
      <c r="J129">
        <v>19</v>
      </c>
      <c r="K129" t="s">
        <v>3513</v>
      </c>
    </row>
    <row r="130" spans="1:11" x14ac:dyDescent="0.25">
      <c r="A130">
        <v>2023</v>
      </c>
      <c r="B130" t="s">
        <v>3138</v>
      </c>
      <c r="C130" t="s">
        <v>15</v>
      </c>
      <c r="D130" t="s">
        <v>457</v>
      </c>
      <c r="E130" t="s">
        <v>457</v>
      </c>
      <c r="F130" t="s">
        <v>3514</v>
      </c>
      <c r="G130" t="s">
        <v>3181</v>
      </c>
      <c r="H130" t="s">
        <v>3160</v>
      </c>
      <c r="I130">
        <v>300000</v>
      </c>
      <c r="J130">
        <v>19</v>
      </c>
      <c r="K130" t="s">
        <v>3515</v>
      </c>
    </row>
    <row r="131" spans="1:11" x14ac:dyDescent="0.25">
      <c r="A131">
        <v>2023</v>
      </c>
      <c r="B131" t="s">
        <v>3138</v>
      </c>
      <c r="C131" t="s">
        <v>481</v>
      </c>
      <c r="D131" t="s">
        <v>457</v>
      </c>
      <c r="E131" t="s">
        <v>457</v>
      </c>
      <c r="F131" t="s">
        <v>3516</v>
      </c>
      <c r="G131" t="s">
        <v>3183</v>
      </c>
      <c r="H131" t="s">
        <v>3160</v>
      </c>
      <c r="I131">
        <v>1700000</v>
      </c>
      <c r="J131">
        <v>19</v>
      </c>
      <c r="K131" t="s">
        <v>3517</v>
      </c>
    </row>
    <row r="132" spans="1:11" x14ac:dyDescent="0.25">
      <c r="A132">
        <v>2023</v>
      </c>
      <c r="B132" t="s">
        <v>3138</v>
      </c>
      <c r="C132" t="s">
        <v>13</v>
      </c>
      <c r="D132" t="s">
        <v>457</v>
      </c>
      <c r="E132" t="s">
        <v>457</v>
      </c>
      <c r="F132" t="s">
        <v>3518</v>
      </c>
      <c r="G132" t="s">
        <v>3186</v>
      </c>
      <c r="H132" t="s">
        <v>3160</v>
      </c>
      <c r="I132">
        <v>4900000</v>
      </c>
      <c r="J132">
        <v>19</v>
      </c>
      <c r="K132" t="s">
        <v>3519</v>
      </c>
    </row>
    <row r="133" spans="1:11" x14ac:dyDescent="0.25">
      <c r="A133">
        <v>2023</v>
      </c>
      <c r="B133" t="s">
        <v>3138</v>
      </c>
      <c r="C133" t="s">
        <v>564</v>
      </c>
      <c r="D133" t="s">
        <v>457</v>
      </c>
      <c r="E133" t="s">
        <v>457</v>
      </c>
      <c r="F133" t="s">
        <v>3520</v>
      </c>
      <c r="G133" t="s">
        <v>3189</v>
      </c>
      <c r="H133" t="s">
        <v>3160</v>
      </c>
      <c r="I133">
        <v>44100000</v>
      </c>
      <c r="J133">
        <v>19</v>
      </c>
      <c r="K133" t="s">
        <v>3521</v>
      </c>
    </row>
    <row r="134" spans="1:11" x14ac:dyDescent="0.25">
      <c r="A134">
        <v>2023</v>
      </c>
      <c r="B134" t="s">
        <v>3138</v>
      </c>
      <c r="C134" t="s">
        <v>15</v>
      </c>
      <c r="D134" t="s">
        <v>903</v>
      </c>
      <c r="E134" t="s">
        <v>903</v>
      </c>
      <c r="F134" t="s">
        <v>3522</v>
      </c>
      <c r="G134" t="s">
        <v>3191</v>
      </c>
      <c r="H134" t="s">
        <v>3160</v>
      </c>
      <c r="I134">
        <v>1000000</v>
      </c>
      <c r="J134">
        <v>19</v>
      </c>
      <c r="K134" t="s">
        <v>3523</v>
      </c>
    </row>
    <row r="135" spans="1:11" x14ac:dyDescent="0.25">
      <c r="A135">
        <v>2023</v>
      </c>
      <c r="B135" t="s">
        <v>3138</v>
      </c>
      <c r="C135" t="s">
        <v>564</v>
      </c>
      <c r="D135" t="s">
        <v>903</v>
      </c>
      <c r="E135" t="s">
        <v>903</v>
      </c>
      <c r="F135" t="s">
        <v>3524</v>
      </c>
      <c r="G135" t="s">
        <v>3195</v>
      </c>
      <c r="H135" t="s">
        <v>3160</v>
      </c>
      <c r="I135">
        <v>7200000</v>
      </c>
      <c r="J135">
        <v>19</v>
      </c>
      <c r="K135" t="s">
        <v>3525</v>
      </c>
    </row>
    <row r="136" spans="1:11" x14ac:dyDescent="0.25">
      <c r="A136">
        <v>2023</v>
      </c>
      <c r="B136" t="s">
        <v>3139</v>
      </c>
      <c r="C136" t="s">
        <v>564</v>
      </c>
      <c r="D136" t="s">
        <v>906</v>
      </c>
      <c r="E136" t="s">
        <v>906</v>
      </c>
      <c r="F136" t="s">
        <v>3526</v>
      </c>
      <c r="G136" t="s">
        <v>3172</v>
      </c>
      <c r="H136" t="s">
        <v>3161</v>
      </c>
      <c r="I136">
        <v>9300000</v>
      </c>
      <c r="J136">
        <v>21</v>
      </c>
      <c r="K136" t="s">
        <v>3527</v>
      </c>
    </row>
    <row r="137" spans="1:11" x14ac:dyDescent="0.25">
      <c r="A137">
        <v>2023</v>
      </c>
      <c r="B137" t="s">
        <v>3139</v>
      </c>
      <c r="C137" t="s">
        <v>13</v>
      </c>
      <c r="D137" t="s">
        <v>887</v>
      </c>
      <c r="E137" t="s">
        <v>887</v>
      </c>
      <c r="F137" t="s">
        <v>3528</v>
      </c>
      <c r="G137" t="s">
        <v>3201</v>
      </c>
      <c r="H137" t="s">
        <v>3161</v>
      </c>
      <c r="I137">
        <v>100000</v>
      </c>
      <c r="J137">
        <v>21</v>
      </c>
      <c r="K137" t="s">
        <v>3529</v>
      </c>
    </row>
    <row r="138" spans="1:11" x14ac:dyDescent="0.25">
      <c r="A138">
        <v>2023</v>
      </c>
      <c r="B138" t="s">
        <v>3139</v>
      </c>
      <c r="C138" t="s">
        <v>564</v>
      </c>
      <c r="D138" t="s">
        <v>887</v>
      </c>
      <c r="E138" t="s">
        <v>887</v>
      </c>
      <c r="F138" t="s">
        <v>3530</v>
      </c>
      <c r="G138" t="s">
        <v>3179</v>
      </c>
      <c r="H138" t="s">
        <v>3161</v>
      </c>
      <c r="I138">
        <v>3000000</v>
      </c>
      <c r="J138">
        <v>21</v>
      </c>
      <c r="K138" t="s">
        <v>3531</v>
      </c>
    </row>
    <row r="139" spans="1:11" x14ac:dyDescent="0.25">
      <c r="A139">
        <v>2023</v>
      </c>
      <c r="B139" t="s">
        <v>3139</v>
      </c>
      <c r="C139" t="s">
        <v>564</v>
      </c>
      <c r="D139" t="s">
        <v>895</v>
      </c>
      <c r="E139" t="s">
        <v>895</v>
      </c>
      <c r="F139" t="s">
        <v>3532</v>
      </c>
      <c r="G139" t="s">
        <v>3199</v>
      </c>
      <c r="H139" t="s">
        <v>3161</v>
      </c>
      <c r="I139">
        <v>1900000</v>
      </c>
      <c r="J139">
        <v>21</v>
      </c>
      <c r="K139" t="s">
        <v>3533</v>
      </c>
    </row>
    <row r="140" spans="1:11" x14ac:dyDescent="0.25">
      <c r="A140">
        <v>2023</v>
      </c>
      <c r="B140" t="s">
        <v>3139</v>
      </c>
      <c r="C140" t="s">
        <v>564</v>
      </c>
      <c r="D140" t="s">
        <v>6</v>
      </c>
      <c r="E140" t="s">
        <v>6</v>
      </c>
      <c r="F140" t="s">
        <v>3534</v>
      </c>
      <c r="G140" t="s">
        <v>3197</v>
      </c>
      <c r="H140" t="s">
        <v>3161</v>
      </c>
      <c r="I140" s="14">
        <v>3900000</v>
      </c>
      <c r="J140">
        <v>21</v>
      </c>
      <c r="K140" t="s">
        <v>3535</v>
      </c>
    </row>
    <row r="141" spans="1:11" x14ac:dyDescent="0.25">
      <c r="A141">
        <v>2023</v>
      </c>
      <c r="B141" t="s">
        <v>3139</v>
      </c>
      <c r="C141" t="s">
        <v>481</v>
      </c>
      <c r="D141" t="s">
        <v>457</v>
      </c>
      <c r="E141" t="s">
        <v>457</v>
      </c>
      <c r="F141" t="s">
        <v>3536</v>
      </c>
      <c r="G141" t="s">
        <v>3183</v>
      </c>
      <c r="H141" t="s">
        <v>3161</v>
      </c>
      <c r="I141">
        <v>100000</v>
      </c>
      <c r="J141">
        <v>21</v>
      </c>
      <c r="K141" t="s">
        <v>3537</v>
      </c>
    </row>
    <row r="142" spans="1:11" x14ac:dyDescent="0.25">
      <c r="A142">
        <v>2023</v>
      </c>
      <c r="B142" t="s">
        <v>3139</v>
      </c>
      <c r="C142" t="s">
        <v>13</v>
      </c>
      <c r="D142" t="s">
        <v>457</v>
      </c>
      <c r="E142" t="s">
        <v>457</v>
      </c>
      <c r="F142" t="s">
        <v>3538</v>
      </c>
      <c r="G142" t="s">
        <v>3186</v>
      </c>
      <c r="H142" t="s">
        <v>3161</v>
      </c>
      <c r="I142">
        <v>100000</v>
      </c>
      <c r="J142">
        <v>21</v>
      </c>
      <c r="K142" t="s">
        <v>3539</v>
      </c>
    </row>
    <row r="143" spans="1:11" x14ac:dyDescent="0.25">
      <c r="A143">
        <v>2023</v>
      </c>
      <c r="B143" t="s">
        <v>3139</v>
      </c>
      <c r="C143" t="s">
        <v>564</v>
      </c>
      <c r="D143" t="s">
        <v>457</v>
      </c>
      <c r="E143" t="s">
        <v>457</v>
      </c>
      <c r="F143" t="s">
        <v>3540</v>
      </c>
      <c r="G143" t="s">
        <v>3189</v>
      </c>
      <c r="H143" t="s">
        <v>3161</v>
      </c>
      <c r="I143">
        <v>20300000</v>
      </c>
      <c r="J143">
        <v>21</v>
      </c>
      <c r="K143" t="s">
        <v>3541</v>
      </c>
    </row>
    <row r="144" spans="1:11" x14ac:dyDescent="0.25">
      <c r="A144">
        <v>2023</v>
      </c>
      <c r="B144" t="s">
        <v>3139</v>
      </c>
      <c r="C144" t="s">
        <v>564</v>
      </c>
      <c r="D144" t="s">
        <v>903</v>
      </c>
      <c r="E144" t="s">
        <v>903</v>
      </c>
      <c r="F144" t="s">
        <v>3542</v>
      </c>
      <c r="G144" t="s">
        <v>3195</v>
      </c>
      <c r="H144" t="s">
        <v>3161</v>
      </c>
      <c r="I144">
        <v>13400000</v>
      </c>
      <c r="J144">
        <v>21</v>
      </c>
      <c r="K144" t="s">
        <v>3543</v>
      </c>
    </row>
    <row r="145" spans="1:11" x14ac:dyDescent="0.25">
      <c r="A145">
        <v>2021</v>
      </c>
      <c r="B145" t="s">
        <v>3138</v>
      </c>
      <c r="C145" t="s">
        <v>13</v>
      </c>
      <c r="D145" t="s">
        <v>895</v>
      </c>
      <c r="E145" t="s">
        <v>895</v>
      </c>
      <c r="F145" t="s">
        <v>3544</v>
      </c>
      <c r="G145" t="s">
        <v>3207</v>
      </c>
      <c r="H145" t="s">
        <v>3156</v>
      </c>
      <c r="I145">
        <v>1300000</v>
      </c>
      <c r="J145">
        <v>13</v>
      </c>
      <c r="K145" t="s">
        <v>3545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70"/>
  <sheetViews>
    <sheetView workbookViewId="0">
      <selection activeCell="K15" sqref="K15:K16"/>
    </sheetView>
  </sheetViews>
  <sheetFormatPr defaultRowHeight="15" x14ac:dyDescent="0.25"/>
  <cols>
    <col min="1" max="1" width="19.140625" customWidth="1"/>
    <col min="4" max="4" width="14.140625" bestFit="1" customWidth="1"/>
    <col min="5" max="5" width="14.28515625" bestFit="1" customWidth="1"/>
  </cols>
  <sheetData>
    <row r="1" spans="1:11" x14ac:dyDescent="0.25">
      <c r="A1" s="1" t="s">
        <v>3137</v>
      </c>
      <c r="B1" s="1" t="s">
        <v>3162</v>
      </c>
      <c r="C1" s="1" t="s">
        <v>3546</v>
      </c>
      <c r="D1" s="1" t="s">
        <v>3547</v>
      </c>
      <c r="E1" s="1" t="s">
        <v>3548</v>
      </c>
      <c r="F1" s="1" t="s">
        <v>3254</v>
      </c>
      <c r="G1" s="1" t="s">
        <v>934</v>
      </c>
      <c r="H1" s="1" t="s">
        <v>3169</v>
      </c>
      <c r="I1" s="1" t="s">
        <v>3147</v>
      </c>
      <c r="J1" s="1" t="s">
        <v>3257</v>
      </c>
      <c r="K1" s="1" t="s">
        <v>938</v>
      </c>
    </row>
    <row r="2" spans="1:11" x14ac:dyDescent="0.25">
      <c r="A2" t="s">
        <v>3138</v>
      </c>
      <c r="B2" t="s">
        <v>3171</v>
      </c>
      <c r="C2">
        <v>2</v>
      </c>
      <c r="D2" s="14">
        <v>18100000</v>
      </c>
      <c r="E2">
        <v>7700000</v>
      </c>
      <c r="F2" t="s">
        <v>3500</v>
      </c>
      <c r="G2">
        <v>2023</v>
      </c>
      <c r="H2" t="s">
        <v>3172</v>
      </c>
      <c r="I2" t="s">
        <v>3160</v>
      </c>
      <c r="J2" t="s">
        <v>3501</v>
      </c>
      <c r="K2" t="s">
        <v>564</v>
      </c>
    </row>
    <row r="3" spans="1:11" x14ac:dyDescent="0.25">
      <c r="A3" t="s">
        <v>3138</v>
      </c>
      <c r="B3" t="s">
        <v>3171</v>
      </c>
      <c r="C3">
        <v>5</v>
      </c>
      <c r="D3">
        <v>36100000</v>
      </c>
      <c r="E3">
        <v>19100000</v>
      </c>
      <c r="F3" t="s">
        <v>3500</v>
      </c>
      <c r="G3">
        <v>2023</v>
      </c>
      <c r="H3" t="s">
        <v>3172</v>
      </c>
      <c r="I3" t="s">
        <v>3160</v>
      </c>
      <c r="J3" t="s">
        <v>3501</v>
      </c>
      <c r="K3" t="s">
        <v>564</v>
      </c>
    </row>
    <row r="4" spans="1:11" x14ac:dyDescent="0.25">
      <c r="A4" t="s">
        <v>3138</v>
      </c>
      <c r="B4" t="s">
        <v>3171</v>
      </c>
      <c r="C4">
        <v>10</v>
      </c>
      <c r="D4">
        <v>51400000</v>
      </c>
      <c r="E4">
        <v>29800000</v>
      </c>
      <c r="F4" t="s">
        <v>3500</v>
      </c>
      <c r="G4">
        <v>2023</v>
      </c>
      <c r="H4" t="s">
        <v>3172</v>
      </c>
      <c r="I4" t="s">
        <v>3160</v>
      </c>
      <c r="J4" t="s">
        <v>3501</v>
      </c>
      <c r="K4" t="s">
        <v>564</v>
      </c>
    </row>
    <row r="5" spans="1:11" x14ac:dyDescent="0.25">
      <c r="A5" t="s">
        <v>3138</v>
      </c>
      <c r="B5" t="s">
        <v>3171</v>
      </c>
      <c r="C5">
        <v>25</v>
      </c>
      <c r="D5">
        <v>74600000</v>
      </c>
      <c r="E5">
        <v>50200000</v>
      </c>
      <c r="F5" t="s">
        <v>3500</v>
      </c>
      <c r="G5">
        <v>2023</v>
      </c>
      <c r="H5" t="s">
        <v>3172</v>
      </c>
      <c r="I5" t="s">
        <v>3160</v>
      </c>
      <c r="J5" t="s">
        <v>3501</v>
      </c>
      <c r="K5" t="s">
        <v>564</v>
      </c>
    </row>
    <row r="6" spans="1:11" x14ac:dyDescent="0.25">
      <c r="A6" t="s">
        <v>3138</v>
      </c>
      <c r="B6" t="s">
        <v>3171</v>
      </c>
      <c r="C6">
        <v>50</v>
      </c>
      <c r="D6">
        <v>97900000</v>
      </c>
      <c r="E6">
        <v>69300000</v>
      </c>
      <c r="F6" t="s">
        <v>3500</v>
      </c>
      <c r="G6">
        <v>2023</v>
      </c>
      <c r="H6" t="s">
        <v>3172</v>
      </c>
      <c r="I6" t="s">
        <v>3160</v>
      </c>
      <c r="J6" t="s">
        <v>3501</v>
      </c>
      <c r="K6" t="s">
        <v>564</v>
      </c>
    </row>
    <row r="7" spans="1:11" x14ac:dyDescent="0.25">
      <c r="A7" t="s">
        <v>3138</v>
      </c>
      <c r="B7" t="s">
        <v>3171</v>
      </c>
      <c r="C7">
        <v>100</v>
      </c>
      <c r="D7">
        <v>124100000</v>
      </c>
      <c r="E7">
        <v>95500000</v>
      </c>
      <c r="F7" t="s">
        <v>3500</v>
      </c>
      <c r="G7">
        <v>2023</v>
      </c>
      <c r="H7" t="s">
        <v>3172</v>
      </c>
      <c r="I7" t="s">
        <v>3160</v>
      </c>
      <c r="J7" t="s">
        <v>3501</v>
      </c>
      <c r="K7" t="s">
        <v>564</v>
      </c>
    </row>
    <row r="8" spans="1:11" x14ac:dyDescent="0.25">
      <c r="A8" t="s">
        <v>3138</v>
      </c>
      <c r="B8" t="s">
        <v>3171</v>
      </c>
      <c r="C8">
        <v>200</v>
      </c>
      <c r="D8">
        <v>155800000</v>
      </c>
      <c r="E8">
        <v>125200000</v>
      </c>
      <c r="F8" t="s">
        <v>3500</v>
      </c>
      <c r="G8">
        <v>2023</v>
      </c>
      <c r="H8" t="s">
        <v>3172</v>
      </c>
      <c r="I8" t="s">
        <v>3160</v>
      </c>
      <c r="J8" t="s">
        <v>3501</v>
      </c>
      <c r="K8" t="s">
        <v>564</v>
      </c>
    </row>
    <row r="9" spans="1:11" x14ac:dyDescent="0.25">
      <c r="A9" t="s">
        <v>3138</v>
      </c>
      <c r="B9" t="s">
        <v>3171</v>
      </c>
      <c r="C9">
        <v>250</v>
      </c>
      <c r="D9">
        <v>167400000</v>
      </c>
      <c r="E9">
        <v>141900000</v>
      </c>
      <c r="F9" t="s">
        <v>3500</v>
      </c>
      <c r="G9">
        <v>2023</v>
      </c>
      <c r="H9" t="s">
        <v>3172</v>
      </c>
      <c r="I9" t="s">
        <v>3160</v>
      </c>
      <c r="J9" t="s">
        <v>3501</v>
      </c>
      <c r="K9" t="s">
        <v>564</v>
      </c>
    </row>
    <row r="10" spans="1:11" x14ac:dyDescent="0.25">
      <c r="A10" t="s">
        <v>3138</v>
      </c>
      <c r="B10" t="s">
        <v>3171</v>
      </c>
      <c r="C10">
        <v>500</v>
      </c>
      <c r="D10">
        <v>206500000</v>
      </c>
      <c r="E10">
        <v>174200000</v>
      </c>
      <c r="F10" t="s">
        <v>3500</v>
      </c>
      <c r="G10">
        <v>2023</v>
      </c>
      <c r="H10" t="s">
        <v>3172</v>
      </c>
      <c r="I10" t="s">
        <v>3160</v>
      </c>
      <c r="J10" t="s">
        <v>3501</v>
      </c>
      <c r="K10" t="s">
        <v>564</v>
      </c>
    </row>
    <row r="11" spans="1:11" x14ac:dyDescent="0.25">
      <c r="A11" t="s">
        <v>3138</v>
      </c>
      <c r="B11" t="s">
        <v>3171</v>
      </c>
      <c r="C11">
        <v>1000</v>
      </c>
      <c r="D11">
        <v>258400000</v>
      </c>
      <c r="E11">
        <v>225100000</v>
      </c>
      <c r="F11" t="s">
        <v>3500</v>
      </c>
      <c r="G11">
        <v>2023</v>
      </c>
      <c r="H11" t="s">
        <v>3172</v>
      </c>
      <c r="I11" t="s">
        <v>3160</v>
      </c>
      <c r="J11" t="s">
        <v>3501</v>
      </c>
      <c r="K11" t="s">
        <v>564</v>
      </c>
    </row>
    <row r="12" spans="1:11" x14ac:dyDescent="0.25">
      <c r="A12" t="s">
        <v>3138</v>
      </c>
      <c r="B12" t="s">
        <v>3171</v>
      </c>
      <c r="C12">
        <v>5000</v>
      </c>
      <c r="D12">
        <v>465500000</v>
      </c>
      <c r="E12">
        <v>452300000</v>
      </c>
      <c r="F12" t="s">
        <v>3500</v>
      </c>
      <c r="G12">
        <v>2023</v>
      </c>
      <c r="H12" t="s">
        <v>3172</v>
      </c>
      <c r="I12" t="s">
        <v>3160</v>
      </c>
      <c r="J12" t="s">
        <v>3501</v>
      </c>
      <c r="K12" t="s">
        <v>564</v>
      </c>
    </row>
    <row r="13" spans="1:11" x14ac:dyDescent="0.25">
      <c r="A13" t="s">
        <v>3138</v>
      </c>
      <c r="B13" t="s">
        <v>3171</v>
      </c>
      <c r="C13">
        <v>10000</v>
      </c>
      <c r="D13">
        <v>501800000</v>
      </c>
      <c r="E13">
        <v>483100000</v>
      </c>
      <c r="F13" t="s">
        <v>3500</v>
      </c>
      <c r="G13">
        <v>2023</v>
      </c>
      <c r="H13" t="s">
        <v>3172</v>
      </c>
      <c r="I13" t="s">
        <v>3160</v>
      </c>
      <c r="J13" t="s">
        <v>3501</v>
      </c>
      <c r="K13" t="s">
        <v>564</v>
      </c>
    </row>
    <row r="14" spans="1:11" x14ac:dyDescent="0.25">
      <c r="A14" t="s">
        <v>3138</v>
      </c>
      <c r="B14" t="s">
        <v>3175</v>
      </c>
      <c r="C14">
        <v>5</v>
      </c>
      <c r="D14">
        <v>100000</v>
      </c>
      <c r="E14">
        <v>100000</v>
      </c>
      <c r="F14" t="s">
        <v>3502</v>
      </c>
      <c r="G14">
        <v>2023</v>
      </c>
      <c r="H14" t="s">
        <v>3176</v>
      </c>
      <c r="I14" t="s">
        <v>3160</v>
      </c>
      <c r="J14" t="s">
        <v>3503</v>
      </c>
      <c r="K14" t="s">
        <v>15</v>
      </c>
    </row>
    <row r="15" spans="1:11" x14ac:dyDescent="0.25">
      <c r="A15" t="s">
        <v>3138</v>
      </c>
      <c r="B15" t="s">
        <v>3175</v>
      </c>
      <c r="C15">
        <v>10</v>
      </c>
      <c r="D15">
        <v>100000</v>
      </c>
      <c r="E15">
        <v>100000</v>
      </c>
      <c r="F15" t="s">
        <v>3502</v>
      </c>
      <c r="G15">
        <v>2023</v>
      </c>
      <c r="H15" t="s">
        <v>3176</v>
      </c>
      <c r="I15" t="s">
        <v>3160</v>
      </c>
      <c r="J15" t="s">
        <v>3503</v>
      </c>
      <c r="K15" t="s">
        <v>15</v>
      </c>
    </row>
    <row r="16" spans="1:11" x14ac:dyDescent="0.25">
      <c r="A16" t="s">
        <v>3138</v>
      </c>
      <c r="B16" t="s">
        <v>3175</v>
      </c>
      <c r="C16">
        <v>25</v>
      </c>
      <c r="D16">
        <v>1100000</v>
      </c>
      <c r="E16">
        <v>1100000</v>
      </c>
      <c r="F16" t="s">
        <v>3502</v>
      </c>
      <c r="G16">
        <v>2023</v>
      </c>
      <c r="H16" t="s">
        <v>3176</v>
      </c>
      <c r="I16" t="s">
        <v>3160</v>
      </c>
      <c r="J16" t="s">
        <v>3503</v>
      </c>
      <c r="K16" t="s">
        <v>15</v>
      </c>
    </row>
    <row r="17" spans="1:11" x14ac:dyDescent="0.25">
      <c r="A17" t="s">
        <v>3138</v>
      </c>
      <c r="B17" t="s">
        <v>3175</v>
      </c>
      <c r="C17">
        <v>50</v>
      </c>
      <c r="D17">
        <v>5900000</v>
      </c>
      <c r="E17">
        <v>5800000</v>
      </c>
      <c r="F17" t="s">
        <v>3502</v>
      </c>
      <c r="G17">
        <v>2023</v>
      </c>
      <c r="H17" t="s">
        <v>3176</v>
      </c>
      <c r="I17" t="s">
        <v>3160</v>
      </c>
      <c r="J17" t="s">
        <v>3503</v>
      </c>
      <c r="K17" t="s">
        <v>15</v>
      </c>
    </row>
    <row r="18" spans="1:11" x14ac:dyDescent="0.25">
      <c r="A18" t="s">
        <v>3138</v>
      </c>
      <c r="B18" t="s">
        <v>3175</v>
      </c>
      <c r="C18">
        <v>100</v>
      </c>
      <c r="D18">
        <v>22300000</v>
      </c>
      <c r="E18">
        <v>22300000</v>
      </c>
      <c r="F18" t="s">
        <v>3502</v>
      </c>
      <c r="G18">
        <v>2023</v>
      </c>
      <c r="H18" t="s">
        <v>3176</v>
      </c>
      <c r="I18" t="s">
        <v>3160</v>
      </c>
      <c r="J18" t="s">
        <v>3503</v>
      </c>
      <c r="K18" t="s">
        <v>15</v>
      </c>
    </row>
    <row r="19" spans="1:11" x14ac:dyDescent="0.25">
      <c r="A19" t="s">
        <v>3138</v>
      </c>
      <c r="B19" t="s">
        <v>3175</v>
      </c>
      <c r="C19">
        <v>200</v>
      </c>
      <c r="D19">
        <v>64000000</v>
      </c>
      <c r="E19">
        <v>63700000</v>
      </c>
      <c r="F19" t="s">
        <v>3502</v>
      </c>
      <c r="G19">
        <v>2023</v>
      </c>
      <c r="H19" t="s">
        <v>3176</v>
      </c>
      <c r="I19" t="s">
        <v>3160</v>
      </c>
      <c r="J19" t="s">
        <v>3503</v>
      </c>
      <c r="K19" t="s">
        <v>15</v>
      </c>
    </row>
    <row r="20" spans="1:11" x14ac:dyDescent="0.25">
      <c r="A20" t="s">
        <v>3138</v>
      </c>
      <c r="B20" t="s">
        <v>3175</v>
      </c>
      <c r="C20">
        <v>250</v>
      </c>
      <c r="D20">
        <v>92500000</v>
      </c>
      <c r="E20">
        <v>90300000</v>
      </c>
      <c r="F20" t="s">
        <v>3502</v>
      </c>
      <c r="G20">
        <v>2023</v>
      </c>
      <c r="H20" t="s">
        <v>3176</v>
      </c>
      <c r="I20" t="s">
        <v>3160</v>
      </c>
      <c r="J20" t="s">
        <v>3503</v>
      </c>
      <c r="K20" t="s">
        <v>15</v>
      </c>
    </row>
    <row r="21" spans="1:11" x14ac:dyDescent="0.25">
      <c r="A21" t="s">
        <v>3138</v>
      </c>
      <c r="B21" t="s">
        <v>3175</v>
      </c>
      <c r="C21">
        <v>500</v>
      </c>
      <c r="D21">
        <v>176500000</v>
      </c>
      <c r="E21">
        <v>175200000</v>
      </c>
      <c r="F21" t="s">
        <v>3502</v>
      </c>
      <c r="G21">
        <v>2023</v>
      </c>
      <c r="H21" t="s">
        <v>3176</v>
      </c>
      <c r="I21" t="s">
        <v>3160</v>
      </c>
      <c r="J21" t="s">
        <v>3503</v>
      </c>
      <c r="K21" t="s">
        <v>15</v>
      </c>
    </row>
    <row r="22" spans="1:11" x14ac:dyDescent="0.25">
      <c r="A22" t="s">
        <v>3138</v>
      </c>
      <c r="B22" t="s">
        <v>3175</v>
      </c>
      <c r="C22">
        <v>1000</v>
      </c>
      <c r="D22">
        <v>285000000</v>
      </c>
      <c r="E22">
        <v>283100000</v>
      </c>
      <c r="F22" t="s">
        <v>3502</v>
      </c>
      <c r="G22">
        <v>2023</v>
      </c>
      <c r="H22" t="s">
        <v>3176</v>
      </c>
      <c r="I22" t="s">
        <v>3160</v>
      </c>
      <c r="J22" t="s">
        <v>3503</v>
      </c>
      <c r="K22" t="s">
        <v>15</v>
      </c>
    </row>
    <row r="23" spans="1:11" x14ac:dyDescent="0.25">
      <c r="A23" t="s">
        <v>3138</v>
      </c>
      <c r="B23" t="s">
        <v>3175</v>
      </c>
      <c r="C23">
        <v>5000</v>
      </c>
      <c r="D23">
        <v>650600000</v>
      </c>
      <c r="E23">
        <v>650600000</v>
      </c>
      <c r="F23" t="s">
        <v>3502</v>
      </c>
      <c r="G23">
        <v>2023</v>
      </c>
      <c r="H23" t="s">
        <v>3176</v>
      </c>
      <c r="I23" t="s">
        <v>3160</v>
      </c>
      <c r="J23" t="s">
        <v>3503</v>
      </c>
      <c r="K23" t="s">
        <v>15</v>
      </c>
    </row>
    <row r="24" spans="1:11" x14ac:dyDescent="0.25">
      <c r="A24" t="s">
        <v>3138</v>
      </c>
      <c r="B24" t="s">
        <v>3175</v>
      </c>
      <c r="C24">
        <v>10000</v>
      </c>
      <c r="D24">
        <v>919500000</v>
      </c>
      <c r="E24">
        <v>919500000</v>
      </c>
      <c r="F24" t="s">
        <v>3502</v>
      </c>
      <c r="G24">
        <v>2023</v>
      </c>
      <c r="H24" t="s">
        <v>3176</v>
      </c>
      <c r="I24" t="s">
        <v>3160</v>
      </c>
      <c r="J24" t="s">
        <v>3503</v>
      </c>
      <c r="K24" t="s">
        <v>15</v>
      </c>
    </row>
    <row r="25" spans="1:11" x14ac:dyDescent="0.25">
      <c r="A25" t="s">
        <v>3138</v>
      </c>
      <c r="B25" t="s">
        <v>3178</v>
      </c>
      <c r="C25">
        <v>2</v>
      </c>
      <c r="D25">
        <v>2400000</v>
      </c>
      <c r="E25">
        <v>1800000</v>
      </c>
      <c r="F25" t="s">
        <v>3508</v>
      </c>
      <c r="G25">
        <v>2023</v>
      </c>
      <c r="H25" t="s">
        <v>3179</v>
      </c>
      <c r="I25" t="s">
        <v>3160</v>
      </c>
      <c r="J25" t="s">
        <v>3509</v>
      </c>
      <c r="K25" t="s">
        <v>564</v>
      </c>
    </row>
    <row r="26" spans="1:11" x14ac:dyDescent="0.25">
      <c r="A26" t="s">
        <v>3138</v>
      </c>
      <c r="B26" t="s">
        <v>3178</v>
      </c>
      <c r="C26">
        <v>5</v>
      </c>
      <c r="D26">
        <v>16300000</v>
      </c>
      <c r="E26">
        <v>13600000</v>
      </c>
      <c r="F26" t="s">
        <v>3508</v>
      </c>
      <c r="G26">
        <v>2023</v>
      </c>
      <c r="H26" t="s">
        <v>3179</v>
      </c>
      <c r="I26" t="s">
        <v>3160</v>
      </c>
      <c r="J26" t="s">
        <v>3509</v>
      </c>
      <c r="K26" t="s">
        <v>564</v>
      </c>
    </row>
    <row r="27" spans="1:11" x14ac:dyDescent="0.25">
      <c r="A27" t="s">
        <v>3138</v>
      </c>
      <c r="B27" t="s">
        <v>3178</v>
      </c>
      <c r="C27">
        <v>10</v>
      </c>
      <c r="D27">
        <v>54900000</v>
      </c>
      <c r="E27">
        <v>49000000</v>
      </c>
      <c r="F27" t="s">
        <v>3508</v>
      </c>
      <c r="G27">
        <v>2023</v>
      </c>
      <c r="H27" t="s">
        <v>3179</v>
      </c>
      <c r="I27" t="s">
        <v>3160</v>
      </c>
      <c r="J27" t="s">
        <v>3509</v>
      </c>
      <c r="K27" t="s">
        <v>564</v>
      </c>
    </row>
    <row r="28" spans="1:11" x14ac:dyDescent="0.25">
      <c r="A28" t="s">
        <v>3138</v>
      </c>
      <c r="B28" t="s">
        <v>3178</v>
      </c>
      <c r="C28">
        <v>25</v>
      </c>
      <c r="D28">
        <v>190100000</v>
      </c>
      <c r="E28">
        <v>180500000</v>
      </c>
      <c r="F28" t="s">
        <v>3508</v>
      </c>
      <c r="G28">
        <v>2023</v>
      </c>
      <c r="H28" t="s">
        <v>3179</v>
      </c>
      <c r="I28" t="s">
        <v>3160</v>
      </c>
      <c r="J28" t="s">
        <v>3509</v>
      </c>
      <c r="K28" t="s">
        <v>564</v>
      </c>
    </row>
    <row r="29" spans="1:11" x14ac:dyDescent="0.25">
      <c r="A29" t="s">
        <v>3138</v>
      </c>
      <c r="B29" t="s">
        <v>3178</v>
      </c>
      <c r="C29">
        <v>50</v>
      </c>
      <c r="D29">
        <v>320900000</v>
      </c>
      <c r="E29">
        <v>305600000</v>
      </c>
      <c r="F29" t="s">
        <v>3508</v>
      </c>
      <c r="G29">
        <v>2023</v>
      </c>
      <c r="H29" t="s">
        <v>3179</v>
      </c>
      <c r="I29" t="s">
        <v>3160</v>
      </c>
      <c r="J29" t="s">
        <v>3509</v>
      </c>
      <c r="K29" t="s">
        <v>564</v>
      </c>
    </row>
    <row r="30" spans="1:11" x14ac:dyDescent="0.25">
      <c r="A30" t="s">
        <v>3138</v>
      </c>
      <c r="B30" t="s">
        <v>3178</v>
      </c>
      <c r="C30">
        <v>100</v>
      </c>
      <c r="D30">
        <v>465300000</v>
      </c>
      <c r="E30">
        <v>432200000</v>
      </c>
      <c r="F30" t="s">
        <v>3508</v>
      </c>
      <c r="G30">
        <v>2023</v>
      </c>
      <c r="H30" t="s">
        <v>3179</v>
      </c>
      <c r="I30" t="s">
        <v>3160</v>
      </c>
      <c r="J30" t="s">
        <v>3509</v>
      </c>
      <c r="K30" t="s">
        <v>564</v>
      </c>
    </row>
    <row r="31" spans="1:11" x14ac:dyDescent="0.25">
      <c r="A31" t="s">
        <v>3138</v>
      </c>
      <c r="B31" t="s">
        <v>3178</v>
      </c>
      <c r="C31">
        <v>200</v>
      </c>
      <c r="D31">
        <v>626700000</v>
      </c>
      <c r="E31">
        <v>593200000</v>
      </c>
      <c r="F31" t="s">
        <v>3508</v>
      </c>
      <c r="G31">
        <v>2023</v>
      </c>
      <c r="H31" t="s">
        <v>3179</v>
      </c>
      <c r="I31" t="s">
        <v>3160</v>
      </c>
      <c r="J31" t="s">
        <v>3509</v>
      </c>
      <c r="K31" t="s">
        <v>564</v>
      </c>
    </row>
    <row r="32" spans="1:11" x14ac:dyDescent="0.25">
      <c r="A32" t="s">
        <v>3138</v>
      </c>
      <c r="B32" t="s">
        <v>3178</v>
      </c>
      <c r="C32">
        <v>250</v>
      </c>
      <c r="D32">
        <v>665500000</v>
      </c>
      <c r="E32">
        <v>641600000</v>
      </c>
      <c r="F32" t="s">
        <v>3508</v>
      </c>
      <c r="G32">
        <v>2023</v>
      </c>
      <c r="H32" t="s">
        <v>3179</v>
      </c>
      <c r="I32" t="s">
        <v>3160</v>
      </c>
      <c r="J32" t="s">
        <v>3509</v>
      </c>
      <c r="K32" t="s">
        <v>564</v>
      </c>
    </row>
    <row r="33" spans="1:11" x14ac:dyDescent="0.25">
      <c r="A33" t="s">
        <v>3138</v>
      </c>
      <c r="B33" t="s">
        <v>3178</v>
      </c>
      <c r="C33">
        <v>500</v>
      </c>
      <c r="D33">
        <v>816200000</v>
      </c>
      <c r="E33">
        <v>786500000</v>
      </c>
      <c r="F33" t="s">
        <v>3508</v>
      </c>
      <c r="G33">
        <v>2023</v>
      </c>
      <c r="H33" t="s">
        <v>3179</v>
      </c>
      <c r="I33" t="s">
        <v>3160</v>
      </c>
      <c r="J33" t="s">
        <v>3509</v>
      </c>
      <c r="K33" t="s">
        <v>564</v>
      </c>
    </row>
    <row r="34" spans="1:11" x14ac:dyDescent="0.25">
      <c r="A34" t="s">
        <v>3138</v>
      </c>
      <c r="B34" t="s">
        <v>3178</v>
      </c>
      <c r="C34">
        <v>1000</v>
      </c>
      <c r="D34">
        <v>987700000</v>
      </c>
      <c r="E34">
        <v>956700000</v>
      </c>
      <c r="F34" t="s">
        <v>3508</v>
      </c>
      <c r="G34">
        <v>2023</v>
      </c>
      <c r="H34" t="s">
        <v>3179</v>
      </c>
      <c r="I34" t="s">
        <v>3160</v>
      </c>
      <c r="J34" t="s">
        <v>3509</v>
      </c>
      <c r="K34" t="s">
        <v>564</v>
      </c>
    </row>
    <row r="35" spans="1:11" x14ac:dyDescent="0.25">
      <c r="A35" t="s">
        <v>3138</v>
      </c>
      <c r="B35" t="s">
        <v>3178</v>
      </c>
      <c r="C35">
        <v>5000</v>
      </c>
      <c r="D35">
        <v>1412000000</v>
      </c>
      <c r="E35">
        <v>1282500000</v>
      </c>
      <c r="F35" t="s">
        <v>3508</v>
      </c>
      <c r="G35">
        <v>2023</v>
      </c>
      <c r="H35" t="s">
        <v>3179</v>
      </c>
      <c r="I35" t="s">
        <v>3160</v>
      </c>
      <c r="J35" t="s">
        <v>3509</v>
      </c>
      <c r="K35" t="s">
        <v>564</v>
      </c>
    </row>
    <row r="36" spans="1:11" x14ac:dyDescent="0.25">
      <c r="A36" t="s">
        <v>3138</v>
      </c>
      <c r="B36" t="s">
        <v>3178</v>
      </c>
      <c r="C36">
        <v>10000</v>
      </c>
      <c r="D36">
        <v>1658000000</v>
      </c>
      <c r="E36">
        <v>1655500000</v>
      </c>
      <c r="F36" t="s">
        <v>3508</v>
      </c>
      <c r="G36">
        <v>2023</v>
      </c>
      <c r="H36" t="s">
        <v>3179</v>
      </c>
      <c r="I36" t="s">
        <v>3160</v>
      </c>
      <c r="J36" t="s">
        <v>3509</v>
      </c>
      <c r="K36" t="s">
        <v>564</v>
      </c>
    </row>
    <row r="37" spans="1:11" x14ac:dyDescent="0.25">
      <c r="A37" t="s">
        <v>3138</v>
      </c>
      <c r="B37" t="s">
        <v>3180</v>
      </c>
      <c r="C37">
        <v>5</v>
      </c>
      <c r="D37">
        <v>100000</v>
      </c>
      <c r="E37">
        <v>100000</v>
      </c>
      <c r="F37" t="s">
        <v>3514</v>
      </c>
      <c r="G37">
        <v>2023</v>
      </c>
      <c r="H37" t="s">
        <v>3181</v>
      </c>
      <c r="I37" t="s">
        <v>3160</v>
      </c>
      <c r="J37" t="s">
        <v>3515</v>
      </c>
      <c r="K37" t="s">
        <v>15</v>
      </c>
    </row>
    <row r="38" spans="1:11" x14ac:dyDescent="0.25">
      <c r="A38" t="s">
        <v>3138</v>
      </c>
      <c r="B38" t="s">
        <v>3180</v>
      </c>
      <c r="C38">
        <v>10</v>
      </c>
      <c r="D38">
        <v>100000</v>
      </c>
      <c r="E38">
        <v>100000</v>
      </c>
      <c r="F38" t="s">
        <v>3514</v>
      </c>
      <c r="G38">
        <v>2023</v>
      </c>
      <c r="H38" t="s">
        <v>3181</v>
      </c>
      <c r="I38" t="s">
        <v>3160</v>
      </c>
      <c r="J38" t="s">
        <v>3515</v>
      </c>
      <c r="K38" t="s">
        <v>15</v>
      </c>
    </row>
    <row r="39" spans="1:11" x14ac:dyDescent="0.25">
      <c r="A39" t="s">
        <v>3138</v>
      </c>
      <c r="B39" t="s">
        <v>3180</v>
      </c>
      <c r="C39">
        <v>25</v>
      </c>
      <c r="D39">
        <v>800000</v>
      </c>
      <c r="E39">
        <v>800000</v>
      </c>
      <c r="F39" t="s">
        <v>3514</v>
      </c>
      <c r="G39">
        <v>2023</v>
      </c>
      <c r="H39" t="s">
        <v>3181</v>
      </c>
      <c r="I39" t="s">
        <v>3160</v>
      </c>
      <c r="J39" t="s">
        <v>3515</v>
      </c>
      <c r="K39" t="s">
        <v>15</v>
      </c>
    </row>
    <row r="40" spans="1:11" x14ac:dyDescent="0.25">
      <c r="A40" t="s">
        <v>3138</v>
      </c>
      <c r="B40" t="s">
        <v>3180</v>
      </c>
      <c r="C40">
        <v>50</v>
      </c>
      <c r="D40">
        <v>2300000</v>
      </c>
      <c r="E40">
        <v>2300000</v>
      </c>
      <c r="F40" t="s">
        <v>3514</v>
      </c>
      <c r="G40">
        <v>2023</v>
      </c>
      <c r="H40" t="s">
        <v>3181</v>
      </c>
      <c r="I40" t="s">
        <v>3160</v>
      </c>
      <c r="J40" t="s">
        <v>3515</v>
      </c>
      <c r="K40" t="s">
        <v>15</v>
      </c>
    </row>
    <row r="41" spans="1:11" x14ac:dyDescent="0.25">
      <c r="A41" t="s">
        <v>3138</v>
      </c>
      <c r="B41" t="s">
        <v>3180</v>
      </c>
      <c r="C41">
        <v>100</v>
      </c>
      <c r="D41">
        <v>5300000</v>
      </c>
      <c r="E41">
        <v>5200000</v>
      </c>
      <c r="F41" t="s">
        <v>3514</v>
      </c>
      <c r="G41">
        <v>2023</v>
      </c>
      <c r="H41" t="s">
        <v>3181</v>
      </c>
      <c r="I41" t="s">
        <v>3160</v>
      </c>
      <c r="J41" t="s">
        <v>3515</v>
      </c>
      <c r="K41" t="s">
        <v>15</v>
      </c>
    </row>
    <row r="42" spans="1:11" x14ac:dyDescent="0.25">
      <c r="A42" t="s">
        <v>3138</v>
      </c>
      <c r="B42" t="s">
        <v>3180</v>
      </c>
      <c r="C42">
        <v>200</v>
      </c>
      <c r="D42">
        <v>9400000</v>
      </c>
      <c r="E42">
        <v>9300000</v>
      </c>
      <c r="F42" t="s">
        <v>3514</v>
      </c>
      <c r="G42">
        <v>2023</v>
      </c>
      <c r="H42" t="s">
        <v>3181</v>
      </c>
      <c r="I42" t="s">
        <v>3160</v>
      </c>
      <c r="J42" t="s">
        <v>3515</v>
      </c>
      <c r="K42" t="s">
        <v>15</v>
      </c>
    </row>
    <row r="43" spans="1:11" x14ac:dyDescent="0.25">
      <c r="A43" t="s">
        <v>3138</v>
      </c>
      <c r="B43" t="s">
        <v>3180</v>
      </c>
      <c r="C43">
        <v>250</v>
      </c>
      <c r="D43">
        <v>11300000</v>
      </c>
      <c r="E43">
        <v>11200000</v>
      </c>
      <c r="F43" t="s">
        <v>3514</v>
      </c>
      <c r="G43">
        <v>2023</v>
      </c>
      <c r="H43" t="s">
        <v>3181</v>
      </c>
      <c r="I43" t="s">
        <v>3160</v>
      </c>
      <c r="J43" t="s">
        <v>3515</v>
      </c>
      <c r="K43" t="s">
        <v>15</v>
      </c>
    </row>
    <row r="44" spans="1:11" x14ac:dyDescent="0.25">
      <c r="A44" t="s">
        <v>3138</v>
      </c>
      <c r="B44" t="s">
        <v>3180</v>
      </c>
      <c r="C44">
        <v>500</v>
      </c>
      <c r="D44">
        <v>17300000</v>
      </c>
      <c r="E44">
        <v>17000000</v>
      </c>
      <c r="F44" t="s">
        <v>3514</v>
      </c>
      <c r="G44">
        <v>2023</v>
      </c>
      <c r="H44" t="s">
        <v>3181</v>
      </c>
      <c r="I44" t="s">
        <v>3160</v>
      </c>
      <c r="J44" t="s">
        <v>3515</v>
      </c>
      <c r="K44" t="s">
        <v>15</v>
      </c>
    </row>
    <row r="45" spans="1:11" x14ac:dyDescent="0.25">
      <c r="A45" t="s">
        <v>3138</v>
      </c>
      <c r="B45" t="s">
        <v>3180</v>
      </c>
      <c r="C45">
        <v>1000</v>
      </c>
      <c r="D45">
        <v>26300000</v>
      </c>
      <c r="E45">
        <v>26300000</v>
      </c>
      <c r="F45" t="s">
        <v>3514</v>
      </c>
      <c r="G45">
        <v>2023</v>
      </c>
      <c r="H45" t="s">
        <v>3181</v>
      </c>
      <c r="I45" t="s">
        <v>3160</v>
      </c>
      <c r="J45" t="s">
        <v>3515</v>
      </c>
      <c r="K45" t="s">
        <v>15</v>
      </c>
    </row>
    <row r="46" spans="1:11" x14ac:dyDescent="0.25">
      <c r="A46" t="s">
        <v>3138</v>
      </c>
      <c r="B46" t="s">
        <v>3180</v>
      </c>
      <c r="C46">
        <v>5000</v>
      </c>
      <c r="D46">
        <v>49900000</v>
      </c>
      <c r="E46">
        <v>49900000</v>
      </c>
      <c r="F46" t="s">
        <v>3514</v>
      </c>
      <c r="G46">
        <v>2023</v>
      </c>
      <c r="H46" t="s">
        <v>3181</v>
      </c>
      <c r="I46" t="s">
        <v>3160</v>
      </c>
      <c r="J46" t="s">
        <v>3515</v>
      </c>
      <c r="K46" t="s">
        <v>15</v>
      </c>
    </row>
    <row r="47" spans="1:11" x14ac:dyDescent="0.25">
      <c r="A47" t="s">
        <v>3138</v>
      </c>
      <c r="B47" t="s">
        <v>3180</v>
      </c>
      <c r="C47">
        <v>10000</v>
      </c>
      <c r="D47">
        <v>61700000</v>
      </c>
      <c r="E47">
        <v>61700000</v>
      </c>
      <c r="F47" t="s">
        <v>3514</v>
      </c>
      <c r="G47">
        <v>2023</v>
      </c>
      <c r="H47" t="s">
        <v>3181</v>
      </c>
      <c r="I47" t="s">
        <v>3160</v>
      </c>
      <c r="J47" t="s">
        <v>3515</v>
      </c>
      <c r="K47" t="s">
        <v>15</v>
      </c>
    </row>
    <row r="48" spans="1:11" x14ac:dyDescent="0.25">
      <c r="A48" t="s">
        <v>3138</v>
      </c>
      <c r="B48" t="s">
        <v>3182</v>
      </c>
      <c r="C48">
        <v>2</v>
      </c>
      <c r="D48">
        <v>100000</v>
      </c>
      <c r="E48">
        <v>100000</v>
      </c>
      <c r="F48" t="s">
        <v>3516</v>
      </c>
      <c r="G48">
        <v>2023</v>
      </c>
      <c r="H48" t="s">
        <v>3183</v>
      </c>
      <c r="I48" t="s">
        <v>3160</v>
      </c>
      <c r="J48" t="s">
        <v>3517</v>
      </c>
      <c r="K48" t="s">
        <v>481</v>
      </c>
    </row>
    <row r="49" spans="1:11" x14ac:dyDescent="0.25">
      <c r="A49" t="s">
        <v>3138</v>
      </c>
      <c r="B49" t="s">
        <v>3182</v>
      </c>
      <c r="C49">
        <v>5</v>
      </c>
      <c r="D49">
        <v>1900000</v>
      </c>
      <c r="E49">
        <v>1700000</v>
      </c>
      <c r="F49" t="s">
        <v>3516</v>
      </c>
      <c r="G49">
        <v>2023</v>
      </c>
      <c r="H49" t="s">
        <v>3183</v>
      </c>
      <c r="I49" t="s">
        <v>3160</v>
      </c>
      <c r="J49" t="s">
        <v>3517</v>
      </c>
      <c r="K49" t="s">
        <v>481</v>
      </c>
    </row>
    <row r="50" spans="1:11" x14ac:dyDescent="0.25">
      <c r="A50" t="s">
        <v>3138</v>
      </c>
      <c r="B50" t="s">
        <v>3182</v>
      </c>
      <c r="C50">
        <v>10</v>
      </c>
      <c r="D50">
        <v>4900000</v>
      </c>
      <c r="E50">
        <v>4400000</v>
      </c>
      <c r="F50" t="s">
        <v>3516</v>
      </c>
      <c r="G50">
        <v>2023</v>
      </c>
      <c r="H50" t="s">
        <v>3183</v>
      </c>
      <c r="I50" t="s">
        <v>3160</v>
      </c>
      <c r="J50" t="s">
        <v>3517</v>
      </c>
      <c r="K50" t="s">
        <v>481</v>
      </c>
    </row>
    <row r="51" spans="1:11" x14ac:dyDescent="0.25">
      <c r="A51" t="s">
        <v>3138</v>
      </c>
      <c r="B51" t="s">
        <v>3182</v>
      </c>
      <c r="C51">
        <v>25</v>
      </c>
      <c r="D51">
        <v>10600000</v>
      </c>
      <c r="E51">
        <v>9700000</v>
      </c>
      <c r="F51" t="s">
        <v>3516</v>
      </c>
      <c r="G51">
        <v>2023</v>
      </c>
      <c r="H51" t="s">
        <v>3183</v>
      </c>
      <c r="I51" t="s">
        <v>3160</v>
      </c>
      <c r="J51" t="s">
        <v>3517</v>
      </c>
      <c r="K51" t="s">
        <v>481</v>
      </c>
    </row>
    <row r="52" spans="1:11" x14ac:dyDescent="0.25">
      <c r="A52" t="s">
        <v>3138</v>
      </c>
      <c r="B52" t="s">
        <v>3182</v>
      </c>
      <c r="C52">
        <v>50</v>
      </c>
      <c r="D52">
        <v>15600000</v>
      </c>
      <c r="E52">
        <v>14400000</v>
      </c>
      <c r="F52" t="s">
        <v>3516</v>
      </c>
      <c r="G52">
        <v>2023</v>
      </c>
      <c r="H52" t="s">
        <v>3183</v>
      </c>
      <c r="I52" t="s">
        <v>3160</v>
      </c>
      <c r="J52" t="s">
        <v>3517</v>
      </c>
      <c r="K52" t="s">
        <v>481</v>
      </c>
    </row>
    <row r="53" spans="1:11" x14ac:dyDescent="0.25">
      <c r="A53" t="s">
        <v>3138</v>
      </c>
      <c r="B53" t="s">
        <v>3182</v>
      </c>
      <c r="C53">
        <v>100</v>
      </c>
      <c r="D53">
        <v>20900000</v>
      </c>
      <c r="E53">
        <v>19200000</v>
      </c>
      <c r="F53" t="s">
        <v>3516</v>
      </c>
      <c r="G53">
        <v>2023</v>
      </c>
      <c r="H53" t="s">
        <v>3183</v>
      </c>
      <c r="I53" t="s">
        <v>3160</v>
      </c>
      <c r="J53" t="s">
        <v>3517</v>
      </c>
      <c r="K53" t="s">
        <v>481</v>
      </c>
    </row>
    <row r="54" spans="1:11" x14ac:dyDescent="0.25">
      <c r="A54" t="s">
        <v>3138</v>
      </c>
      <c r="B54" t="s">
        <v>3182</v>
      </c>
      <c r="C54">
        <v>200</v>
      </c>
      <c r="D54">
        <v>25600000</v>
      </c>
      <c r="E54">
        <v>23600000</v>
      </c>
      <c r="F54" t="s">
        <v>3516</v>
      </c>
      <c r="G54">
        <v>2023</v>
      </c>
      <c r="H54" t="s">
        <v>3183</v>
      </c>
      <c r="I54" t="s">
        <v>3160</v>
      </c>
      <c r="J54" t="s">
        <v>3517</v>
      </c>
      <c r="K54" t="s">
        <v>481</v>
      </c>
    </row>
    <row r="55" spans="1:11" x14ac:dyDescent="0.25">
      <c r="A55" t="s">
        <v>3138</v>
      </c>
      <c r="B55" t="s">
        <v>3182</v>
      </c>
      <c r="C55">
        <v>250</v>
      </c>
      <c r="D55">
        <v>27300000</v>
      </c>
      <c r="E55">
        <v>25400000</v>
      </c>
      <c r="F55" t="s">
        <v>3516</v>
      </c>
      <c r="G55">
        <v>2023</v>
      </c>
      <c r="H55" t="s">
        <v>3183</v>
      </c>
      <c r="I55" t="s">
        <v>3160</v>
      </c>
      <c r="J55" t="s">
        <v>3517</v>
      </c>
      <c r="K55" t="s">
        <v>481</v>
      </c>
    </row>
    <row r="56" spans="1:11" x14ac:dyDescent="0.25">
      <c r="A56" t="s">
        <v>3138</v>
      </c>
      <c r="B56" t="s">
        <v>3182</v>
      </c>
      <c r="C56">
        <v>500</v>
      </c>
      <c r="D56">
        <v>34000000</v>
      </c>
      <c r="E56">
        <v>31500000</v>
      </c>
      <c r="F56" t="s">
        <v>3516</v>
      </c>
      <c r="G56">
        <v>2023</v>
      </c>
      <c r="H56" t="s">
        <v>3183</v>
      </c>
      <c r="I56" t="s">
        <v>3160</v>
      </c>
      <c r="J56" t="s">
        <v>3517</v>
      </c>
      <c r="K56" t="s">
        <v>481</v>
      </c>
    </row>
    <row r="57" spans="1:11" x14ac:dyDescent="0.25">
      <c r="A57" t="s">
        <v>3138</v>
      </c>
      <c r="B57" t="s">
        <v>3182</v>
      </c>
      <c r="C57">
        <v>1000</v>
      </c>
      <c r="D57">
        <v>39100000</v>
      </c>
      <c r="E57">
        <v>37000000</v>
      </c>
      <c r="F57" t="s">
        <v>3516</v>
      </c>
      <c r="G57">
        <v>2023</v>
      </c>
      <c r="H57" t="s">
        <v>3183</v>
      </c>
      <c r="I57" t="s">
        <v>3160</v>
      </c>
      <c r="J57" t="s">
        <v>3517</v>
      </c>
      <c r="K57" t="s">
        <v>481</v>
      </c>
    </row>
    <row r="58" spans="1:11" x14ac:dyDescent="0.25">
      <c r="A58" t="s">
        <v>3138</v>
      </c>
      <c r="B58" t="s">
        <v>3182</v>
      </c>
      <c r="C58">
        <v>5000</v>
      </c>
      <c r="D58">
        <v>53100000</v>
      </c>
      <c r="E58">
        <v>50800000</v>
      </c>
      <c r="F58" t="s">
        <v>3516</v>
      </c>
      <c r="G58">
        <v>2023</v>
      </c>
      <c r="H58" t="s">
        <v>3183</v>
      </c>
      <c r="I58" t="s">
        <v>3160</v>
      </c>
      <c r="J58" t="s">
        <v>3517</v>
      </c>
      <c r="K58" t="s">
        <v>481</v>
      </c>
    </row>
    <row r="59" spans="1:11" x14ac:dyDescent="0.25">
      <c r="A59" t="s">
        <v>3138</v>
      </c>
      <c r="B59" t="s">
        <v>3182</v>
      </c>
      <c r="C59">
        <v>10000</v>
      </c>
      <c r="D59">
        <v>57300000</v>
      </c>
      <c r="E59">
        <v>54500000</v>
      </c>
      <c r="F59" t="s">
        <v>3516</v>
      </c>
      <c r="G59">
        <v>2023</v>
      </c>
      <c r="H59" t="s">
        <v>3183</v>
      </c>
      <c r="I59" t="s">
        <v>3160</v>
      </c>
      <c r="J59" t="s">
        <v>3517</v>
      </c>
      <c r="K59" t="s">
        <v>481</v>
      </c>
    </row>
    <row r="60" spans="1:11" x14ac:dyDescent="0.25">
      <c r="A60" t="s">
        <v>3138</v>
      </c>
      <c r="B60" t="s">
        <v>3185</v>
      </c>
      <c r="C60">
        <v>2</v>
      </c>
      <c r="D60">
        <v>1900000</v>
      </c>
      <c r="E60">
        <v>1200000</v>
      </c>
      <c r="F60" t="s">
        <v>3518</v>
      </c>
      <c r="G60">
        <v>2023</v>
      </c>
      <c r="H60" t="s">
        <v>3186</v>
      </c>
      <c r="I60" t="s">
        <v>3160</v>
      </c>
      <c r="J60" t="s">
        <v>3519</v>
      </c>
      <c r="K60" t="s">
        <v>13</v>
      </c>
    </row>
    <row r="61" spans="1:11" x14ac:dyDescent="0.25">
      <c r="A61" t="s">
        <v>3138</v>
      </c>
      <c r="B61" t="s">
        <v>3185</v>
      </c>
      <c r="C61">
        <v>5</v>
      </c>
      <c r="D61">
        <v>5800000</v>
      </c>
      <c r="E61">
        <v>4000000</v>
      </c>
      <c r="F61" t="s">
        <v>3518</v>
      </c>
      <c r="G61">
        <v>2023</v>
      </c>
      <c r="H61" t="s">
        <v>3186</v>
      </c>
      <c r="I61" t="s">
        <v>3160</v>
      </c>
      <c r="J61" t="s">
        <v>3519</v>
      </c>
      <c r="K61" t="s">
        <v>13</v>
      </c>
    </row>
    <row r="62" spans="1:11" x14ac:dyDescent="0.25">
      <c r="A62" t="s">
        <v>3138</v>
      </c>
      <c r="B62" t="s">
        <v>3185</v>
      </c>
      <c r="C62">
        <v>10</v>
      </c>
      <c r="D62">
        <v>10300000</v>
      </c>
      <c r="E62">
        <v>7700000</v>
      </c>
      <c r="F62" t="s">
        <v>3518</v>
      </c>
      <c r="G62">
        <v>2023</v>
      </c>
      <c r="H62" t="s">
        <v>3186</v>
      </c>
      <c r="I62" t="s">
        <v>3160</v>
      </c>
      <c r="J62" t="s">
        <v>3519</v>
      </c>
      <c r="K62" t="s">
        <v>13</v>
      </c>
    </row>
    <row r="63" spans="1:11" x14ac:dyDescent="0.25">
      <c r="A63" t="s">
        <v>3138</v>
      </c>
      <c r="B63" t="s">
        <v>3185</v>
      </c>
      <c r="C63">
        <v>25</v>
      </c>
      <c r="D63">
        <v>20000000</v>
      </c>
      <c r="E63">
        <v>16300000</v>
      </c>
      <c r="F63" t="s">
        <v>3518</v>
      </c>
      <c r="G63">
        <v>2023</v>
      </c>
      <c r="H63" t="s">
        <v>3186</v>
      </c>
      <c r="I63" t="s">
        <v>3160</v>
      </c>
      <c r="J63" t="s">
        <v>3519</v>
      </c>
      <c r="K63" t="s">
        <v>13</v>
      </c>
    </row>
    <row r="64" spans="1:11" x14ac:dyDescent="0.25">
      <c r="A64" t="s">
        <v>3138</v>
      </c>
      <c r="B64" t="s">
        <v>3185</v>
      </c>
      <c r="C64">
        <v>50</v>
      </c>
      <c r="D64">
        <v>33200000</v>
      </c>
      <c r="E64">
        <v>29300000</v>
      </c>
      <c r="F64" t="s">
        <v>3518</v>
      </c>
      <c r="G64">
        <v>2023</v>
      </c>
      <c r="H64" t="s">
        <v>3186</v>
      </c>
      <c r="I64" t="s">
        <v>3160</v>
      </c>
      <c r="J64" t="s">
        <v>3519</v>
      </c>
      <c r="K64" t="s">
        <v>13</v>
      </c>
    </row>
    <row r="65" spans="1:11" x14ac:dyDescent="0.25">
      <c r="A65" t="s">
        <v>3138</v>
      </c>
      <c r="B65" t="s">
        <v>3185</v>
      </c>
      <c r="C65">
        <v>100</v>
      </c>
      <c r="D65">
        <v>52700000</v>
      </c>
      <c r="E65">
        <v>48500000</v>
      </c>
      <c r="F65" t="s">
        <v>3518</v>
      </c>
      <c r="G65">
        <v>2023</v>
      </c>
      <c r="H65" t="s">
        <v>3186</v>
      </c>
      <c r="I65" t="s">
        <v>3160</v>
      </c>
      <c r="J65" t="s">
        <v>3519</v>
      </c>
      <c r="K65" t="s">
        <v>13</v>
      </c>
    </row>
    <row r="66" spans="1:11" x14ac:dyDescent="0.25">
      <c r="A66" t="s">
        <v>3138</v>
      </c>
      <c r="B66" t="s">
        <v>3185</v>
      </c>
      <c r="C66">
        <v>200</v>
      </c>
      <c r="D66">
        <v>78200000</v>
      </c>
      <c r="E66">
        <v>74400000</v>
      </c>
      <c r="F66" t="s">
        <v>3518</v>
      </c>
      <c r="G66">
        <v>2023</v>
      </c>
      <c r="H66" t="s">
        <v>3186</v>
      </c>
      <c r="I66" t="s">
        <v>3160</v>
      </c>
      <c r="J66" t="s">
        <v>3519</v>
      </c>
      <c r="K66" t="s">
        <v>13</v>
      </c>
    </row>
    <row r="67" spans="1:11" x14ac:dyDescent="0.25">
      <c r="A67" t="s">
        <v>3138</v>
      </c>
      <c r="B67" t="s">
        <v>3185</v>
      </c>
      <c r="C67">
        <v>250</v>
      </c>
      <c r="D67">
        <v>87300000</v>
      </c>
      <c r="E67">
        <v>82600000</v>
      </c>
      <c r="F67" t="s">
        <v>3518</v>
      </c>
      <c r="G67">
        <v>2023</v>
      </c>
      <c r="H67" t="s">
        <v>3186</v>
      </c>
      <c r="I67" t="s">
        <v>3160</v>
      </c>
      <c r="J67" t="s">
        <v>3519</v>
      </c>
      <c r="K67" t="s">
        <v>13</v>
      </c>
    </row>
    <row r="68" spans="1:11" x14ac:dyDescent="0.25">
      <c r="A68" t="s">
        <v>3138</v>
      </c>
      <c r="B68" t="s">
        <v>3185</v>
      </c>
      <c r="C68">
        <v>500</v>
      </c>
      <c r="D68">
        <v>120100000</v>
      </c>
      <c r="E68">
        <v>114200000</v>
      </c>
      <c r="F68" t="s">
        <v>3518</v>
      </c>
      <c r="G68">
        <v>2023</v>
      </c>
      <c r="H68" t="s">
        <v>3186</v>
      </c>
      <c r="I68" t="s">
        <v>3160</v>
      </c>
      <c r="J68" t="s">
        <v>3519</v>
      </c>
      <c r="K68" t="s">
        <v>13</v>
      </c>
    </row>
    <row r="69" spans="1:11" x14ac:dyDescent="0.25">
      <c r="A69" t="s">
        <v>3138</v>
      </c>
      <c r="B69" t="s">
        <v>3185</v>
      </c>
      <c r="C69">
        <v>1000</v>
      </c>
      <c r="D69">
        <v>151600000</v>
      </c>
      <c r="E69">
        <v>147200000</v>
      </c>
      <c r="F69" t="s">
        <v>3518</v>
      </c>
      <c r="G69">
        <v>2023</v>
      </c>
      <c r="H69" t="s">
        <v>3186</v>
      </c>
      <c r="I69" t="s">
        <v>3160</v>
      </c>
      <c r="J69" t="s">
        <v>3519</v>
      </c>
      <c r="K69" t="s">
        <v>13</v>
      </c>
    </row>
    <row r="70" spans="1:11" x14ac:dyDescent="0.25">
      <c r="A70" t="s">
        <v>3138</v>
      </c>
      <c r="B70" t="s">
        <v>3185</v>
      </c>
      <c r="C70">
        <v>5000</v>
      </c>
      <c r="D70">
        <v>205900000</v>
      </c>
      <c r="E70">
        <v>202900000</v>
      </c>
      <c r="F70" t="s">
        <v>3518</v>
      </c>
      <c r="G70">
        <v>2023</v>
      </c>
      <c r="H70" t="s">
        <v>3186</v>
      </c>
      <c r="I70" t="s">
        <v>3160</v>
      </c>
      <c r="J70" t="s">
        <v>3519</v>
      </c>
      <c r="K70" t="s">
        <v>13</v>
      </c>
    </row>
    <row r="71" spans="1:11" x14ac:dyDescent="0.25">
      <c r="A71" t="s">
        <v>3138</v>
      </c>
      <c r="B71" t="s">
        <v>3185</v>
      </c>
      <c r="C71">
        <v>10000</v>
      </c>
      <c r="D71">
        <v>239100000</v>
      </c>
      <c r="E71">
        <v>236700000</v>
      </c>
      <c r="F71" t="s">
        <v>3518</v>
      </c>
      <c r="G71">
        <v>2023</v>
      </c>
      <c r="H71" t="s">
        <v>3186</v>
      </c>
      <c r="I71" t="s">
        <v>3160</v>
      </c>
      <c r="J71" t="s">
        <v>3519</v>
      </c>
      <c r="K71" t="s">
        <v>13</v>
      </c>
    </row>
    <row r="72" spans="1:11" x14ac:dyDescent="0.25">
      <c r="A72" t="s">
        <v>3138</v>
      </c>
      <c r="B72" t="s">
        <v>3188</v>
      </c>
      <c r="C72">
        <v>2</v>
      </c>
      <c r="D72">
        <v>7100000</v>
      </c>
      <c r="E72">
        <v>6200000</v>
      </c>
      <c r="F72" t="s">
        <v>3520</v>
      </c>
      <c r="G72">
        <v>2023</v>
      </c>
      <c r="H72" t="s">
        <v>3189</v>
      </c>
      <c r="I72" t="s">
        <v>3160</v>
      </c>
      <c r="J72" t="s">
        <v>3521</v>
      </c>
      <c r="K72" t="s">
        <v>564</v>
      </c>
    </row>
    <row r="73" spans="1:11" x14ac:dyDescent="0.25">
      <c r="A73" t="s">
        <v>3138</v>
      </c>
      <c r="B73" t="s">
        <v>3188</v>
      </c>
      <c r="C73">
        <v>5</v>
      </c>
      <c r="D73">
        <v>58100000</v>
      </c>
      <c r="E73">
        <v>48900000</v>
      </c>
      <c r="F73" t="s">
        <v>3520</v>
      </c>
      <c r="G73">
        <v>2023</v>
      </c>
      <c r="H73" t="s">
        <v>3189</v>
      </c>
      <c r="I73" t="s">
        <v>3160</v>
      </c>
      <c r="J73" t="s">
        <v>3521</v>
      </c>
      <c r="K73" t="s">
        <v>564</v>
      </c>
    </row>
    <row r="74" spans="1:11" x14ac:dyDescent="0.25">
      <c r="A74" t="s">
        <v>3138</v>
      </c>
      <c r="B74" t="s">
        <v>3188</v>
      </c>
      <c r="C74">
        <v>10</v>
      </c>
      <c r="D74">
        <v>123700000</v>
      </c>
      <c r="E74">
        <v>106400000</v>
      </c>
      <c r="F74" t="s">
        <v>3520</v>
      </c>
      <c r="G74">
        <v>2023</v>
      </c>
      <c r="H74" t="s">
        <v>3189</v>
      </c>
      <c r="I74" t="s">
        <v>3160</v>
      </c>
      <c r="J74" t="s">
        <v>3521</v>
      </c>
      <c r="K74" t="s">
        <v>564</v>
      </c>
    </row>
    <row r="75" spans="1:11" x14ac:dyDescent="0.25">
      <c r="A75" t="s">
        <v>3138</v>
      </c>
      <c r="B75" t="s">
        <v>3188</v>
      </c>
      <c r="C75">
        <v>25</v>
      </c>
      <c r="D75">
        <v>240000000</v>
      </c>
      <c r="E75">
        <v>208600000</v>
      </c>
      <c r="F75" t="s">
        <v>3520</v>
      </c>
      <c r="G75">
        <v>2023</v>
      </c>
      <c r="H75" t="s">
        <v>3189</v>
      </c>
      <c r="I75" t="s">
        <v>3160</v>
      </c>
      <c r="J75" t="s">
        <v>3521</v>
      </c>
      <c r="K75" t="s">
        <v>564</v>
      </c>
    </row>
    <row r="76" spans="1:11" x14ac:dyDescent="0.25">
      <c r="A76" t="s">
        <v>3138</v>
      </c>
      <c r="B76" t="s">
        <v>3188</v>
      </c>
      <c r="C76">
        <v>50</v>
      </c>
      <c r="D76">
        <v>347900000</v>
      </c>
      <c r="E76">
        <v>307100000</v>
      </c>
      <c r="F76" t="s">
        <v>3520</v>
      </c>
      <c r="G76">
        <v>2023</v>
      </c>
      <c r="H76" t="s">
        <v>3189</v>
      </c>
      <c r="I76" t="s">
        <v>3160</v>
      </c>
      <c r="J76" t="s">
        <v>3521</v>
      </c>
      <c r="K76" t="s">
        <v>564</v>
      </c>
    </row>
    <row r="77" spans="1:11" x14ac:dyDescent="0.25">
      <c r="A77" t="s">
        <v>3138</v>
      </c>
      <c r="B77" t="s">
        <v>3188</v>
      </c>
      <c r="C77">
        <v>100</v>
      </c>
      <c r="D77">
        <v>475300000</v>
      </c>
      <c r="E77">
        <v>429300000</v>
      </c>
      <c r="F77" t="s">
        <v>3520</v>
      </c>
      <c r="G77">
        <v>2023</v>
      </c>
      <c r="H77" t="s">
        <v>3189</v>
      </c>
      <c r="I77" t="s">
        <v>3160</v>
      </c>
      <c r="J77" t="s">
        <v>3521</v>
      </c>
      <c r="K77" t="s">
        <v>564</v>
      </c>
    </row>
    <row r="78" spans="1:11" x14ac:dyDescent="0.25">
      <c r="A78" t="s">
        <v>3138</v>
      </c>
      <c r="B78" t="s">
        <v>3188</v>
      </c>
      <c r="C78">
        <v>200</v>
      </c>
      <c r="D78">
        <v>619300000</v>
      </c>
      <c r="E78">
        <v>570500000</v>
      </c>
      <c r="F78" t="s">
        <v>3520</v>
      </c>
      <c r="G78">
        <v>2023</v>
      </c>
      <c r="H78" t="s">
        <v>3189</v>
      </c>
      <c r="I78" t="s">
        <v>3160</v>
      </c>
      <c r="J78" t="s">
        <v>3521</v>
      </c>
      <c r="K78" t="s">
        <v>564</v>
      </c>
    </row>
    <row r="79" spans="1:11" x14ac:dyDescent="0.25">
      <c r="A79" t="s">
        <v>3138</v>
      </c>
      <c r="B79" t="s">
        <v>3188</v>
      </c>
      <c r="C79">
        <v>250</v>
      </c>
      <c r="D79">
        <v>676600000</v>
      </c>
      <c r="E79">
        <v>621500000</v>
      </c>
      <c r="F79" t="s">
        <v>3520</v>
      </c>
      <c r="G79">
        <v>2023</v>
      </c>
      <c r="H79" t="s">
        <v>3189</v>
      </c>
      <c r="I79" t="s">
        <v>3160</v>
      </c>
      <c r="J79" t="s">
        <v>3521</v>
      </c>
      <c r="K79" t="s">
        <v>564</v>
      </c>
    </row>
    <row r="80" spans="1:11" x14ac:dyDescent="0.25">
      <c r="A80" t="s">
        <v>3138</v>
      </c>
      <c r="B80" t="s">
        <v>3188</v>
      </c>
      <c r="C80">
        <v>500</v>
      </c>
      <c r="D80">
        <v>864600000</v>
      </c>
      <c r="E80">
        <v>815800000</v>
      </c>
      <c r="F80" t="s">
        <v>3520</v>
      </c>
      <c r="G80">
        <v>2023</v>
      </c>
      <c r="H80" t="s">
        <v>3189</v>
      </c>
      <c r="I80" t="s">
        <v>3160</v>
      </c>
      <c r="J80" t="s">
        <v>3521</v>
      </c>
      <c r="K80" t="s">
        <v>564</v>
      </c>
    </row>
    <row r="81" spans="1:11" x14ac:dyDescent="0.25">
      <c r="A81" t="s">
        <v>3138</v>
      </c>
      <c r="B81" t="s">
        <v>3188</v>
      </c>
      <c r="C81">
        <v>1000</v>
      </c>
      <c r="D81">
        <v>1111300000</v>
      </c>
      <c r="E81">
        <v>1051500000</v>
      </c>
      <c r="F81" t="s">
        <v>3520</v>
      </c>
      <c r="G81">
        <v>2023</v>
      </c>
      <c r="H81" t="s">
        <v>3189</v>
      </c>
      <c r="I81" t="s">
        <v>3160</v>
      </c>
      <c r="J81" t="s">
        <v>3521</v>
      </c>
      <c r="K81" t="s">
        <v>564</v>
      </c>
    </row>
    <row r="82" spans="1:11" x14ac:dyDescent="0.25">
      <c r="A82" t="s">
        <v>3138</v>
      </c>
      <c r="B82" t="s">
        <v>3188</v>
      </c>
      <c r="C82">
        <v>5000</v>
      </c>
      <c r="D82">
        <v>1700900000</v>
      </c>
      <c r="E82">
        <v>1629700000</v>
      </c>
      <c r="F82" t="s">
        <v>3520</v>
      </c>
      <c r="G82">
        <v>2023</v>
      </c>
      <c r="H82" t="s">
        <v>3189</v>
      </c>
      <c r="I82" t="s">
        <v>3160</v>
      </c>
      <c r="J82" t="s">
        <v>3521</v>
      </c>
      <c r="K82" t="s">
        <v>564</v>
      </c>
    </row>
    <row r="83" spans="1:11" x14ac:dyDescent="0.25">
      <c r="A83" t="s">
        <v>3138</v>
      </c>
      <c r="B83" t="s">
        <v>3188</v>
      </c>
      <c r="C83">
        <v>10000</v>
      </c>
      <c r="D83">
        <v>1952600000</v>
      </c>
      <c r="E83">
        <v>1952600000</v>
      </c>
      <c r="F83" t="s">
        <v>3520</v>
      </c>
      <c r="G83">
        <v>2023</v>
      </c>
      <c r="H83" t="s">
        <v>3189</v>
      </c>
      <c r="I83" t="s">
        <v>3160</v>
      </c>
      <c r="J83" t="s">
        <v>3521</v>
      </c>
      <c r="K83" t="s">
        <v>564</v>
      </c>
    </row>
    <row r="84" spans="1:11" x14ac:dyDescent="0.25">
      <c r="A84" t="s">
        <v>3138</v>
      </c>
      <c r="B84" t="s">
        <v>3190</v>
      </c>
      <c r="C84">
        <v>2</v>
      </c>
      <c r="D84">
        <v>400000</v>
      </c>
      <c r="E84">
        <v>300000</v>
      </c>
      <c r="F84" t="s">
        <v>3522</v>
      </c>
      <c r="G84">
        <v>2023</v>
      </c>
      <c r="H84" t="s">
        <v>3191</v>
      </c>
      <c r="I84" t="s">
        <v>3160</v>
      </c>
      <c r="J84" t="s">
        <v>3523</v>
      </c>
      <c r="K84" t="s">
        <v>15</v>
      </c>
    </row>
    <row r="85" spans="1:11" x14ac:dyDescent="0.25">
      <c r="A85" t="s">
        <v>3138</v>
      </c>
      <c r="B85" t="s">
        <v>3190</v>
      </c>
      <c r="C85">
        <v>5</v>
      </c>
      <c r="D85">
        <v>1300000</v>
      </c>
      <c r="E85">
        <v>1000000</v>
      </c>
      <c r="F85" t="s">
        <v>3522</v>
      </c>
      <c r="G85">
        <v>2023</v>
      </c>
      <c r="H85" t="s">
        <v>3191</v>
      </c>
      <c r="I85" t="s">
        <v>3160</v>
      </c>
      <c r="J85" t="s">
        <v>3523</v>
      </c>
      <c r="K85" t="s">
        <v>15</v>
      </c>
    </row>
    <row r="86" spans="1:11" x14ac:dyDescent="0.25">
      <c r="A86" t="s">
        <v>3138</v>
      </c>
      <c r="B86" t="s">
        <v>3190</v>
      </c>
      <c r="C86">
        <v>10</v>
      </c>
      <c r="D86">
        <v>2300000</v>
      </c>
      <c r="E86">
        <v>1700000</v>
      </c>
      <c r="F86" t="s">
        <v>3522</v>
      </c>
      <c r="G86">
        <v>2023</v>
      </c>
      <c r="H86" t="s">
        <v>3191</v>
      </c>
      <c r="I86" t="s">
        <v>3160</v>
      </c>
      <c r="J86" t="s">
        <v>3523</v>
      </c>
      <c r="K86" t="s">
        <v>15</v>
      </c>
    </row>
    <row r="87" spans="1:11" x14ac:dyDescent="0.25">
      <c r="A87" t="s">
        <v>3138</v>
      </c>
      <c r="B87" t="s">
        <v>3190</v>
      </c>
      <c r="C87">
        <v>25</v>
      </c>
      <c r="D87">
        <v>4200000</v>
      </c>
      <c r="E87">
        <v>3500000</v>
      </c>
      <c r="F87" t="s">
        <v>3522</v>
      </c>
      <c r="G87">
        <v>2023</v>
      </c>
      <c r="H87" t="s">
        <v>3191</v>
      </c>
      <c r="I87" t="s">
        <v>3160</v>
      </c>
      <c r="J87" t="s">
        <v>3523</v>
      </c>
      <c r="K87" t="s">
        <v>15</v>
      </c>
    </row>
    <row r="88" spans="1:11" x14ac:dyDescent="0.25">
      <c r="A88" t="s">
        <v>3138</v>
      </c>
      <c r="B88" t="s">
        <v>3190</v>
      </c>
      <c r="C88">
        <v>50</v>
      </c>
      <c r="D88">
        <v>6200000</v>
      </c>
      <c r="E88">
        <v>5500000</v>
      </c>
      <c r="F88" t="s">
        <v>3522</v>
      </c>
      <c r="G88">
        <v>2023</v>
      </c>
      <c r="H88" t="s">
        <v>3191</v>
      </c>
      <c r="I88" t="s">
        <v>3160</v>
      </c>
      <c r="J88" t="s">
        <v>3523</v>
      </c>
      <c r="K88" t="s">
        <v>15</v>
      </c>
    </row>
    <row r="89" spans="1:11" x14ac:dyDescent="0.25">
      <c r="A89" t="s">
        <v>3138</v>
      </c>
      <c r="B89" t="s">
        <v>3190</v>
      </c>
      <c r="C89">
        <v>100</v>
      </c>
      <c r="D89">
        <v>9200000</v>
      </c>
      <c r="E89">
        <v>8100000</v>
      </c>
      <c r="F89" t="s">
        <v>3522</v>
      </c>
      <c r="G89">
        <v>2023</v>
      </c>
      <c r="H89" t="s">
        <v>3191</v>
      </c>
      <c r="I89" t="s">
        <v>3160</v>
      </c>
      <c r="J89" t="s">
        <v>3523</v>
      </c>
      <c r="K89" t="s">
        <v>15</v>
      </c>
    </row>
    <row r="90" spans="1:11" x14ac:dyDescent="0.25">
      <c r="A90" t="s">
        <v>3138</v>
      </c>
      <c r="B90" t="s">
        <v>3190</v>
      </c>
      <c r="C90">
        <v>200</v>
      </c>
      <c r="D90">
        <v>12600000</v>
      </c>
      <c r="E90">
        <v>11800000</v>
      </c>
      <c r="F90" t="s">
        <v>3522</v>
      </c>
      <c r="G90">
        <v>2023</v>
      </c>
      <c r="H90" t="s">
        <v>3191</v>
      </c>
      <c r="I90" t="s">
        <v>3160</v>
      </c>
      <c r="J90" t="s">
        <v>3523</v>
      </c>
      <c r="K90" t="s">
        <v>15</v>
      </c>
    </row>
    <row r="91" spans="1:11" x14ac:dyDescent="0.25">
      <c r="A91" t="s">
        <v>3138</v>
      </c>
      <c r="B91" t="s">
        <v>3190</v>
      </c>
      <c r="C91">
        <v>250</v>
      </c>
      <c r="D91">
        <v>14000000</v>
      </c>
      <c r="E91">
        <v>12800000</v>
      </c>
      <c r="F91" t="s">
        <v>3522</v>
      </c>
      <c r="G91">
        <v>2023</v>
      </c>
      <c r="H91" t="s">
        <v>3191</v>
      </c>
      <c r="I91" t="s">
        <v>3160</v>
      </c>
      <c r="J91" t="s">
        <v>3523</v>
      </c>
      <c r="K91" t="s">
        <v>15</v>
      </c>
    </row>
    <row r="92" spans="1:11" x14ac:dyDescent="0.25">
      <c r="A92" t="s">
        <v>3138</v>
      </c>
      <c r="B92" t="s">
        <v>3190</v>
      </c>
      <c r="C92">
        <v>500</v>
      </c>
      <c r="D92">
        <v>20600000</v>
      </c>
      <c r="E92">
        <v>19500000</v>
      </c>
      <c r="F92" t="s">
        <v>3522</v>
      </c>
      <c r="G92">
        <v>2023</v>
      </c>
      <c r="H92" t="s">
        <v>3191</v>
      </c>
      <c r="I92" t="s">
        <v>3160</v>
      </c>
      <c r="J92" t="s">
        <v>3523</v>
      </c>
      <c r="K92" t="s">
        <v>15</v>
      </c>
    </row>
    <row r="93" spans="1:11" x14ac:dyDescent="0.25">
      <c r="A93" t="s">
        <v>3138</v>
      </c>
      <c r="B93" t="s">
        <v>3190</v>
      </c>
      <c r="C93">
        <v>1000</v>
      </c>
      <c r="D93">
        <v>27000000</v>
      </c>
      <c r="E93">
        <v>26700000</v>
      </c>
      <c r="F93" t="s">
        <v>3522</v>
      </c>
      <c r="G93">
        <v>2023</v>
      </c>
      <c r="H93" t="s">
        <v>3191</v>
      </c>
      <c r="I93" t="s">
        <v>3160</v>
      </c>
      <c r="J93" t="s">
        <v>3523</v>
      </c>
      <c r="K93" t="s">
        <v>15</v>
      </c>
    </row>
    <row r="94" spans="1:11" x14ac:dyDescent="0.25">
      <c r="A94" t="s">
        <v>3138</v>
      </c>
      <c r="B94" t="s">
        <v>3190</v>
      </c>
      <c r="C94">
        <v>5000</v>
      </c>
      <c r="D94">
        <v>51900000</v>
      </c>
      <c r="E94">
        <v>51200000</v>
      </c>
      <c r="F94" t="s">
        <v>3522</v>
      </c>
      <c r="G94">
        <v>2023</v>
      </c>
      <c r="H94" t="s">
        <v>3191</v>
      </c>
      <c r="I94" t="s">
        <v>3160</v>
      </c>
      <c r="J94" t="s">
        <v>3523</v>
      </c>
      <c r="K94" t="s">
        <v>15</v>
      </c>
    </row>
    <row r="95" spans="1:11" x14ac:dyDescent="0.25">
      <c r="A95" t="s">
        <v>3138</v>
      </c>
      <c r="B95" t="s">
        <v>3190</v>
      </c>
      <c r="C95">
        <v>10000</v>
      </c>
      <c r="D95">
        <v>66200000</v>
      </c>
      <c r="E95">
        <v>63200000</v>
      </c>
      <c r="F95" t="s">
        <v>3522</v>
      </c>
      <c r="G95">
        <v>2023</v>
      </c>
      <c r="H95" t="s">
        <v>3191</v>
      </c>
      <c r="I95" t="s">
        <v>3160</v>
      </c>
      <c r="J95" t="s">
        <v>3523</v>
      </c>
      <c r="K95" t="s">
        <v>15</v>
      </c>
    </row>
    <row r="96" spans="1:11" x14ac:dyDescent="0.25">
      <c r="A96" t="s">
        <v>3138</v>
      </c>
      <c r="B96" t="s">
        <v>3192</v>
      </c>
      <c r="C96">
        <v>2</v>
      </c>
      <c r="D96">
        <v>300000</v>
      </c>
      <c r="E96">
        <v>200000</v>
      </c>
      <c r="F96" t="s">
        <v>3498</v>
      </c>
      <c r="G96">
        <v>2023</v>
      </c>
      <c r="H96" t="s">
        <v>3193</v>
      </c>
      <c r="I96" t="s">
        <v>3160</v>
      </c>
      <c r="J96" t="s">
        <v>3499</v>
      </c>
      <c r="K96" t="s">
        <v>15</v>
      </c>
    </row>
    <row r="97" spans="1:11" x14ac:dyDescent="0.25">
      <c r="A97" t="s">
        <v>3138</v>
      </c>
      <c r="B97" t="s">
        <v>3192</v>
      </c>
      <c r="C97">
        <v>5</v>
      </c>
      <c r="D97">
        <v>700000</v>
      </c>
      <c r="E97">
        <v>600000</v>
      </c>
      <c r="F97" t="s">
        <v>3498</v>
      </c>
      <c r="G97">
        <v>2023</v>
      </c>
      <c r="H97" t="s">
        <v>3193</v>
      </c>
      <c r="I97" t="s">
        <v>3160</v>
      </c>
      <c r="J97" t="s">
        <v>3499</v>
      </c>
      <c r="K97" t="s">
        <v>15</v>
      </c>
    </row>
    <row r="98" spans="1:11" x14ac:dyDescent="0.25">
      <c r="A98" t="s">
        <v>3138</v>
      </c>
      <c r="B98" t="s">
        <v>3192</v>
      </c>
      <c r="C98">
        <v>10</v>
      </c>
      <c r="D98">
        <v>1400000</v>
      </c>
      <c r="E98">
        <v>1200000</v>
      </c>
      <c r="F98" t="s">
        <v>3498</v>
      </c>
      <c r="G98">
        <v>2023</v>
      </c>
      <c r="H98" t="s">
        <v>3193</v>
      </c>
      <c r="I98" t="s">
        <v>3160</v>
      </c>
      <c r="J98" t="s">
        <v>3499</v>
      </c>
      <c r="K98" t="s">
        <v>15</v>
      </c>
    </row>
    <row r="99" spans="1:11" x14ac:dyDescent="0.25">
      <c r="A99" t="s">
        <v>3138</v>
      </c>
      <c r="B99" t="s">
        <v>3192</v>
      </c>
      <c r="C99">
        <v>25</v>
      </c>
      <c r="D99">
        <v>3700000</v>
      </c>
      <c r="E99">
        <v>3200000</v>
      </c>
      <c r="F99" t="s">
        <v>3498</v>
      </c>
      <c r="G99">
        <v>2023</v>
      </c>
      <c r="H99" t="s">
        <v>3193</v>
      </c>
      <c r="I99" t="s">
        <v>3160</v>
      </c>
      <c r="J99" t="s">
        <v>3499</v>
      </c>
      <c r="K99" t="s">
        <v>15</v>
      </c>
    </row>
    <row r="100" spans="1:11" x14ac:dyDescent="0.25">
      <c r="A100" t="s">
        <v>3138</v>
      </c>
      <c r="B100" t="s">
        <v>3192</v>
      </c>
      <c r="C100">
        <v>50</v>
      </c>
      <c r="D100">
        <v>6900000</v>
      </c>
      <c r="E100">
        <v>6000000</v>
      </c>
      <c r="F100" t="s">
        <v>3498</v>
      </c>
      <c r="G100">
        <v>2023</v>
      </c>
      <c r="H100" t="s">
        <v>3193</v>
      </c>
      <c r="I100" t="s">
        <v>3160</v>
      </c>
      <c r="J100" t="s">
        <v>3499</v>
      </c>
      <c r="K100" t="s">
        <v>15</v>
      </c>
    </row>
    <row r="101" spans="1:11" x14ac:dyDescent="0.25">
      <c r="A101" t="s">
        <v>3138</v>
      </c>
      <c r="B101" t="s">
        <v>3192</v>
      </c>
      <c r="C101">
        <v>100</v>
      </c>
      <c r="D101">
        <v>11100000</v>
      </c>
      <c r="E101">
        <v>9900000</v>
      </c>
      <c r="F101" t="s">
        <v>3498</v>
      </c>
      <c r="G101">
        <v>2023</v>
      </c>
      <c r="H101" t="s">
        <v>3193</v>
      </c>
      <c r="I101" t="s">
        <v>3160</v>
      </c>
      <c r="J101" t="s">
        <v>3499</v>
      </c>
      <c r="K101" t="s">
        <v>15</v>
      </c>
    </row>
    <row r="102" spans="1:11" x14ac:dyDescent="0.25">
      <c r="A102" t="s">
        <v>3138</v>
      </c>
      <c r="B102" t="s">
        <v>3192</v>
      </c>
      <c r="C102">
        <v>200</v>
      </c>
      <c r="D102">
        <v>17500000</v>
      </c>
      <c r="E102">
        <v>16100000</v>
      </c>
      <c r="F102" t="s">
        <v>3498</v>
      </c>
      <c r="G102">
        <v>2023</v>
      </c>
      <c r="H102" t="s">
        <v>3193</v>
      </c>
      <c r="I102" t="s">
        <v>3160</v>
      </c>
      <c r="J102" t="s">
        <v>3499</v>
      </c>
      <c r="K102" t="s">
        <v>15</v>
      </c>
    </row>
    <row r="103" spans="1:11" x14ac:dyDescent="0.25">
      <c r="A103" t="s">
        <v>3138</v>
      </c>
      <c r="B103" t="s">
        <v>3192</v>
      </c>
      <c r="C103">
        <v>250</v>
      </c>
      <c r="D103">
        <v>18800000</v>
      </c>
      <c r="E103">
        <v>17300000</v>
      </c>
      <c r="F103" t="s">
        <v>3498</v>
      </c>
      <c r="G103">
        <v>2023</v>
      </c>
      <c r="H103" t="s">
        <v>3193</v>
      </c>
      <c r="I103" t="s">
        <v>3160</v>
      </c>
      <c r="J103" t="s">
        <v>3499</v>
      </c>
      <c r="K103" t="s">
        <v>15</v>
      </c>
    </row>
    <row r="104" spans="1:11" x14ac:dyDescent="0.25">
      <c r="A104" t="s">
        <v>3138</v>
      </c>
      <c r="B104" t="s">
        <v>3192</v>
      </c>
      <c r="C104">
        <v>500</v>
      </c>
      <c r="D104">
        <v>33000000</v>
      </c>
      <c r="E104">
        <v>29600000</v>
      </c>
      <c r="F104" t="s">
        <v>3498</v>
      </c>
      <c r="G104">
        <v>2023</v>
      </c>
      <c r="H104" t="s">
        <v>3193</v>
      </c>
      <c r="I104" t="s">
        <v>3160</v>
      </c>
      <c r="J104" t="s">
        <v>3499</v>
      </c>
      <c r="K104" t="s">
        <v>15</v>
      </c>
    </row>
    <row r="105" spans="1:11" x14ac:dyDescent="0.25">
      <c r="A105" t="s">
        <v>3138</v>
      </c>
      <c r="B105" t="s">
        <v>3192</v>
      </c>
      <c r="C105">
        <v>1000</v>
      </c>
      <c r="D105">
        <v>48400000</v>
      </c>
      <c r="E105">
        <v>42300000</v>
      </c>
      <c r="F105" t="s">
        <v>3498</v>
      </c>
      <c r="G105">
        <v>2023</v>
      </c>
      <c r="H105" t="s">
        <v>3193</v>
      </c>
      <c r="I105" t="s">
        <v>3160</v>
      </c>
      <c r="J105" t="s">
        <v>3499</v>
      </c>
      <c r="K105" t="s">
        <v>15</v>
      </c>
    </row>
    <row r="106" spans="1:11" x14ac:dyDescent="0.25">
      <c r="A106" t="s">
        <v>3138</v>
      </c>
      <c r="B106" t="s">
        <v>3192</v>
      </c>
      <c r="C106">
        <v>5000</v>
      </c>
      <c r="D106">
        <v>366000000</v>
      </c>
      <c r="E106">
        <v>235000000</v>
      </c>
      <c r="F106" t="s">
        <v>3498</v>
      </c>
      <c r="G106">
        <v>2023</v>
      </c>
      <c r="H106" t="s">
        <v>3193</v>
      </c>
      <c r="I106" t="s">
        <v>3160</v>
      </c>
      <c r="J106" t="s">
        <v>3499</v>
      </c>
      <c r="K106" t="s">
        <v>15</v>
      </c>
    </row>
    <row r="107" spans="1:11" x14ac:dyDescent="0.25">
      <c r="A107" t="s">
        <v>3138</v>
      </c>
      <c r="B107" t="s">
        <v>3192</v>
      </c>
      <c r="C107">
        <v>10000</v>
      </c>
      <c r="D107">
        <v>532200000</v>
      </c>
      <c r="E107">
        <v>373700000</v>
      </c>
      <c r="F107" t="s">
        <v>3498</v>
      </c>
      <c r="G107">
        <v>2023</v>
      </c>
      <c r="H107" t="s">
        <v>3193</v>
      </c>
      <c r="I107" t="s">
        <v>3160</v>
      </c>
      <c r="J107" t="s">
        <v>3499</v>
      </c>
      <c r="K107" t="s">
        <v>15</v>
      </c>
    </row>
    <row r="108" spans="1:11" x14ac:dyDescent="0.25">
      <c r="A108" t="s">
        <v>3138</v>
      </c>
      <c r="B108" t="s">
        <v>3194</v>
      </c>
      <c r="C108">
        <v>2</v>
      </c>
      <c r="D108">
        <v>2800000</v>
      </c>
      <c r="E108">
        <v>1200000</v>
      </c>
      <c r="F108" t="s">
        <v>3524</v>
      </c>
      <c r="G108">
        <v>2023</v>
      </c>
      <c r="H108" t="s">
        <v>3195</v>
      </c>
      <c r="I108" t="s">
        <v>3160</v>
      </c>
      <c r="J108" t="s">
        <v>3525</v>
      </c>
      <c r="K108" t="s">
        <v>564</v>
      </c>
    </row>
    <row r="109" spans="1:11" x14ac:dyDescent="0.25">
      <c r="A109" t="s">
        <v>3138</v>
      </c>
      <c r="B109" t="s">
        <v>3194</v>
      </c>
      <c r="C109">
        <v>5</v>
      </c>
      <c r="D109">
        <v>5300000</v>
      </c>
      <c r="E109">
        <v>2300000</v>
      </c>
      <c r="F109" t="s">
        <v>3524</v>
      </c>
      <c r="G109">
        <v>2023</v>
      </c>
      <c r="H109" t="s">
        <v>3195</v>
      </c>
      <c r="I109" t="s">
        <v>3160</v>
      </c>
      <c r="J109" t="s">
        <v>3525</v>
      </c>
      <c r="K109" t="s">
        <v>564</v>
      </c>
    </row>
    <row r="110" spans="1:11" x14ac:dyDescent="0.25">
      <c r="A110" t="s">
        <v>3138</v>
      </c>
      <c r="B110" t="s">
        <v>3194</v>
      </c>
      <c r="C110">
        <v>10</v>
      </c>
      <c r="D110">
        <v>7500000</v>
      </c>
      <c r="E110">
        <v>3200000</v>
      </c>
      <c r="F110" t="s">
        <v>3524</v>
      </c>
      <c r="G110">
        <v>2023</v>
      </c>
      <c r="H110" t="s">
        <v>3195</v>
      </c>
      <c r="I110" t="s">
        <v>3160</v>
      </c>
      <c r="J110" t="s">
        <v>3525</v>
      </c>
      <c r="K110" t="s">
        <v>564</v>
      </c>
    </row>
    <row r="111" spans="1:11" x14ac:dyDescent="0.25">
      <c r="A111" t="s">
        <v>3138</v>
      </c>
      <c r="B111" t="s">
        <v>3194</v>
      </c>
      <c r="C111">
        <v>25</v>
      </c>
      <c r="D111">
        <v>10500000</v>
      </c>
      <c r="E111">
        <v>4400000</v>
      </c>
      <c r="F111" t="s">
        <v>3524</v>
      </c>
      <c r="G111">
        <v>2023</v>
      </c>
      <c r="H111" t="s">
        <v>3195</v>
      </c>
      <c r="I111" t="s">
        <v>3160</v>
      </c>
      <c r="J111" t="s">
        <v>3525</v>
      </c>
      <c r="K111" t="s">
        <v>564</v>
      </c>
    </row>
    <row r="112" spans="1:11" x14ac:dyDescent="0.25">
      <c r="A112" t="s">
        <v>3138</v>
      </c>
      <c r="B112" t="s">
        <v>3194</v>
      </c>
      <c r="C112">
        <v>50</v>
      </c>
      <c r="D112">
        <v>13300000</v>
      </c>
      <c r="E112">
        <v>5800000</v>
      </c>
      <c r="F112" t="s">
        <v>3524</v>
      </c>
      <c r="G112">
        <v>2023</v>
      </c>
      <c r="H112" t="s">
        <v>3195</v>
      </c>
      <c r="I112" t="s">
        <v>3160</v>
      </c>
      <c r="J112" t="s">
        <v>3525</v>
      </c>
      <c r="K112" t="s">
        <v>564</v>
      </c>
    </row>
    <row r="113" spans="1:11" x14ac:dyDescent="0.25">
      <c r="A113" t="s">
        <v>3138</v>
      </c>
      <c r="B113" t="s">
        <v>3194</v>
      </c>
      <c r="C113">
        <v>100</v>
      </c>
      <c r="D113">
        <v>18100000</v>
      </c>
      <c r="E113">
        <v>8000000</v>
      </c>
      <c r="F113" t="s">
        <v>3524</v>
      </c>
      <c r="G113">
        <v>2023</v>
      </c>
      <c r="H113" t="s">
        <v>3195</v>
      </c>
      <c r="I113" t="s">
        <v>3160</v>
      </c>
      <c r="J113" t="s">
        <v>3525</v>
      </c>
      <c r="K113" t="s">
        <v>564</v>
      </c>
    </row>
    <row r="114" spans="1:11" x14ac:dyDescent="0.25">
      <c r="A114" t="s">
        <v>3138</v>
      </c>
      <c r="B114" t="s">
        <v>3194</v>
      </c>
      <c r="C114">
        <v>200</v>
      </c>
      <c r="D114">
        <v>23200000</v>
      </c>
      <c r="E114">
        <v>11100000</v>
      </c>
      <c r="F114" t="s">
        <v>3524</v>
      </c>
      <c r="G114">
        <v>2023</v>
      </c>
      <c r="H114" t="s">
        <v>3195</v>
      </c>
      <c r="I114" t="s">
        <v>3160</v>
      </c>
      <c r="J114" t="s">
        <v>3525</v>
      </c>
      <c r="K114" t="s">
        <v>564</v>
      </c>
    </row>
    <row r="115" spans="1:11" x14ac:dyDescent="0.25">
      <c r="A115" t="s">
        <v>3138</v>
      </c>
      <c r="B115" t="s">
        <v>3194</v>
      </c>
      <c r="C115">
        <v>250</v>
      </c>
      <c r="D115">
        <v>25400000</v>
      </c>
      <c r="E115">
        <v>12300000</v>
      </c>
      <c r="F115" t="s">
        <v>3524</v>
      </c>
      <c r="G115">
        <v>2023</v>
      </c>
      <c r="H115" t="s">
        <v>3195</v>
      </c>
      <c r="I115" t="s">
        <v>3160</v>
      </c>
      <c r="J115" t="s">
        <v>3525</v>
      </c>
      <c r="K115" t="s">
        <v>564</v>
      </c>
    </row>
    <row r="116" spans="1:11" x14ac:dyDescent="0.25">
      <c r="A116" t="s">
        <v>3138</v>
      </c>
      <c r="B116" t="s">
        <v>3194</v>
      </c>
      <c r="C116">
        <v>500</v>
      </c>
      <c r="D116">
        <v>31800000</v>
      </c>
      <c r="E116">
        <v>15600000</v>
      </c>
      <c r="F116" t="s">
        <v>3524</v>
      </c>
      <c r="G116">
        <v>2023</v>
      </c>
      <c r="H116" t="s">
        <v>3195</v>
      </c>
      <c r="I116" t="s">
        <v>3160</v>
      </c>
      <c r="J116" t="s">
        <v>3525</v>
      </c>
      <c r="K116" t="s">
        <v>564</v>
      </c>
    </row>
    <row r="117" spans="1:11" x14ac:dyDescent="0.25">
      <c r="A117" t="s">
        <v>3138</v>
      </c>
      <c r="B117" t="s">
        <v>3194</v>
      </c>
      <c r="C117">
        <v>1000</v>
      </c>
      <c r="D117">
        <v>40300000</v>
      </c>
      <c r="E117">
        <v>21700000</v>
      </c>
      <c r="F117" t="s">
        <v>3524</v>
      </c>
      <c r="G117">
        <v>2023</v>
      </c>
      <c r="H117" t="s">
        <v>3195</v>
      </c>
      <c r="I117" t="s">
        <v>3160</v>
      </c>
      <c r="J117" t="s">
        <v>3525</v>
      </c>
      <c r="K117" t="s">
        <v>564</v>
      </c>
    </row>
    <row r="118" spans="1:11" x14ac:dyDescent="0.25">
      <c r="A118" t="s">
        <v>3138</v>
      </c>
      <c r="B118" t="s">
        <v>3194</v>
      </c>
      <c r="C118">
        <v>5000</v>
      </c>
      <c r="D118">
        <v>62700000</v>
      </c>
      <c r="E118">
        <v>32100000</v>
      </c>
      <c r="F118" t="s">
        <v>3524</v>
      </c>
      <c r="G118">
        <v>2023</v>
      </c>
      <c r="H118" t="s">
        <v>3195</v>
      </c>
      <c r="I118" t="s">
        <v>3160</v>
      </c>
      <c r="J118" t="s">
        <v>3525</v>
      </c>
      <c r="K118" t="s">
        <v>564</v>
      </c>
    </row>
    <row r="119" spans="1:11" x14ac:dyDescent="0.25">
      <c r="A119" t="s">
        <v>3138</v>
      </c>
      <c r="B119" t="s">
        <v>3194</v>
      </c>
      <c r="C119">
        <v>10000</v>
      </c>
      <c r="D119">
        <v>79300000</v>
      </c>
      <c r="E119">
        <v>42200000</v>
      </c>
      <c r="F119" t="s">
        <v>3524</v>
      </c>
      <c r="G119">
        <v>2023</v>
      </c>
      <c r="H119" t="s">
        <v>3195</v>
      </c>
      <c r="I119" t="s">
        <v>3160</v>
      </c>
      <c r="J119" t="s">
        <v>3525</v>
      </c>
      <c r="K119" t="s">
        <v>564</v>
      </c>
    </row>
    <row r="120" spans="1:11" x14ac:dyDescent="0.25">
      <c r="A120" t="s">
        <v>3138</v>
      </c>
      <c r="B120" t="s">
        <v>3196</v>
      </c>
      <c r="C120">
        <v>2</v>
      </c>
      <c r="D120">
        <v>900000</v>
      </c>
      <c r="E120">
        <v>600000</v>
      </c>
      <c r="F120" t="s">
        <v>3512</v>
      </c>
      <c r="G120">
        <v>2023</v>
      </c>
      <c r="H120" t="s">
        <v>3197</v>
      </c>
      <c r="I120" t="s">
        <v>3160</v>
      </c>
      <c r="J120" t="s">
        <v>3513</v>
      </c>
      <c r="K120" t="s">
        <v>564</v>
      </c>
    </row>
    <row r="121" spans="1:11" x14ac:dyDescent="0.25">
      <c r="A121" t="s">
        <v>3138</v>
      </c>
      <c r="B121" t="s">
        <v>3196</v>
      </c>
      <c r="C121">
        <v>5</v>
      </c>
      <c r="D121">
        <v>2700000</v>
      </c>
      <c r="E121">
        <v>1800000</v>
      </c>
      <c r="F121" t="s">
        <v>3512</v>
      </c>
      <c r="G121">
        <v>2023</v>
      </c>
      <c r="H121" t="s">
        <v>3197</v>
      </c>
      <c r="I121" t="s">
        <v>3160</v>
      </c>
      <c r="J121" t="s">
        <v>3513</v>
      </c>
      <c r="K121" t="s">
        <v>564</v>
      </c>
    </row>
    <row r="122" spans="1:11" x14ac:dyDescent="0.25">
      <c r="A122" t="s">
        <v>3138</v>
      </c>
      <c r="B122" t="s">
        <v>3196</v>
      </c>
      <c r="C122">
        <v>10</v>
      </c>
      <c r="D122">
        <v>4600000</v>
      </c>
      <c r="E122">
        <v>3100000</v>
      </c>
      <c r="F122" t="s">
        <v>3512</v>
      </c>
      <c r="G122">
        <v>2023</v>
      </c>
      <c r="H122" t="s">
        <v>3197</v>
      </c>
      <c r="I122" t="s">
        <v>3160</v>
      </c>
      <c r="J122" t="s">
        <v>3513</v>
      </c>
      <c r="K122" t="s">
        <v>564</v>
      </c>
    </row>
    <row r="123" spans="1:11" x14ac:dyDescent="0.25">
      <c r="A123" t="s">
        <v>3138</v>
      </c>
      <c r="B123" t="s">
        <v>3196</v>
      </c>
      <c r="C123">
        <v>25</v>
      </c>
      <c r="D123">
        <v>8400000</v>
      </c>
      <c r="E123">
        <v>5800000</v>
      </c>
      <c r="F123" t="s">
        <v>3512</v>
      </c>
      <c r="G123">
        <v>2023</v>
      </c>
      <c r="H123" t="s">
        <v>3197</v>
      </c>
      <c r="I123" t="s">
        <v>3160</v>
      </c>
      <c r="J123" t="s">
        <v>3513</v>
      </c>
      <c r="K123" t="s">
        <v>564</v>
      </c>
    </row>
    <row r="124" spans="1:11" x14ac:dyDescent="0.25">
      <c r="A124" t="s">
        <v>3138</v>
      </c>
      <c r="B124" t="s">
        <v>3196</v>
      </c>
      <c r="C124">
        <v>50</v>
      </c>
      <c r="D124">
        <v>12600000</v>
      </c>
      <c r="E124">
        <v>8800000</v>
      </c>
      <c r="F124" t="s">
        <v>3512</v>
      </c>
      <c r="G124">
        <v>2023</v>
      </c>
      <c r="H124" t="s">
        <v>3197</v>
      </c>
      <c r="I124" t="s">
        <v>3160</v>
      </c>
      <c r="J124" t="s">
        <v>3513</v>
      </c>
      <c r="K124" t="s">
        <v>564</v>
      </c>
    </row>
    <row r="125" spans="1:11" x14ac:dyDescent="0.25">
      <c r="A125" t="s">
        <v>3138</v>
      </c>
      <c r="B125" t="s">
        <v>3196</v>
      </c>
      <c r="C125">
        <v>100</v>
      </c>
      <c r="D125">
        <v>19300000</v>
      </c>
      <c r="E125">
        <v>14300000</v>
      </c>
      <c r="F125" t="s">
        <v>3512</v>
      </c>
      <c r="G125">
        <v>2023</v>
      </c>
      <c r="H125" t="s">
        <v>3197</v>
      </c>
      <c r="I125" t="s">
        <v>3160</v>
      </c>
      <c r="J125" t="s">
        <v>3513</v>
      </c>
      <c r="K125" t="s">
        <v>564</v>
      </c>
    </row>
    <row r="126" spans="1:11" x14ac:dyDescent="0.25">
      <c r="A126" t="s">
        <v>3138</v>
      </c>
      <c r="B126" t="s">
        <v>3196</v>
      </c>
      <c r="C126">
        <v>200</v>
      </c>
      <c r="D126">
        <v>28700000</v>
      </c>
      <c r="E126">
        <v>22000000</v>
      </c>
      <c r="F126" t="s">
        <v>3512</v>
      </c>
      <c r="G126">
        <v>2023</v>
      </c>
      <c r="H126" t="s">
        <v>3197</v>
      </c>
      <c r="I126" t="s">
        <v>3160</v>
      </c>
      <c r="J126" t="s">
        <v>3513</v>
      </c>
      <c r="K126" t="s">
        <v>564</v>
      </c>
    </row>
    <row r="127" spans="1:11" x14ac:dyDescent="0.25">
      <c r="A127" t="s">
        <v>3138</v>
      </c>
      <c r="B127" t="s">
        <v>3196</v>
      </c>
      <c r="C127">
        <v>250</v>
      </c>
      <c r="D127">
        <v>30900000</v>
      </c>
      <c r="E127">
        <v>26500000</v>
      </c>
      <c r="F127" t="s">
        <v>3512</v>
      </c>
      <c r="G127">
        <v>2023</v>
      </c>
      <c r="H127" t="s">
        <v>3197</v>
      </c>
      <c r="I127" t="s">
        <v>3160</v>
      </c>
      <c r="J127" t="s">
        <v>3513</v>
      </c>
      <c r="K127" t="s">
        <v>564</v>
      </c>
    </row>
    <row r="128" spans="1:11" x14ac:dyDescent="0.25">
      <c r="A128" t="s">
        <v>3138</v>
      </c>
      <c r="B128" t="s">
        <v>3196</v>
      </c>
      <c r="C128">
        <v>500</v>
      </c>
      <c r="D128">
        <v>36900000</v>
      </c>
      <c r="E128">
        <v>31200000</v>
      </c>
      <c r="F128" t="s">
        <v>3512</v>
      </c>
      <c r="G128">
        <v>2023</v>
      </c>
      <c r="H128" t="s">
        <v>3197</v>
      </c>
      <c r="I128" t="s">
        <v>3160</v>
      </c>
      <c r="J128" t="s">
        <v>3513</v>
      </c>
      <c r="K128" t="s">
        <v>564</v>
      </c>
    </row>
    <row r="129" spans="1:11" x14ac:dyDescent="0.25">
      <c r="A129" t="s">
        <v>3138</v>
      </c>
      <c r="B129" t="s">
        <v>3196</v>
      </c>
      <c r="C129">
        <v>1000</v>
      </c>
      <c r="D129">
        <v>41300000</v>
      </c>
      <c r="E129">
        <v>35700000</v>
      </c>
      <c r="F129" t="s">
        <v>3512</v>
      </c>
      <c r="G129">
        <v>2023</v>
      </c>
      <c r="H129" t="s">
        <v>3197</v>
      </c>
      <c r="I129" t="s">
        <v>3160</v>
      </c>
      <c r="J129" t="s">
        <v>3513</v>
      </c>
      <c r="K129" t="s">
        <v>564</v>
      </c>
    </row>
    <row r="130" spans="1:11" x14ac:dyDescent="0.25">
      <c r="A130" t="s">
        <v>3138</v>
      </c>
      <c r="B130" t="s">
        <v>3196</v>
      </c>
      <c r="C130">
        <v>5000</v>
      </c>
      <c r="D130">
        <v>79000000</v>
      </c>
      <c r="E130">
        <v>53400000</v>
      </c>
      <c r="F130" t="s">
        <v>3512</v>
      </c>
      <c r="G130">
        <v>2023</v>
      </c>
      <c r="H130" t="s">
        <v>3197</v>
      </c>
      <c r="I130" t="s">
        <v>3160</v>
      </c>
      <c r="J130" t="s">
        <v>3513</v>
      </c>
      <c r="K130" t="s">
        <v>564</v>
      </c>
    </row>
    <row r="131" spans="1:11" x14ac:dyDescent="0.25">
      <c r="A131" t="s">
        <v>3138</v>
      </c>
      <c r="B131" t="s">
        <v>3196</v>
      </c>
      <c r="C131">
        <v>10000</v>
      </c>
      <c r="D131">
        <v>96300000</v>
      </c>
      <c r="E131">
        <v>94300000</v>
      </c>
      <c r="F131" t="s">
        <v>3512</v>
      </c>
      <c r="G131">
        <v>2023</v>
      </c>
      <c r="H131" t="s">
        <v>3197</v>
      </c>
      <c r="I131" t="s">
        <v>3160</v>
      </c>
      <c r="J131" t="s">
        <v>3513</v>
      </c>
      <c r="K131" t="s">
        <v>564</v>
      </c>
    </row>
    <row r="132" spans="1:11" x14ac:dyDescent="0.25">
      <c r="A132" t="s">
        <v>3138</v>
      </c>
      <c r="B132" t="s">
        <v>3198</v>
      </c>
      <c r="C132">
        <v>2</v>
      </c>
      <c r="D132">
        <v>5700000</v>
      </c>
      <c r="E132">
        <v>3500000</v>
      </c>
      <c r="F132" t="s">
        <v>3510</v>
      </c>
      <c r="G132">
        <v>2023</v>
      </c>
      <c r="H132" t="s">
        <v>3199</v>
      </c>
      <c r="I132" t="s">
        <v>3160</v>
      </c>
      <c r="J132" t="s">
        <v>3511</v>
      </c>
      <c r="K132" t="s">
        <v>564</v>
      </c>
    </row>
    <row r="133" spans="1:11" x14ac:dyDescent="0.25">
      <c r="A133" t="s">
        <v>3138</v>
      </c>
      <c r="B133" t="s">
        <v>3198</v>
      </c>
      <c r="C133">
        <v>5</v>
      </c>
      <c r="D133">
        <v>20600000</v>
      </c>
      <c r="E133">
        <v>13800000</v>
      </c>
      <c r="F133" t="s">
        <v>3510</v>
      </c>
      <c r="G133">
        <v>2023</v>
      </c>
      <c r="H133" t="s">
        <v>3199</v>
      </c>
      <c r="I133" t="s">
        <v>3160</v>
      </c>
      <c r="J133" t="s">
        <v>3511</v>
      </c>
      <c r="K133" t="s">
        <v>564</v>
      </c>
    </row>
    <row r="134" spans="1:11" x14ac:dyDescent="0.25">
      <c r="A134" t="s">
        <v>3138</v>
      </c>
      <c r="B134" t="s">
        <v>3198</v>
      </c>
      <c r="C134">
        <v>10</v>
      </c>
      <c r="D134">
        <v>38600000</v>
      </c>
      <c r="E134">
        <v>27600000</v>
      </c>
      <c r="F134" t="s">
        <v>3510</v>
      </c>
      <c r="G134">
        <v>2023</v>
      </c>
      <c r="H134" t="s">
        <v>3199</v>
      </c>
      <c r="I134" t="s">
        <v>3160</v>
      </c>
      <c r="J134" t="s">
        <v>3511</v>
      </c>
      <c r="K134" t="s">
        <v>564</v>
      </c>
    </row>
    <row r="135" spans="1:11" x14ac:dyDescent="0.25">
      <c r="A135" t="s">
        <v>3138</v>
      </c>
      <c r="B135" t="s">
        <v>3198</v>
      </c>
      <c r="C135">
        <v>25</v>
      </c>
      <c r="D135">
        <v>73500000</v>
      </c>
      <c r="E135">
        <v>57200000</v>
      </c>
      <c r="F135" t="s">
        <v>3510</v>
      </c>
      <c r="G135">
        <v>2023</v>
      </c>
      <c r="H135" t="s">
        <v>3199</v>
      </c>
      <c r="I135" t="s">
        <v>3160</v>
      </c>
      <c r="J135" t="s">
        <v>3511</v>
      </c>
      <c r="K135" t="s">
        <v>564</v>
      </c>
    </row>
    <row r="136" spans="1:11" x14ac:dyDescent="0.25">
      <c r="A136" t="s">
        <v>3138</v>
      </c>
      <c r="B136" t="s">
        <v>3198</v>
      </c>
      <c r="C136">
        <v>50</v>
      </c>
      <c r="D136">
        <v>108200000</v>
      </c>
      <c r="E136">
        <v>88400000</v>
      </c>
      <c r="F136" t="s">
        <v>3510</v>
      </c>
      <c r="G136">
        <v>2023</v>
      </c>
      <c r="H136" t="s">
        <v>3199</v>
      </c>
      <c r="I136" t="s">
        <v>3160</v>
      </c>
      <c r="J136" t="s">
        <v>3511</v>
      </c>
      <c r="K136" t="s">
        <v>564</v>
      </c>
    </row>
    <row r="137" spans="1:11" x14ac:dyDescent="0.25">
      <c r="A137" t="s">
        <v>3138</v>
      </c>
      <c r="B137" t="s">
        <v>3198</v>
      </c>
      <c r="C137">
        <v>100</v>
      </c>
      <c r="D137">
        <v>148300000</v>
      </c>
      <c r="E137">
        <v>124900000</v>
      </c>
      <c r="F137" t="s">
        <v>3510</v>
      </c>
      <c r="G137">
        <v>2023</v>
      </c>
      <c r="H137" t="s">
        <v>3199</v>
      </c>
      <c r="I137" t="s">
        <v>3160</v>
      </c>
      <c r="J137" t="s">
        <v>3511</v>
      </c>
      <c r="K137" t="s">
        <v>564</v>
      </c>
    </row>
    <row r="138" spans="1:11" x14ac:dyDescent="0.25">
      <c r="A138" t="s">
        <v>3138</v>
      </c>
      <c r="B138" t="s">
        <v>3198</v>
      </c>
      <c r="C138">
        <v>200</v>
      </c>
      <c r="D138">
        <v>191300000</v>
      </c>
      <c r="E138">
        <v>161900000</v>
      </c>
      <c r="F138" t="s">
        <v>3510</v>
      </c>
      <c r="G138">
        <v>2023</v>
      </c>
      <c r="H138" t="s">
        <v>3199</v>
      </c>
      <c r="I138" t="s">
        <v>3160</v>
      </c>
      <c r="J138" t="s">
        <v>3511</v>
      </c>
      <c r="K138" t="s">
        <v>564</v>
      </c>
    </row>
    <row r="139" spans="1:11" x14ac:dyDescent="0.25">
      <c r="A139" t="s">
        <v>3138</v>
      </c>
      <c r="B139" t="s">
        <v>3198</v>
      </c>
      <c r="C139">
        <v>250</v>
      </c>
      <c r="D139">
        <v>207100000</v>
      </c>
      <c r="E139">
        <v>176800000</v>
      </c>
      <c r="F139" t="s">
        <v>3510</v>
      </c>
      <c r="G139">
        <v>2023</v>
      </c>
      <c r="H139" t="s">
        <v>3199</v>
      </c>
      <c r="I139" t="s">
        <v>3160</v>
      </c>
      <c r="J139" t="s">
        <v>3511</v>
      </c>
      <c r="K139" t="s">
        <v>564</v>
      </c>
    </row>
    <row r="140" spans="1:11" x14ac:dyDescent="0.25">
      <c r="A140" t="s">
        <v>3138</v>
      </c>
      <c r="B140" t="s">
        <v>3198</v>
      </c>
      <c r="C140">
        <v>500</v>
      </c>
      <c r="D140">
        <v>254300000</v>
      </c>
      <c r="E140">
        <v>223900000</v>
      </c>
      <c r="F140" t="s">
        <v>3510</v>
      </c>
      <c r="G140">
        <v>2023</v>
      </c>
      <c r="H140" t="s">
        <v>3199</v>
      </c>
      <c r="I140" t="s">
        <v>3160</v>
      </c>
      <c r="J140" t="s">
        <v>3511</v>
      </c>
      <c r="K140" t="s">
        <v>564</v>
      </c>
    </row>
    <row r="141" spans="1:11" x14ac:dyDescent="0.25">
      <c r="A141" t="s">
        <v>3138</v>
      </c>
      <c r="B141" t="s">
        <v>3198</v>
      </c>
      <c r="C141">
        <v>1000</v>
      </c>
      <c r="D141">
        <v>303700000</v>
      </c>
      <c r="E141">
        <v>267000000</v>
      </c>
      <c r="F141" t="s">
        <v>3510</v>
      </c>
      <c r="G141">
        <v>2023</v>
      </c>
      <c r="H141" t="s">
        <v>3199</v>
      </c>
      <c r="I141" t="s">
        <v>3160</v>
      </c>
      <c r="J141" t="s">
        <v>3511</v>
      </c>
      <c r="K141" t="s">
        <v>564</v>
      </c>
    </row>
    <row r="142" spans="1:11" x14ac:dyDescent="0.25">
      <c r="A142" t="s">
        <v>3138</v>
      </c>
      <c r="B142" t="s">
        <v>3198</v>
      </c>
      <c r="C142">
        <v>2000</v>
      </c>
      <c r="D142">
        <v>368100000</v>
      </c>
      <c r="E142">
        <v>330300000</v>
      </c>
      <c r="F142" t="s">
        <v>3510</v>
      </c>
      <c r="G142">
        <v>2023</v>
      </c>
      <c r="H142" t="s">
        <v>3199</v>
      </c>
      <c r="I142" t="s">
        <v>3160</v>
      </c>
      <c r="J142" t="s">
        <v>3511</v>
      </c>
      <c r="K142" t="s">
        <v>564</v>
      </c>
    </row>
    <row r="143" spans="1:11" x14ac:dyDescent="0.25">
      <c r="A143" t="s">
        <v>3138</v>
      </c>
      <c r="B143" t="s">
        <v>3198</v>
      </c>
      <c r="C143">
        <v>5000</v>
      </c>
      <c r="D143">
        <v>462300000</v>
      </c>
      <c r="E143">
        <v>422500000</v>
      </c>
      <c r="F143" t="s">
        <v>3510</v>
      </c>
      <c r="G143">
        <v>2023</v>
      </c>
      <c r="H143" t="s">
        <v>3199</v>
      </c>
      <c r="I143" t="s">
        <v>3160</v>
      </c>
      <c r="J143" t="s">
        <v>3511</v>
      </c>
      <c r="K143" t="s">
        <v>564</v>
      </c>
    </row>
    <row r="144" spans="1:11" x14ac:dyDescent="0.25">
      <c r="A144" t="s">
        <v>3138</v>
      </c>
      <c r="B144" t="s">
        <v>3198</v>
      </c>
      <c r="C144">
        <v>10000</v>
      </c>
      <c r="D144">
        <v>530300000</v>
      </c>
      <c r="E144">
        <v>499900000</v>
      </c>
      <c r="F144" t="s">
        <v>3510</v>
      </c>
      <c r="G144">
        <v>2023</v>
      </c>
      <c r="H144" t="s">
        <v>3199</v>
      </c>
      <c r="I144" t="s">
        <v>3160</v>
      </c>
      <c r="J144" t="s">
        <v>3511</v>
      </c>
      <c r="K144" t="s">
        <v>564</v>
      </c>
    </row>
    <row r="145" spans="1:11" x14ac:dyDescent="0.25">
      <c r="A145" t="s">
        <v>3139</v>
      </c>
      <c r="B145" t="s">
        <v>3171</v>
      </c>
      <c r="C145">
        <v>2</v>
      </c>
      <c r="D145">
        <v>6800000</v>
      </c>
      <c r="E145">
        <v>2600000</v>
      </c>
      <c r="F145" t="s">
        <v>3526</v>
      </c>
      <c r="G145">
        <v>2023</v>
      </c>
      <c r="H145" t="s">
        <v>3172</v>
      </c>
      <c r="I145" t="s">
        <v>3161</v>
      </c>
      <c r="J145" t="s">
        <v>3527</v>
      </c>
      <c r="K145" t="s">
        <v>564</v>
      </c>
    </row>
    <row r="146" spans="1:11" x14ac:dyDescent="0.25">
      <c r="A146" t="s">
        <v>3139</v>
      </c>
      <c r="B146" t="s">
        <v>3171</v>
      </c>
      <c r="C146">
        <v>5</v>
      </c>
      <c r="D146">
        <v>12600000</v>
      </c>
      <c r="E146">
        <v>6000000</v>
      </c>
      <c r="F146" t="s">
        <v>3526</v>
      </c>
      <c r="G146">
        <v>2023</v>
      </c>
      <c r="H146" t="s">
        <v>3172</v>
      </c>
      <c r="I146" t="s">
        <v>3161</v>
      </c>
      <c r="J146" t="s">
        <v>3527</v>
      </c>
      <c r="K146" t="s">
        <v>564</v>
      </c>
    </row>
    <row r="147" spans="1:11" x14ac:dyDescent="0.25">
      <c r="A147" t="s">
        <v>3139</v>
      </c>
      <c r="B147" t="s">
        <v>3171</v>
      </c>
      <c r="C147">
        <v>10</v>
      </c>
      <c r="D147">
        <v>17500000</v>
      </c>
      <c r="E147">
        <v>9700000</v>
      </c>
      <c r="F147" t="s">
        <v>3526</v>
      </c>
      <c r="G147">
        <v>2023</v>
      </c>
      <c r="H147" t="s">
        <v>3172</v>
      </c>
      <c r="I147" t="s">
        <v>3161</v>
      </c>
      <c r="J147" t="s">
        <v>3527</v>
      </c>
      <c r="K147" t="s">
        <v>564</v>
      </c>
    </row>
    <row r="148" spans="1:11" x14ac:dyDescent="0.25">
      <c r="A148" t="s">
        <v>3139</v>
      </c>
      <c r="B148" t="s">
        <v>3171</v>
      </c>
      <c r="C148">
        <v>25</v>
      </c>
      <c r="D148">
        <v>25500000</v>
      </c>
      <c r="E148">
        <v>16400000</v>
      </c>
      <c r="F148" t="s">
        <v>3526</v>
      </c>
      <c r="G148">
        <v>2023</v>
      </c>
      <c r="H148" t="s">
        <v>3172</v>
      </c>
      <c r="I148" t="s">
        <v>3161</v>
      </c>
      <c r="J148" t="s">
        <v>3527</v>
      </c>
      <c r="K148" t="s">
        <v>564</v>
      </c>
    </row>
    <row r="149" spans="1:11" x14ac:dyDescent="0.25">
      <c r="A149" t="s">
        <v>3139</v>
      </c>
      <c r="B149" t="s">
        <v>3171</v>
      </c>
      <c r="C149">
        <v>50</v>
      </c>
      <c r="D149">
        <v>33700000</v>
      </c>
      <c r="E149">
        <v>24300000</v>
      </c>
      <c r="F149" t="s">
        <v>3526</v>
      </c>
      <c r="G149">
        <v>2023</v>
      </c>
      <c r="H149" t="s">
        <v>3172</v>
      </c>
      <c r="I149" t="s">
        <v>3161</v>
      </c>
      <c r="J149" t="s">
        <v>3527</v>
      </c>
      <c r="K149" t="s">
        <v>564</v>
      </c>
    </row>
    <row r="150" spans="1:11" x14ac:dyDescent="0.25">
      <c r="A150" t="s">
        <v>3139</v>
      </c>
      <c r="B150" t="s">
        <v>3171</v>
      </c>
      <c r="C150">
        <v>100</v>
      </c>
      <c r="D150">
        <v>43300000</v>
      </c>
      <c r="E150">
        <v>32900000</v>
      </c>
      <c r="F150" t="s">
        <v>3526</v>
      </c>
      <c r="G150">
        <v>2023</v>
      </c>
      <c r="H150" t="s">
        <v>3172</v>
      </c>
      <c r="I150" t="s">
        <v>3161</v>
      </c>
      <c r="J150" t="s">
        <v>3527</v>
      </c>
      <c r="K150" t="s">
        <v>564</v>
      </c>
    </row>
    <row r="151" spans="1:11" x14ac:dyDescent="0.25">
      <c r="A151" t="s">
        <v>3139</v>
      </c>
      <c r="B151" t="s">
        <v>3171</v>
      </c>
      <c r="C151">
        <v>200</v>
      </c>
      <c r="D151">
        <v>55700000</v>
      </c>
      <c r="E151">
        <v>42800000</v>
      </c>
      <c r="F151" t="s">
        <v>3526</v>
      </c>
      <c r="G151">
        <v>2023</v>
      </c>
      <c r="H151" t="s">
        <v>3172</v>
      </c>
      <c r="I151" t="s">
        <v>3161</v>
      </c>
      <c r="J151" t="s">
        <v>3527</v>
      </c>
      <c r="K151" t="s">
        <v>564</v>
      </c>
    </row>
    <row r="152" spans="1:11" x14ac:dyDescent="0.25">
      <c r="A152" t="s">
        <v>3139</v>
      </c>
      <c r="B152" t="s">
        <v>3171</v>
      </c>
      <c r="C152">
        <v>250</v>
      </c>
      <c r="D152">
        <v>61100000</v>
      </c>
      <c r="E152">
        <v>48000000</v>
      </c>
      <c r="F152" t="s">
        <v>3526</v>
      </c>
      <c r="G152">
        <v>2023</v>
      </c>
      <c r="H152" t="s">
        <v>3172</v>
      </c>
      <c r="I152" t="s">
        <v>3161</v>
      </c>
      <c r="J152" t="s">
        <v>3527</v>
      </c>
      <c r="K152" t="s">
        <v>564</v>
      </c>
    </row>
    <row r="153" spans="1:11" x14ac:dyDescent="0.25">
      <c r="A153" t="s">
        <v>3139</v>
      </c>
      <c r="B153" t="s">
        <v>3171</v>
      </c>
      <c r="C153">
        <v>500</v>
      </c>
      <c r="D153">
        <v>73200000</v>
      </c>
      <c r="E153">
        <v>61700000</v>
      </c>
      <c r="F153" t="s">
        <v>3526</v>
      </c>
      <c r="G153">
        <v>2023</v>
      </c>
      <c r="H153" t="s">
        <v>3172</v>
      </c>
      <c r="I153" t="s">
        <v>3161</v>
      </c>
      <c r="J153" t="s">
        <v>3527</v>
      </c>
      <c r="K153" t="s">
        <v>564</v>
      </c>
    </row>
    <row r="154" spans="1:11" x14ac:dyDescent="0.25">
      <c r="A154" t="s">
        <v>3139</v>
      </c>
      <c r="B154" t="s">
        <v>3171</v>
      </c>
      <c r="C154">
        <v>1000</v>
      </c>
      <c r="D154">
        <v>102800000</v>
      </c>
      <c r="E154">
        <v>94700000</v>
      </c>
      <c r="F154" t="s">
        <v>3526</v>
      </c>
      <c r="G154">
        <v>2023</v>
      </c>
      <c r="H154" t="s">
        <v>3172</v>
      </c>
      <c r="I154" t="s">
        <v>3161</v>
      </c>
      <c r="J154" t="s">
        <v>3527</v>
      </c>
      <c r="K154" t="s">
        <v>564</v>
      </c>
    </row>
    <row r="155" spans="1:11" x14ac:dyDescent="0.25">
      <c r="A155" t="s">
        <v>3139</v>
      </c>
      <c r="B155" t="s">
        <v>3171</v>
      </c>
      <c r="C155">
        <v>5000</v>
      </c>
      <c r="D155">
        <v>215500000</v>
      </c>
      <c r="E155">
        <v>209100000</v>
      </c>
      <c r="F155" t="s">
        <v>3526</v>
      </c>
      <c r="G155">
        <v>2023</v>
      </c>
      <c r="H155" t="s">
        <v>3172</v>
      </c>
      <c r="I155" t="s">
        <v>3161</v>
      </c>
      <c r="J155" t="s">
        <v>3527</v>
      </c>
      <c r="K155" t="s">
        <v>564</v>
      </c>
    </row>
    <row r="156" spans="1:11" x14ac:dyDescent="0.25">
      <c r="A156" t="s">
        <v>3139</v>
      </c>
      <c r="B156" t="s">
        <v>3171</v>
      </c>
      <c r="C156">
        <v>10000</v>
      </c>
      <c r="D156">
        <v>324900000</v>
      </c>
      <c r="E156">
        <v>320100000</v>
      </c>
      <c r="F156" t="s">
        <v>3526</v>
      </c>
      <c r="G156">
        <v>2023</v>
      </c>
      <c r="H156" t="s">
        <v>3172</v>
      </c>
      <c r="I156" t="s">
        <v>3161</v>
      </c>
      <c r="J156" t="s">
        <v>3527</v>
      </c>
      <c r="K156" t="s">
        <v>564</v>
      </c>
    </row>
    <row r="157" spans="1:11" x14ac:dyDescent="0.25">
      <c r="A157" t="s">
        <v>3139</v>
      </c>
      <c r="B157" t="s">
        <v>3200</v>
      </c>
      <c r="C157">
        <v>5</v>
      </c>
      <c r="D157">
        <v>100000</v>
      </c>
      <c r="E157">
        <v>100000</v>
      </c>
      <c r="F157" t="s">
        <v>3528</v>
      </c>
      <c r="G157">
        <v>2023</v>
      </c>
      <c r="H157" t="s">
        <v>3201</v>
      </c>
      <c r="I157" t="s">
        <v>3161</v>
      </c>
      <c r="J157" t="s">
        <v>3529</v>
      </c>
      <c r="K157" t="s">
        <v>13</v>
      </c>
    </row>
    <row r="158" spans="1:11" x14ac:dyDescent="0.25">
      <c r="A158" t="s">
        <v>3139</v>
      </c>
      <c r="B158" t="s">
        <v>3200</v>
      </c>
      <c r="C158">
        <v>10</v>
      </c>
      <c r="D158">
        <v>700000</v>
      </c>
      <c r="E158">
        <v>700000</v>
      </c>
      <c r="F158" t="s">
        <v>3528</v>
      </c>
      <c r="G158">
        <v>2023</v>
      </c>
      <c r="H158" t="s">
        <v>3201</v>
      </c>
      <c r="I158" t="s">
        <v>3161</v>
      </c>
      <c r="J158" t="s">
        <v>3529</v>
      </c>
      <c r="K158" t="s">
        <v>13</v>
      </c>
    </row>
    <row r="159" spans="1:11" x14ac:dyDescent="0.25">
      <c r="A159" t="s">
        <v>3139</v>
      </c>
      <c r="B159" t="s">
        <v>3200</v>
      </c>
      <c r="C159">
        <v>25</v>
      </c>
      <c r="D159">
        <v>6200000</v>
      </c>
      <c r="E159">
        <v>6000000</v>
      </c>
      <c r="F159" t="s">
        <v>3528</v>
      </c>
      <c r="G159">
        <v>2023</v>
      </c>
      <c r="H159" t="s">
        <v>3201</v>
      </c>
      <c r="I159" t="s">
        <v>3161</v>
      </c>
      <c r="J159" t="s">
        <v>3529</v>
      </c>
      <c r="K159" t="s">
        <v>13</v>
      </c>
    </row>
    <row r="160" spans="1:11" x14ac:dyDescent="0.25">
      <c r="A160" t="s">
        <v>3139</v>
      </c>
      <c r="B160" t="s">
        <v>3200</v>
      </c>
      <c r="C160">
        <v>50</v>
      </c>
      <c r="D160">
        <v>14300000</v>
      </c>
      <c r="E160">
        <v>13900000</v>
      </c>
      <c r="F160" t="s">
        <v>3528</v>
      </c>
      <c r="G160">
        <v>2023</v>
      </c>
      <c r="H160" t="s">
        <v>3201</v>
      </c>
      <c r="I160" t="s">
        <v>3161</v>
      </c>
      <c r="J160" t="s">
        <v>3529</v>
      </c>
      <c r="K160" t="s">
        <v>13</v>
      </c>
    </row>
    <row r="161" spans="1:11" x14ac:dyDescent="0.25">
      <c r="A161" t="s">
        <v>3139</v>
      </c>
      <c r="B161" t="s">
        <v>3200</v>
      </c>
      <c r="C161">
        <v>100</v>
      </c>
      <c r="D161">
        <v>30200000</v>
      </c>
      <c r="E161">
        <v>29600000</v>
      </c>
      <c r="F161" t="s">
        <v>3528</v>
      </c>
      <c r="G161">
        <v>2023</v>
      </c>
      <c r="H161" t="s">
        <v>3201</v>
      </c>
      <c r="I161" t="s">
        <v>3161</v>
      </c>
      <c r="J161" t="s">
        <v>3529</v>
      </c>
      <c r="K161" t="s">
        <v>13</v>
      </c>
    </row>
    <row r="162" spans="1:11" x14ac:dyDescent="0.25">
      <c r="A162" t="s">
        <v>3139</v>
      </c>
      <c r="B162" t="s">
        <v>3200</v>
      </c>
      <c r="C162">
        <v>200</v>
      </c>
      <c r="D162">
        <v>36100000</v>
      </c>
      <c r="E162">
        <v>35700000</v>
      </c>
      <c r="F162" t="s">
        <v>3528</v>
      </c>
      <c r="G162">
        <v>2023</v>
      </c>
      <c r="H162" t="s">
        <v>3201</v>
      </c>
      <c r="I162" t="s">
        <v>3161</v>
      </c>
      <c r="J162" t="s">
        <v>3529</v>
      </c>
      <c r="K162" t="s">
        <v>13</v>
      </c>
    </row>
    <row r="163" spans="1:11" x14ac:dyDescent="0.25">
      <c r="A163" t="s">
        <v>3139</v>
      </c>
      <c r="B163" t="s">
        <v>3200</v>
      </c>
      <c r="C163">
        <v>250</v>
      </c>
      <c r="D163">
        <v>37800000</v>
      </c>
      <c r="E163">
        <v>37100000</v>
      </c>
      <c r="F163" t="s">
        <v>3528</v>
      </c>
      <c r="G163">
        <v>2023</v>
      </c>
      <c r="H163" t="s">
        <v>3201</v>
      </c>
      <c r="I163" t="s">
        <v>3161</v>
      </c>
      <c r="J163" t="s">
        <v>3529</v>
      </c>
      <c r="K163" t="s">
        <v>13</v>
      </c>
    </row>
    <row r="164" spans="1:11" x14ac:dyDescent="0.25">
      <c r="A164" t="s">
        <v>3139</v>
      </c>
      <c r="B164" t="s">
        <v>3200</v>
      </c>
      <c r="C164">
        <v>500</v>
      </c>
      <c r="D164">
        <v>41100000</v>
      </c>
      <c r="E164">
        <v>40600000</v>
      </c>
      <c r="F164" t="s">
        <v>3528</v>
      </c>
      <c r="G164">
        <v>2023</v>
      </c>
      <c r="H164" t="s">
        <v>3201</v>
      </c>
      <c r="I164" t="s">
        <v>3161</v>
      </c>
      <c r="J164" t="s">
        <v>3529</v>
      </c>
      <c r="K164" t="s">
        <v>13</v>
      </c>
    </row>
    <row r="165" spans="1:11" x14ac:dyDescent="0.25">
      <c r="A165" t="s">
        <v>3139</v>
      </c>
      <c r="B165" t="s">
        <v>3200</v>
      </c>
      <c r="C165">
        <v>1000</v>
      </c>
      <c r="D165">
        <v>45300000</v>
      </c>
      <c r="E165">
        <v>43900000</v>
      </c>
      <c r="F165" t="s">
        <v>3528</v>
      </c>
      <c r="G165">
        <v>2023</v>
      </c>
      <c r="H165" t="s">
        <v>3201</v>
      </c>
      <c r="I165" t="s">
        <v>3161</v>
      </c>
      <c r="J165" t="s">
        <v>3529</v>
      </c>
      <c r="K165" t="s">
        <v>13</v>
      </c>
    </row>
    <row r="166" spans="1:11" x14ac:dyDescent="0.25">
      <c r="A166" t="s">
        <v>3139</v>
      </c>
      <c r="B166" t="s">
        <v>3200</v>
      </c>
      <c r="C166">
        <v>5000</v>
      </c>
      <c r="D166">
        <v>55900000</v>
      </c>
      <c r="E166">
        <v>50000000</v>
      </c>
      <c r="F166" t="s">
        <v>3528</v>
      </c>
      <c r="G166">
        <v>2023</v>
      </c>
      <c r="H166" t="s">
        <v>3201</v>
      </c>
      <c r="I166" t="s">
        <v>3161</v>
      </c>
      <c r="J166" t="s">
        <v>3529</v>
      </c>
      <c r="K166" t="s">
        <v>13</v>
      </c>
    </row>
    <row r="167" spans="1:11" x14ac:dyDescent="0.25">
      <c r="A167" t="s">
        <v>3139</v>
      </c>
      <c r="B167" t="s">
        <v>3200</v>
      </c>
      <c r="C167">
        <v>10000</v>
      </c>
      <c r="D167">
        <v>58700000</v>
      </c>
      <c r="E167">
        <v>53300000</v>
      </c>
      <c r="F167" t="s">
        <v>3528</v>
      </c>
      <c r="G167">
        <v>2023</v>
      </c>
      <c r="H167" t="s">
        <v>3201</v>
      </c>
      <c r="I167" t="s">
        <v>3161</v>
      </c>
      <c r="J167" t="s">
        <v>3529</v>
      </c>
      <c r="K167" t="s">
        <v>13</v>
      </c>
    </row>
    <row r="168" spans="1:11" x14ac:dyDescent="0.25">
      <c r="A168" t="s">
        <v>3139</v>
      </c>
      <c r="B168" t="s">
        <v>3178</v>
      </c>
      <c r="C168">
        <v>2</v>
      </c>
      <c r="D168">
        <v>100000</v>
      </c>
      <c r="E168">
        <v>100000</v>
      </c>
      <c r="F168" t="s">
        <v>3530</v>
      </c>
      <c r="G168">
        <v>2023</v>
      </c>
      <c r="H168" t="s">
        <v>3179</v>
      </c>
      <c r="I168" t="s">
        <v>3161</v>
      </c>
      <c r="J168" t="s">
        <v>3531</v>
      </c>
      <c r="K168" t="s">
        <v>564</v>
      </c>
    </row>
    <row r="169" spans="1:11" x14ac:dyDescent="0.25">
      <c r="A169" t="s">
        <v>3139</v>
      </c>
      <c r="B169" t="s">
        <v>3178</v>
      </c>
      <c r="C169">
        <v>5</v>
      </c>
      <c r="D169">
        <v>600000</v>
      </c>
      <c r="E169">
        <v>600000</v>
      </c>
      <c r="F169" t="s">
        <v>3530</v>
      </c>
      <c r="G169">
        <v>2023</v>
      </c>
      <c r="H169" t="s">
        <v>3179</v>
      </c>
      <c r="I169" t="s">
        <v>3161</v>
      </c>
      <c r="J169" t="s">
        <v>3531</v>
      </c>
      <c r="K169" t="s">
        <v>564</v>
      </c>
    </row>
    <row r="170" spans="1:11" x14ac:dyDescent="0.25">
      <c r="A170" t="s">
        <v>3139</v>
      </c>
      <c r="B170" t="s">
        <v>3178</v>
      </c>
      <c r="C170">
        <v>10</v>
      </c>
      <c r="D170">
        <v>2700000</v>
      </c>
      <c r="E170">
        <v>2500000</v>
      </c>
      <c r="F170" t="s">
        <v>3530</v>
      </c>
      <c r="G170">
        <v>2023</v>
      </c>
      <c r="H170" t="s">
        <v>3179</v>
      </c>
      <c r="I170" t="s">
        <v>3161</v>
      </c>
      <c r="J170" t="s">
        <v>3531</v>
      </c>
      <c r="K170" t="s">
        <v>564</v>
      </c>
    </row>
    <row r="171" spans="1:11" x14ac:dyDescent="0.25">
      <c r="A171" t="s">
        <v>3139</v>
      </c>
      <c r="B171" t="s">
        <v>3178</v>
      </c>
      <c r="C171">
        <v>25</v>
      </c>
      <c r="D171">
        <v>11600000</v>
      </c>
      <c r="E171">
        <v>11100000</v>
      </c>
      <c r="F171" t="s">
        <v>3530</v>
      </c>
      <c r="G171">
        <v>2023</v>
      </c>
      <c r="H171" t="s">
        <v>3179</v>
      </c>
      <c r="I171" t="s">
        <v>3161</v>
      </c>
      <c r="J171" t="s">
        <v>3531</v>
      </c>
      <c r="K171" t="s">
        <v>564</v>
      </c>
    </row>
    <row r="172" spans="1:11" x14ac:dyDescent="0.25">
      <c r="A172" t="s">
        <v>3139</v>
      </c>
      <c r="B172" t="s">
        <v>3178</v>
      </c>
      <c r="C172">
        <v>50</v>
      </c>
      <c r="D172">
        <v>28200000</v>
      </c>
      <c r="E172">
        <v>27400000</v>
      </c>
      <c r="F172" t="s">
        <v>3530</v>
      </c>
      <c r="G172">
        <v>2023</v>
      </c>
      <c r="H172" t="s">
        <v>3179</v>
      </c>
      <c r="I172" t="s">
        <v>3161</v>
      </c>
      <c r="J172" t="s">
        <v>3531</v>
      </c>
      <c r="K172" t="s">
        <v>564</v>
      </c>
    </row>
    <row r="173" spans="1:11" x14ac:dyDescent="0.25">
      <c r="A173" t="s">
        <v>3139</v>
      </c>
      <c r="B173" t="s">
        <v>3178</v>
      </c>
      <c r="C173">
        <v>100</v>
      </c>
      <c r="D173">
        <v>63000000</v>
      </c>
      <c r="E173">
        <v>61700000</v>
      </c>
      <c r="F173" t="s">
        <v>3530</v>
      </c>
      <c r="G173">
        <v>2023</v>
      </c>
      <c r="H173" t="s">
        <v>3179</v>
      </c>
      <c r="I173" t="s">
        <v>3161</v>
      </c>
      <c r="J173" t="s">
        <v>3531</v>
      </c>
      <c r="K173" t="s">
        <v>564</v>
      </c>
    </row>
    <row r="174" spans="1:11" x14ac:dyDescent="0.25">
      <c r="A174" t="s">
        <v>3139</v>
      </c>
      <c r="B174" t="s">
        <v>3178</v>
      </c>
      <c r="C174">
        <v>200</v>
      </c>
      <c r="D174">
        <v>109800000</v>
      </c>
      <c r="E174">
        <v>108600000</v>
      </c>
      <c r="F174" t="s">
        <v>3530</v>
      </c>
      <c r="G174">
        <v>2023</v>
      </c>
      <c r="H174" t="s">
        <v>3179</v>
      </c>
      <c r="I174" t="s">
        <v>3161</v>
      </c>
      <c r="J174" t="s">
        <v>3531</v>
      </c>
      <c r="K174" t="s">
        <v>564</v>
      </c>
    </row>
    <row r="175" spans="1:11" x14ac:dyDescent="0.25">
      <c r="A175" t="s">
        <v>3139</v>
      </c>
      <c r="B175" t="s">
        <v>3178</v>
      </c>
      <c r="C175">
        <v>250</v>
      </c>
      <c r="D175">
        <v>129700000</v>
      </c>
      <c r="E175">
        <v>128800000</v>
      </c>
      <c r="F175" t="s">
        <v>3530</v>
      </c>
      <c r="G175">
        <v>2023</v>
      </c>
      <c r="H175" t="s">
        <v>3179</v>
      </c>
      <c r="I175" t="s">
        <v>3161</v>
      </c>
      <c r="J175" t="s">
        <v>3531</v>
      </c>
      <c r="K175" t="s">
        <v>564</v>
      </c>
    </row>
    <row r="176" spans="1:11" x14ac:dyDescent="0.25">
      <c r="A176" t="s">
        <v>3139</v>
      </c>
      <c r="B176" t="s">
        <v>3178</v>
      </c>
      <c r="C176">
        <v>500</v>
      </c>
      <c r="D176">
        <v>210600000</v>
      </c>
      <c r="E176">
        <v>208300000</v>
      </c>
      <c r="F176" t="s">
        <v>3530</v>
      </c>
      <c r="G176">
        <v>2023</v>
      </c>
      <c r="H176" t="s">
        <v>3179</v>
      </c>
      <c r="I176" t="s">
        <v>3161</v>
      </c>
      <c r="J176" t="s">
        <v>3531</v>
      </c>
      <c r="K176" t="s">
        <v>564</v>
      </c>
    </row>
    <row r="177" spans="1:11" x14ac:dyDescent="0.25">
      <c r="A177" t="s">
        <v>3139</v>
      </c>
      <c r="B177" t="s">
        <v>3178</v>
      </c>
      <c r="C177">
        <v>1000</v>
      </c>
      <c r="D177">
        <v>308900000</v>
      </c>
      <c r="E177">
        <v>308900000</v>
      </c>
      <c r="F177" t="s">
        <v>3530</v>
      </c>
      <c r="G177">
        <v>2023</v>
      </c>
      <c r="H177" t="s">
        <v>3179</v>
      </c>
      <c r="I177" t="s">
        <v>3161</v>
      </c>
      <c r="J177" t="s">
        <v>3531</v>
      </c>
      <c r="K177" t="s">
        <v>564</v>
      </c>
    </row>
    <row r="178" spans="1:11" x14ac:dyDescent="0.25">
      <c r="A178" t="s">
        <v>3139</v>
      </c>
      <c r="B178" t="s">
        <v>3178</v>
      </c>
      <c r="C178">
        <v>5000</v>
      </c>
      <c r="D178">
        <v>559500000</v>
      </c>
      <c r="E178">
        <v>559400000</v>
      </c>
      <c r="F178" t="s">
        <v>3530</v>
      </c>
      <c r="G178">
        <v>2023</v>
      </c>
      <c r="H178" t="s">
        <v>3179</v>
      </c>
      <c r="I178" t="s">
        <v>3161</v>
      </c>
      <c r="J178" t="s">
        <v>3531</v>
      </c>
      <c r="K178" t="s">
        <v>564</v>
      </c>
    </row>
    <row r="179" spans="1:11" x14ac:dyDescent="0.25">
      <c r="A179" t="s">
        <v>3139</v>
      </c>
      <c r="B179" t="s">
        <v>3178</v>
      </c>
      <c r="C179">
        <v>10000</v>
      </c>
      <c r="D179">
        <v>658700000</v>
      </c>
      <c r="E179">
        <v>658700000</v>
      </c>
      <c r="F179" t="s">
        <v>3530</v>
      </c>
      <c r="G179">
        <v>2023</v>
      </c>
      <c r="H179" t="s">
        <v>3179</v>
      </c>
      <c r="I179" t="s">
        <v>3161</v>
      </c>
      <c r="J179" t="s">
        <v>3531</v>
      </c>
      <c r="K179" t="s">
        <v>564</v>
      </c>
    </row>
    <row r="180" spans="1:11" x14ac:dyDescent="0.25">
      <c r="A180" t="s">
        <v>3139</v>
      </c>
      <c r="B180" t="s">
        <v>3182</v>
      </c>
      <c r="C180">
        <v>5</v>
      </c>
      <c r="D180">
        <v>100000</v>
      </c>
      <c r="E180">
        <v>100000</v>
      </c>
      <c r="F180" t="s">
        <v>3536</v>
      </c>
      <c r="G180">
        <v>2023</v>
      </c>
      <c r="H180" t="s">
        <v>3183</v>
      </c>
      <c r="I180" t="s">
        <v>3161</v>
      </c>
      <c r="J180" t="s">
        <v>3537</v>
      </c>
      <c r="K180" t="s">
        <v>481</v>
      </c>
    </row>
    <row r="181" spans="1:11" x14ac:dyDescent="0.25">
      <c r="A181" t="s">
        <v>3139</v>
      </c>
      <c r="B181" t="s">
        <v>3182</v>
      </c>
      <c r="C181">
        <v>10</v>
      </c>
      <c r="D181">
        <v>700000</v>
      </c>
      <c r="E181">
        <v>700000</v>
      </c>
      <c r="F181" t="s">
        <v>3536</v>
      </c>
      <c r="G181">
        <v>2023</v>
      </c>
      <c r="H181" t="s">
        <v>3183</v>
      </c>
      <c r="I181" t="s">
        <v>3161</v>
      </c>
      <c r="J181" t="s">
        <v>3537</v>
      </c>
      <c r="K181" t="s">
        <v>481</v>
      </c>
    </row>
    <row r="182" spans="1:11" x14ac:dyDescent="0.25">
      <c r="A182" t="s">
        <v>3139</v>
      </c>
      <c r="B182" t="s">
        <v>3182</v>
      </c>
      <c r="C182">
        <v>25</v>
      </c>
      <c r="D182">
        <v>6500000</v>
      </c>
      <c r="E182">
        <v>6200000</v>
      </c>
      <c r="F182" t="s">
        <v>3536</v>
      </c>
      <c r="G182">
        <v>2023</v>
      </c>
      <c r="H182" t="s">
        <v>3183</v>
      </c>
      <c r="I182" t="s">
        <v>3161</v>
      </c>
      <c r="J182" t="s">
        <v>3537</v>
      </c>
      <c r="K182" t="s">
        <v>481</v>
      </c>
    </row>
    <row r="183" spans="1:11" x14ac:dyDescent="0.25">
      <c r="A183" t="s">
        <v>3139</v>
      </c>
      <c r="B183" t="s">
        <v>3182</v>
      </c>
      <c r="C183">
        <v>50</v>
      </c>
      <c r="D183">
        <v>15000000</v>
      </c>
      <c r="E183">
        <v>14600000</v>
      </c>
      <c r="F183" t="s">
        <v>3536</v>
      </c>
      <c r="G183">
        <v>2023</v>
      </c>
      <c r="H183" t="s">
        <v>3183</v>
      </c>
      <c r="I183" t="s">
        <v>3161</v>
      </c>
      <c r="J183" t="s">
        <v>3537</v>
      </c>
      <c r="K183" t="s">
        <v>481</v>
      </c>
    </row>
    <row r="184" spans="1:11" x14ac:dyDescent="0.25">
      <c r="A184" t="s">
        <v>3139</v>
      </c>
      <c r="B184" t="s">
        <v>3182</v>
      </c>
      <c r="C184">
        <v>100</v>
      </c>
      <c r="D184">
        <v>30600000</v>
      </c>
      <c r="E184">
        <v>30000000</v>
      </c>
      <c r="F184" t="s">
        <v>3536</v>
      </c>
      <c r="G184">
        <v>2023</v>
      </c>
      <c r="H184" t="s">
        <v>3183</v>
      </c>
      <c r="I184" t="s">
        <v>3161</v>
      </c>
      <c r="J184" t="s">
        <v>3537</v>
      </c>
      <c r="K184" t="s">
        <v>481</v>
      </c>
    </row>
    <row r="185" spans="1:11" x14ac:dyDescent="0.25">
      <c r="A185" t="s">
        <v>3139</v>
      </c>
      <c r="B185" t="s">
        <v>3182</v>
      </c>
      <c r="C185">
        <v>200</v>
      </c>
      <c r="D185">
        <v>36600000</v>
      </c>
      <c r="E185">
        <v>35900000</v>
      </c>
      <c r="F185" t="s">
        <v>3536</v>
      </c>
      <c r="G185">
        <v>2023</v>
      </c>
      <c r="H185" t="s">
        <v>3183</v>
      </c>
      <c r="I185" t="s">
        <v>3161</v>
      </c>
      <c r="J185" t="s">
        <v>3537</v>
      </c>
      <c r="K185" t="s">
        <v>481</v>
      </c>
    </row>
    <row r="186" spans="1:11" x14ac:dyDescent="0.25">
      <c r="A186" t="s">
        <v>3139</v>
      </c>
      <c r="B186" t="s">
        <v>3182</v>
      </c>
      <c r="C186">
        <v>250</v>
      </c>
      <c r="D186">
        <v>38000000</v>
      </c>
      <c r="E186">
        <v>37400000</v>
      </c>
      <c r="F186" t="s">
        <v>3536</v>
      </c>
      <c r="G186">
        <v>2023</v>
      </c>
      <c r="H186" t="s">
        <v>3183</v>
      </c>
      <c r="I186" t="s">
        <v>3161</v>
      </c>
      <c r="J186" t="s">
        <v>3537</v>
      </c>
      <c r="K186" t="s">
        <v>481</v>
      </c>
    </row>
    <row r="187" spans="1:11" x14ac:dyDescent="0.25">
      <c r="A187" t="s">
        <v>3139</v>
      </c>
      <c r="B187" t="s">
        <v>3182</v>
      </c>
      <c r="C187">
        <v>500</v>
      </c>
      <c r="D187">
        <v>42300000</v>
      </c>
      <c r="E187">
        <v>41200000</v>
      </c>
      <c r="F187" t="s">
        <v>3536</v>
      </c>
      <c r="G187">
        <v>2023</v>
      </c>
      <c r="H187" t="s">
        <v>3183</v>
      </c>
      <c r="I187" t="s">
        <v>3161</v>
      </c>
      <c r="J187" t="s">
        <v>3537</v>
      </c>
      <c r="K187" t="s">
        <v>481</v>
      </c>
    </row>
    <row r="188" spans="1:11" x14ac:dyDescent="0.25">
      <c r="A188" t="s">
        <v>3139</v>
      </c>
      <c r="B188" t="s">
        <v>3182</v>
      </c>
      <c r="C188">
        <v>1000</v>
      </c>
      <c r="D188">
        <v>45900000</v>
      </c>
      <c r="E188">
        <v>44400000</v>
      </c>
      <c r="F188" t="s">
        <v>3536</v>
      </c>
      <c r="G188">
        <v>2023</v>
      </c>
      <c r="H188" t="s">
        <v>3183</v>
      </c>
      <c r="I188" t="s">
        <v>3161</v>
      </c>
      <c r="J188" t="s">
        <v>3537</v>
      </c>
      <c r="K188" t="s">
        <v>481</v>
      </c>
    </row>
    <row r="189" spans="1:11" x14ac:dyDescent="0.25">
      <c r="A189" t="s">
        <v>3139</v>
      </c>
      <c r="B189" t="s">
        <v>3182</v>
      </c>
      <c r="C189">
        <v>5000</v>
      </c>
      <c r="D189">
        <v>54600000</v>
      </c>
      <c r="E189">
        <v>50700000</v>
      </c>
      <c r="F189" t="s">
        <v>3536</v>
      </c>
      <c r="G189">
        <v>2023</v>
      </c>
      <c r="H189" t="s">
        <v>3183</v>
      </c>
      <c r="I189" t="s">
        <v>3161</v>
      </c>
      <c r="J189" t="s">
        <v>3537</v>
      </c>
      <c r="K189" t="s">
        <v>481</v>
      </c>
    </row>
    <row r="190" spans="1:11" x14ac:dyDescent="0.25">
      <c r="A190" t="s">
        <v>3139</v>
      </c>
      <c r="B190" t="s">
        <v>3182</v>
      </c>
      <c r="C190">
        <v>10000</v>
      </c>
      <c r="D190">
        <v>58800000</v>
      </c>
      <c r="E190">
        <v>53200000</v>
      </c>
      <c r="F190" t="s">
        <v>3536</v>
      </c>
      <c r="G190">
        <v>2023</v>
      </c>
      <c r="H190" t="s">
        <v>3183</v>
      </c>
      <c r="I190" t="s">
        <v>3161</v>
      </c>
      <c r="J190" t="s">
        <v>3537</v>
      </c>
      <c r="K190" t="s">
        <v>481</v>
      </c>
    </row>
    <row r="191" spans="1:11" x14ac:dyDescent="0.25">
      <c r="A191" t="s">
        <v>3139</v>
      </c>
      <c r="B191" t="s">
        <v>3185</v>
      </c>
      <c r="C191">
        <v>5</v>
      </c>
      <c r="D191">
        <v>100000</v>
      </c>
      <c r="E191">
        <v>100000</v>
      </c>
      <c r="F191" t="s">
        <v>3538</v>
      </c>
      <c r="G191">
        <v>2023</v>
      </c>
      <c r="H191" t="s">
        <v>3186</v>
      </c>
      <c r="I191" t="s">
        <v>3161</v>
      </c>
      <c r="J191" t="s">
        <v>3539</v>
      </c>
      <c r="K191" t="s">
        <v>13</v>
      </c>
    </row>
    <row r="192" spans="1:11" x14ac:dyDescent="0.25">
      <c r="A192" t="s">
        <v>3139</v>
      </c>
      <c r="B192" t="s">
        <v>3185</v>
      </c>
      <c r="C192">
        <v>10</v>
      </c>
      <c r="D192">
        <v>700000</v>
      </c>
      <c r="E192">
        <v>700000</v>
      </c>
      <c r="F192" t="s">
        <v>3538</v>
      </c>
      <c r="G192">
        <v>2023</v>
      </c>
      <c r="H192" t="s">
        <v>3186</v>
      </c>
      <c r="I192" t="s">
        <v>3161</v>
      </c>
      <c r="J192" t="s">
        <v>3539</v>
      </c>
      <c r="K192" t="s">
        <v>13</v>
      </c>
    </row>
    <row r="193" spans="1:11" x14ac:dyDescent="0.25">
      <c r="A193" t="s">
        <v>3139</v>
      </c>
      <c r="B193" t="s">
        <v>3185</v>
      </c>
      <c r="C193">
        <v>25</v>
      </c>
      <c r="D193">
        <v>6300000</v>
      </c>
      <c r="E193">
        <v>6100000</v>
      </c>
      <c r="F193" t="s">
        <v>3538</v>
      </c>
      <c r="G193">
        <v>2023</v>
      </c>
      <c r="H193" t="s">
        <v>3186</v>
      </c>
      <c r="I193" t="s">
        <v>3161</v>
      </c>
      <c r="J193" t="s">
        <v>3539</v>
      </c>
      <c r="K193" t="s">
        <v>13</v>
      </c>
    </row>
    <row r="194" spans="1:11" x14ac:dyDescent="0.25">
      <c r="A194" t="s">
        <v>3139</v>
      </c>
      <c r="B194" t="s">
        <v>3185</v>
      </c>
      <c r="C194">
        <v>50</v>
      </c>
      <c r="D194">
        <v>14400000</v>
      </c>
      <c r="E194">
        <v>14100000</v>
      </c>
      <c r="F194" t="s">
        <v>3538</v>
      </c>
      <c r="G194">
        <v>2023</v>
      </c>
      <c r="H194" t="s">
        <v>3186</v>
      </c>
      <c r="I194" t="s">
        <v>3161</v>
      </c>
      <c r="J194" t="s">
        <v>3539</v>
      </c>
      <c r="K194" t="s">
        <v>13</v>
      </c>
    </row>
    <row r="195" spans="1:11" x14ac:dyDescent="0.25">
      <c r="A195" t="s">
        <v>3139</v>
      </c>
      <c r="B195" t="s">
        <v>3185</v>
      </c>
      <c r="C195">
        <v>100</v>
      </c>
      <c r="D195">
        <v>30700000</v>
      </c>
      <c r="E195">
        <v>30300000</v>
      </c>
      <c r="F195" t="s">
        <v>3538</v>
      </c>
      <c r="G195">
        <v>2023</v>
      </c>
      <c r="H195" t="s">
        <v>3186</v>
      </c>
      <c r="I195" t="s">
        <v>3161</v>
      </c>
      <c r="J195" t="s">
        <v>3539</v>
      </c>
      <c r="K195" t="s">
        <v>13</v>
      </c>
    </row>
    <row r="196" spans="1:11" x14ac:dyDescent="0.25">
      <c r="A196" t="s">
        <v>3139</v>
      </c>
      <c r="B196" t="s">
        <v>3185</v>
      </c>
      <c r="C196">
        <v>200</v>
      </c>
      <c r="D196">
        <v>37000000</v>
      </c>
      <c r="E196">
        <v>36500000</v>
      </c>
      <c r="F196" t="s">
        <v>3538</v>
      </c>
      <c r="G196">
        <v>2023</v>
      </c>
      <c r="H196" t="s">
        <v>3186</v>
      </c>
      <c r="I196" t="s">
        <v>3161</v>
      </c>
      <c r="J196" t="s">
        <v>3539</v>
      </c>
      <c r="K196" t="s">
        <v>13</v>
      </c>
    </row>
    <row r="197" spans="1:11" x14ac:dyDescent="0.25">
      <c r="A197" t="s">
        <v>3139</v>
      </c>
      <c r="B197" t="s">
        <v>3185</v>
      </c>
      <c r="C197">
        <v>250</v>
      </c>
      <c r="D197">
        <v>38300000</v>
      </c>
      <c r="E197">
        <v>37800000</v>
      </c>
      <c r="F197" t="s">
        <v>3538</v>
      </c>
      <c r="G197">
        <v>2023</v>
      </c>
      <c r="H197" t="s">
        <v>3186</v>
      </c>
      <c r="I197" t="s">
        <v>3161</v>
      </c>
      <c r="J197" t="s">
        <v>3539</v>
      </c>
      <c r="K197" t="s">
        <v>13</v>
      </c>
    </row>
    <row r="198" spans="1:11" x14ac:dyDescent="0.25">
      <c r="A198" t="s">
        <v>3139</v>
      </c>
      <c r="B198" t="s">
        <v>3185</v>
      </c>
      <c r="C198">
        <v>500</v>
      </c>
      <c r="D198">
        <v>42200000</v>
      </c>
      <c r="E198">
        <v>41000000</v>
      </c>
      <c r="F198" t="s">
        <v>3538</v>
      </c>
      <c r="G198">
        <v>2023</v>
      </c>
      <c r="H198" t="s">
        <v>3186</v>
      </c>
      <c r="I198" t="s">
        <v>3161</v>
      </c>
      <c r="J198" t="s">
        <v>3539</v>
      </c>
      <c r="K198" t="s">
        <v>13</v>
      </c>
    </row>
    <row r="199" spans="1:11" x14ac:dyDescent="0.25">
      <c r="A199" t="s">
        <v>3139</v>
      </c>
      <c r="B199" t="s">
        <v>3185</v>
      </c>
      <c r="C199">
        <v>1000</v>
      </c>
      <c r="D199">
        <v>46100000</v>
      </c>
      <c r="E199">
        <v>45000000</v>
      </c>
      <c r="F199" t="s">
        <v>3538</v>
      </c>
      <c r="G199">
        <v>2023</v>
      </c>
      <c r="H199" t="s">
        <v>3186</v>
      </c>
      <c r="I199" t="s">
        <v>3161</v>
      </c>
      <c r="J199" t="s">
        <v>3539</v>
      </c>
      <c r="K199" t="s">
        <v>13</v>
      </c>
    </row>
    <row r="200" spans="1:11" x14ac:dyDescent="0.25">
      <c r="A200" t="s">
        <v>3139</v>
      </c>
      <c r="B200" t="s">
        <v>3185</v>
      </c>
      <c r="C200">
        <v>5000</v>
      </c>
      <c r="D200">
        <v>55900000</v>
      </c>
      <c r="E200">
        <v>50500000</v>
      </c>
      <c r="F200" t="s">
        <v>3538</v>
      </c>
      <c r="G200">
        <v>2023</v>
      </c>
      <c r="H200" t="s">
        <v>3186</v>
      </c>
      <c r="I200" t="s">
        <v>3161</v>
      </c>
      <c r="J200" t="s">
        <v>3539</v>
      </c>
      <c r="K200" t="s">
        <v>13</v>
      </c>
    </row>
    <row r="201" spans="1:11" x14ac:dyDescent="0.25">
      <c r="A201" t="s">
        <v>3139</v>
      </c>
      <c r="B201" t="s">
        <v>3185</v>
      </c>
      <c r="C201">
        <v>10000</v>
      </c>
      <c r="D201">
        <v>70600000</v>
      </c>
      <c r="E201">
        <v>53000000</v>
      </c>
      <c r="F201" t="s">
        <v>3538</v>
      </c>
      <c r="G201">
        <v>2023</v>
      </c>
      <c r="H201" t="s">
        <v>3186</v>
      </c>
      <c r="I201" t="s">
        <v>3161</v>
      </c>
      <c r="J201" t="s">
        <v>3539</v>
      </c>
      <c r="K201" t="s">
        <v>13</v>
      </c>
    </row>
    <row r="202" spans="1:11" x14ac:dyDescent="0.25">
      <c r="A202" t="s">
        <v>3139</v>
      </c>
      <c r="B202" t="s">
        <v>3188</v>
      </c>
      <c r="C202">
        <v>2</v>
      </c>
      <c r="D202">
        <v>2000000</v>
      </c>
      <c r="E202">
        <v>1700000</v>
      </c>
      <c r="F202" t="s">
        <v>3540</v>
      </c>
      <c r="G202">
        <v>2023</v>
      </c>
      <c r="H202" t="s">
        <v>3189</v>
      </c>
      <c r="I202" t="s">
        <v>3161</v>
      </c>
      <c r="J202" t="s">
        <v>3541</v>
      </c>
      <c r="K202" t="s">
        <v>564</v>
      </c>
    </row>
    <row r="203" spans="1:11" x14ac:dyDescent="0.25">
      <c r="A203" t="s">
        <v>3139</v>
      </c>
      <c r="B203" t="s">
        <v>3188</v>
      </c>
      <c r="C203">
        <v>5</v>
      </c>
      <c r="D203">
        <v>22400000</v>
      </c>
      <c r="E203">
        <v>19200000</v>
      </c>
      <c r="F203" t="s">
        <v>3540</v>
      </c>
      <c r="G203">
        <v>2023</v>
      </c>
      <c r="H203" t="s">
        <v>3189</v>
      </c>
      <c r="I203" t="s">
        <v>3161</v>
      </c>
      <c r="J203" t="s">
        <v>3541</v>
      </c>
      <c r="K203" t="s">
        <v>564</v>
      </c>
    </row>
    <row r="204" spans="1:11" x14ac:dyDescent="0.25">
      <c r="A204" t="s">
        <v>3139</v>
      </c>
      <c r="B204" t="s">
        <v>3188</v>
      </c>
      <c r="C204">
        <v>10</v>
      </c>
      <c r="D204">
        <v>49900000</v>
      </c>
      <c r="E204">
        <v>43000000</v>
      </c>
      <c r="F204" t="s">
        <v>3540</v>
      </c>
      <c r="G204">
        <v>2023</v>
      </c>
      <c r="H204" t="s">
        <v>3189</v>
      </c>
      <c r="I204" t="s">
        <v>3161</v>
      </c>
      <c r="J204" t="s">
        <v>3541</v>
      </c>
      <c r="K204" t="s">
        <v>564</v>
      </c>
    </row>
    <row r="205" spans="1:11" x14ac:dyDescent="0.25">
      <c r="A205" t="s">
        <v>3139</v>
      </c>
      <c r="B205" t="s">
        <v>3188</v>
      </c>
      <c r="C205">
        <v>25</v>
      </c>
      <c r="D205">
        <v>107200000</v>
      </c>
      <c r="E205">
        <v>94600000</v>
      </c>
      <c r="F205" t="s">
        <v>3540</v>
      </c>
      <c r="G205">
        <v>2023</v>
      </c>
      <c r="H205" t="s">
        <v>3189</v>
      </c>
      <c r="I205" t="s">
        <v>3161</v>
      </c>
      <c r="J205" t="s">
        <v>3541</v>
      </c>
      <c r="K205" t="s">
        <v>564</v>
      </c>
    </row>
    <row r="206" spans="1:11" x14ac:dyDescent="0.25">
      <c r="A206" t="s">
        <v>3139</v>
      </c>
      <c r="B206" t="s">
        <v>3188</v>
      </c>
      <c r="C206">
        <v>50</v>
      </c>
      <c r="D206">
        <v>167100000</v>
      </c>
      <c r="E206">
        <v>153000000</v>
      </c>
      <c r="F206" t="s">
        <v>3540</v>
      </c>
      <c r="G206">
        <v>2023</v>
      </c>
      <c r="H206" t="s">
        <v>3189</v>
      </c>
      <c r="I206" t="s">
        <v>3161</v>
      </c>
      <c r="J206" t="s">
        <v>3541</v>
      </c>
      <c r="K206" t="s">
        <v>564</v>
      </c>
    </row>
    <row r="207" spans="1:11" x14ac:dyDescent="0.25">
      <c r="A207" t="s">
        <v>3139</v>
      </c>
      <c r="B207" t="s">
        <v>3188</v>
      </c>
      <c r="C207">
        <v>100</v>
      </c>
      <c r="D207">
        <v>255800000</v>
      </c>
      <c r="E207">
        <v>237700000</v>
      </c>
      <c r="F207" t="s">
        <v>3540</v>
      </c>
      <c r="G207">
        <v>2023</v>
      </c>
      <c r="H207" t="s">
        <v>3189</v>
      </c>
      <c r="I207" t="s">
        <v>3161</v>
      </c>
      <c r="J207" t="s">
        <v>3541</v>
      </c>
      <c r="K207" t="s">
        <v>564</v>
      </c>
    </row>
    <row r="208" spans="1:11" x14ac:dyDescent="0.25">
      <c r="A208" t="s">
        <v>3139</v>
      </c>
      <c r="B208" t="s">
        <v>3188</v>
      </c>
      <c r="C208">
        <v>200</v>
      </c>
      <c r="D208">
        <v>375400000</v>
      </c>
      <c r="E208">
        <v>355300000</v>
      </c>
      <c r="F208" t="s">
        <v>3540</v>
      </c>
      <c r="G208">
        <v>2023</v>
      </c>
      <c r="H208" t="s">
        <v>3189</v>
      </c>
      <c r="I208" t="s">
        <v>3161</v>
      </c>
      <c r="J208" t="s">
        <v>3541</v>
      </c>
      <c r="K208" t="s">
        <v>564</v>
      </c>
    </row>
    <row r="209" spans="1:11" x14ac:dyDescent="0.25">
      <c r="A209" t="s">
        <v>3139</v>
      </c>
      <c r="B209" t="s">
        <v>3188</v>
      </c>
      <c r="C209">
        <v>250</v>
      </c>
      <c r="D209">
        <v>419200000</v>
      </c>
      <c r="E209">
        <v>404600000</v>
      </c>
      <c r="F209" t="s">
        <v>3540</v>
      </c>
      <c r="G209">
        <v>2023</v>
      </c>
      <c r="H209" t="s">
        <v>3189</v>
      </c>
      <c r="I209" t="s">
        <v>3161</v>
      </c>
      <c r="J209" t="s">
        <v>3541</v>
      </c>
      <c r="K209" t="s">
        <v>564</v>
      </c>
    </row>
    <row r="210" spans="1:11" x14ac:dyDescent="0.25">
      <c r="A210" t="s">
        <v>3139</v>
      </c>
      <c r="B210" t="s">
        <v>3188</v>
      </c>
      <c r="C210">
        <v>500</v>
      </c>
      <c r="D210">
        <v>618300000</v>
      </c>
      <c r="E210">
        <v>577600000</v>
      </c>
      <c r="F210" t="s">
        <v>3540</v>
      </c>
      <c r="G210">
        <v>2023</v>
      </c>
      <c r="H210" t="s">
        <v>3189</v>
      </c>
      <c r="I210" t="s">
        <v>3161</v>
      </c>
      <c r="J210" t="s">
        <v>3541</v>
      </c>
      <c r="K210" t="s">
        <v>564</v>
      </c>
    </row>
    <row r="211" spans="1:11" x14ac:dyDescent="0.25">
      <c r="A211" t="s">
        <v>3139</v>
      </c>
      <c r="B211" t="s">
        <v>3188</v>
      </c>
      <c r="C211">
        <v>1000</v>
      </c>
      <c r="D211">
        <v>890700000</v>
      </c>
      <c r="E211">
        <v>876600000</v>
      </c>
      <c r="F211" t="s">
        <v>3540</v>
      </c>
      <c r="G211">
        <v>2023</v>
      </c>
      <c r="H211" t="s">
        <v>3189</v>
      </c>
      <c r="I211" t="s">
        <v>3161</v>
      </c>
      <c r="J211" t="s">
        <v>3541</v>
      </c>
      <c r="K211" t="s">
        <v>564</v>
      </c>
    </row>
    <row r="212" spans="1:11" x14ac:dyDescent="0.25">
      <c r="A212" t="s">
        <v>3139</v>
      </c>
      <c r="B212" t="s">
        <v>3188</v>
      </c>
      <c r="C212">
        <v>5000</v>
      </c>
      <c r="D212">
        <v>1894700000</v>
      </c>
      <c r="E212">
        <v>1857500000</v>
      </c>
      <c r="F212" t="s">
        <v>3540</v>
      </c>
      <c r="G212">
        <v>2023</v>
      </c>
      <c r="H212" t="s">
        <v>3189</v>
      </c>
      <c r="I212" t="s">
        <v>3161</v>
      </c>
      <c r="J212" t="s">
        <v>3541</v>
      </c>
      <c r="K212" t="s">
        <v>564</v>
      </c>
    </row>
    <row r="213" spans="1:11" x14ac:dyDescent="0.25">
      <c r="A213" t="s">
        <v>3139</v>
      </c>
      <c r="B213" t="s">
        <v>3188</v>
      </c>
      <c r="C213">
        <v>10000</v>
      </c>
      <c r="D213">
        <v>2572300000</v>
      </c>
      <c r="E213">
        <v>2538200000</v>
      </c>
      <c r="F213" t="s">
        <v>3540</v>
      </c>
      <c r="G213">
        <v>2023</v>
      </c>
      <c r="H213" t="s">
        <v>3189</v>
      </c>
      <c r="I213" t="s">
        <v>3161</v>
      </c>
      <c r="J213" t="s">
        <v>3541</v>
      </c>
      <c r="K213" t="s">
        <v>564</v>
      </c>
    </row>
    <row r="214" spans="1:11" x14ac:dyDescent="0.25">
      <c r="A214" t="s">
        <v>3139</v>
      </c>
      <c r="B214" t="s">
        <v>3196</v>
      </c>
      <c r="C214">
        <v>2</v>
      </c>
      <c r="D214">
        <v>200000</v>
      </c>
      <c r="E214">
        <v>200000</v>
      </c>
      <c r="F214" t="s">
        <v>3534</v>
      </c>
      <c r="G214">
        <v>2023</v>
      </c>
      <c r="H214" t="s">
        <v>3197</v>
      </c>
      <c r="I214" t="s">
        <v>3161</v>
      </c>
      <c r="J214" t="s">
        <v>3535</v>
      </c>
      <c r="K214" t="s">
        <v>564</v>
      </c>
    </row>
    <row r="215" spans="1:11" x14ac:dyDescent="0.25">
      <c r="A215" t="s">
        <v>3139</v>
      </c>
      <c r="B215" t="s">
        <v>3196</v>
      </c>
      <c r="C215">
        <v>5</v>
      </c>
      <c r="D215">
        <v>2800000</v>
      </c>
      <c r="E215">
        <v>2100000</v>
      </c>
      <c r="F215" t="s">
        <v>3534</v>
      </c>
      <c r="G215">
        <v>2023</v>
      </c>
      <c r="H215" t="s">
        <v>3197</v>
      </c>
      <c r="I215" t="s">
        <v>3161</v>
      </c>
      <c r="J215" t="s">
        <v>3535</v>
      </c>
      <c r="K215" t="s">
        <v>564</v>
      </c>
    </row>
    <row r="216" spans="1:11" x14ac:dyDescent="0.25">
      <c r="A216" t="s">
        <v>3139</v>
      </c>
      <c r="B216" t="s">
        <v>3196</v>
      </c>
      <c r="C216">
        <v>10</v>
      </c>
      <c r="D216">
        <v>7600000</v>
      </c>
      <c r="E216">
        <v>5400000</v>
      </c>
      <c r="F216" t="s">
        <v>3534</v>
      </c>
      <c r="G216">
        <v>2023</v>
      </c>
      <c r="H216" t="s">
        <v>3197</v>
      </c>
      <c r="I216" t="s">
        <v>3161</v>
      </c>
      <c r="J216" t="s">
        <v>3535</v>
      </c>
      <c r="K216" t="s">
        <v>564</v>
      </c>
    </row>
    <row r="217" spans="1:11" x14ac:dyDescent="0.25">
      <c r="A217" t="s">
        <v>3139</v>
      </c>
      <c r="B217" t="s">
        <v>3196</v>
      </c>
      <c r="C217">
        <v>25</v>
      </c>
      <c r="D217">
        <v>20200000</v>
      </c>
      <c r="E217">
        <v>12500000</v>
      </c>
      <c r="F217" t="s">
        <v>3534</v>
      </c>
      <c r="G217">
        <v>2023</v>
      </c>
      <c r="H217" t="s">
        <v>3197</v>
      </c>
      <c r="I217" t="s">
        <v>3161</v>
      </c>
      <c r="J217" t="s">
        <v>3535</v>
      </c>
      <c r="K217" t="s">
        <v>564</v>
      </c>
    </row>
    <row r="218" spans="1:11" x14ac:dyDescent="0.25">
      <c r="A218" t="s">
        <v>3139</v>
      </c>
      <c r="B218" t="s">
        <v>3196</v>
      </c>
      <c r="C218">
        <v>50</v>
      </c>
      <c r="D218">
        <v>32400000</v>
      </c>
      <c r="E218">
        <v>19200000</v>
      </c>
      <c r="F218" t="s">
        <v>3534</v>
      </c>
      <c r="G218">
        <v>2023</v>
      </c>
      <c r="H218" t="s">
        <v>3197</v>
      </c>
      <c r="I218" t="s">
        <v>3161</v>
      </c>
      <c r="J218" t="s">
        <v>3535</v>
      </c>
      <c r="K218" t="s">
        <v>564</v>
      </c>
    </row>
    <row r="219" spans="1:11" x14ac:dyDescent="0.25">
      <c r="A219" t="s">
        <v>3139</v>
      </c>
      <c r="B219" t="s">
        <v>3196</v>
      </c>
      <c r="C219">
        <v>100</v>
      </c>
      <c r="D219">
        <v>56600000</v>
      </c>
      <c r="E219">
        <v>26300000</v>
      </c>
      <c r="F219" t="s">
        <v>3534</v>
      </c>
      <c r="G219">
        <v>2023</v>
      </c>
      <c r="H219" t="s">
        <v>3197</v>
      </c>
      <c r="I219" t="s">
        <v>3161</v>
      </c>
      <c r="J219" t="s">
        <v>3535</v>
      </c>
      <c r="K219" t="s">
        <v>564</v>
      </c>
    </row>
    <row r="220" spans="1:11" x14ac:dyDescent="0.25">
      <c r="A220" t="s">
        <v>3139</v>
      </c>
      <c r="B220" t="s">
        <v>3196</v>
      </c>
      <c r="C220">
        <v>200</v>
      </c>
      <c r="D220">
        <v>85200000</v>
      </c>
      <c r="E220">
        <v>40800000</v>
      </c>
      <c r="F220" t="s">
        <v>3534</v>
      </c>
      <c r="G220">
        <v>2023</v>
      </c>
      <c r="H220" t="s">
        <v>3197</v>
      </c>
      <c r="I220" t="s">
        <v>3161</v>
      </c>
      <c r="J220" t="s">
        <v>3535</v>
      </c>
      <c r="K220" t="s">
        <v>564</v>
      </c>
    </row>
    <row r="221" spans="1:11" x14ac:dyDescent="0.25">
      <c r="A221" t="s">
        <v>3139</v>
      </c>
      <c r="B221" t="s">
        <v>3196</v>
      </c>
      <c r="C221">
        <v>250</v>
      </c>
      <c r="D221">
        <v>92700000</v>
      </c>
      <c r="E221">
        <v>44900000</v>
      </c>
      <c r="F221" t="s">
        <v>3534</v>
      </c>
      <c r="G221">
        <v>2023</v>
      </c>
      <c r="H221" t="s">
        <v>3197</v>
      </c>
      <c r="I221" t="s">
        <v>3161</v>
      </c>
      <c r="J221" t="s">
        <v>3535</v>
      </c>
      <c r="K221" t="s">
        <v>564</v>
      </c>
    </row>
    <row r="222" spans="1:11" x14ac:dyDescent="0.25">
      <c r="A222" t="s">
        <v>3139</v>
      </c>
      <c r="B222" t="s">
        <v>3196</v>
      </c>
      <c r="C222">
        <v>500</v>
      </c>
      <c r="D222">
        <v>122000000</v>
      </c>
      <c r="E222">
        <v>61200000</v>
      </c>
      <c r="F222" t="s">
        <v>3534</v>
      </c>
      <c r="G222">
        <v>2023</v>
      </c>
      <c r="H222" t="s">
        <v>3197</v>
      </c>
      <c r="I222" t="s">
        <v>3161</v>
      </c>
      <c r="J222" t="s">
        <v>3535</v>
      </c>
      <c r="K222" t="s">
        <v>564</v>
      </c>
    </row>
    <row r="223" spans="1:11" x14ac:dyDescent="0.25">
      <c r="A223" t="s">
        <v>3139</v>
      </c>
      <c r="B223" t="s">
        <v>3196</v>
      </c>
      <c r="C223">
        <v>1000</v>
      </c>
      <c r="D223">
        <v>310400000</v>
      </c>
      <c r="E223">
        <v>103900000</v>
      </c>
      <c r="F223" t="s">
        <v>3534</v>
      </c>
      <c r="G223">
        <v>2023</v>
      </c>
      <c r="H223" t="s">
        <v>3197</v>
      </c>
      <c r="I223" t="s">
        <v>3161</v>
      </c>
      <c r="J223" t="s">
        <v>3535</v>
      </c>
      <c r="K223" t="s">
        <v>564</v>
      </c>
    </row>
    <row r="224" spans="1:11" x14ac:dyDescent="0.25">
      <c r="A224" t="s">
        <v>3139</v>
      </c>
      <c r="B224" t="s">
        <v>3196</v>
      </c>
      <c r="C224">
        <v>5000</v>
      </c>
      <c r="D224">
        <v>531600000</v>
      </c>
      <c r="E224">
        <v>219400000</v>
      </c>
      <c r="F224" t="s">
        <v>3534</v>
      </c>
      <c r="G224">
        <v>2023</v>
      </c>
      <c r="H224" t="s">
        <v>3197</v>
      </c>
      <c r="I224" t="s">
        <v>3161</v>
      </c>
      <c r="J224" t="s">
        <v>3535</v>
      </c>
      <c r="K224" t="s">
        <v>564</v>
      </c>
    </row>
    <row r="225" spans="1:11" x14ac:dyDescent="0.25">
      <c r="A225" t="s">
        <v>3139</v>
      </c>
      <c r="B225" t="s">
        <v>3196</v>
      </c>
      <c r="C225">
        <v>10000</v>
      </c>
      <c r="D225">
        <v>543500000</v>
      </c>
      <c r="E225">
        <v>230100000</v>
      </c>
      <c r="F225" t="s">
        <v>3534</v>
      </c>
      <c r="G225">
        <v>2023</v>
      </c>
      <c r="H225" t="s">
        <v>3197</v>
      </c>
      <c r="I225" t="s">
        <v>3161</v>
      </c>
      <c r="J225" t="s">
        <v>3535</v>
      </c>
      <c r="K225" t="s">
        <v>564</v>
      </c>
    </row>
    <row r="226" spans="1:11" x14ac:dyDescent="0.25">
      <c r="A226" t="s">
        <v>3139</v>
      </c>
      <c r="B226" t="s">
        <v>3194</v>
      </c>
      <c r="C226">
        <v>2</v>
      </c>
      <c r="D226">
        <v>5100000</v>
      </c>
      <c r="E226">
        <v>2300000</v>
      </c>
      <c r="F226" t="s">
        <v>3542</v>
      </c>
      <c r="G226">
        <v>2023</v>
      </c>
      <c r="H226" t="s">
        <v>3195</v>
      </c>
      <c r="I226" t="s">
        <v>3161</v>
      </c>
      <c r="J226" t="s">
        <v>3543</v>
      </c>
      <c r="K226" t="s">
        <v>564</v>
      </c>
    </row>
    <row r="227" spans="1:11" x14ac:dyDescent="0.25">
      <c r="A227" t="s">
        <v>3139</v>
      </c>
      <c r="B227" t="s">
        <v>3194</v>
      </c>
      <c r="C227">
        <v>5</v>
      </c>
      <c r="D227">
        <v>10700000</v>
      </c>
      <c r="E227">
        <v>5000000</v>
      </c>
      <c r="F227" t="s">
        <v>3542</v>
      </c>
      <c r="G227">
        <v>2023</v>
      </c>
      <c r="H227" t="s">
        <v>3195</v>
      </c>
      <c r="I227" t="s">
        <v>3161</v>
      </c>
      <c r="J227" t="s">
        <v>3543</v>
      </c>
      <c r="K227" t="s">
        <v>564</v>
      </c>
    </row>
    <row r="228" spans="1:11" x14ac:dyDescent="0.25">
      <c r="A228" t="s">
        <v>3139</v>
      </c>
      <c r="B228" t="s">
        <v>3194</v>
      </c>
      <c r="C228">
        <v>10</v>
      </c>
      <c r="D228">
        <v>15400000</v>
      </c>
      <c r="E228">
        <v>7200000</v>
      </c>
      <c r="F228" t="s">
        <v>3542</v>
      </c>
      <c r="G228">
        <v>2023</v>
      </c>
      <c r="H228" t="s">
        <v>3195</v>
      </c>
      <c r="I228" t="s">
        <v>3161</v>
      </c>
      <c r="J228" t="s">
        <v>3543</v>
      </c>
      <c r="K228" t="s">
        <v>564</v>
      </c>
    </row>
    <row r="229" spans="1:11" x14ac:dyDescent="0.25">
      <c r="A229" t="s">
        <v>3139</v>
      </c>
      <c r="B229" t="s">
        <v>3194</v>
      </c>
      <c r="C229">
        <v>25</v>
      </c>
      <c r="D229">
        <v>22900000</v>
      </c>
      <c r="E229">
        <v>10800000</v>
      </c>
      <c r="F229" t="s">
        <v>3542</v>
      </c>
      <c r="G229">
        <v>2023</v>
      </c>
      <c r="H229" t="s">
        <v>3195</v>
      </c>
      <c r="I229" t="s">
        <v>3161</v>
      </c>
      <c r="J229" t="s">
        <v>3543</v>
      </c>
      <c r="K229" t="s">
        <v>564</v>
      </c>
    </row>
    <row r="230" spans="1:11" x14ac:dyDescent="0.25">
      <c r="A230" t="s">
        <v>3139</v>
      </c>
      <c r="B230" t="s">
        <v>3194</v>
      </c>
      <c r="C230">
        <v>50</v>
      </c>
      <c r="D230">
        <v>30000000</v>
      </c>
      <c r="E230">
        <v>13800000</v>
      </c>
      <c r="F230" t="s">
        <v>3542</v>
      </c>
      <c r="G230">
        <v>2023</v>
      </c>
      <c r="H230" t="s">
        <v>3195</v>
      </c>
      <c r="I230" t="s">
        <v>3161</v>
      </c>
      <c r="J230" t="s">
        <v>3543</v>
      </c>
      <c r="K230" t="s">
        <v>564</v>
      </c>
    </row>
    <row r="231" spans="1:11" x14ac:dyDescent="0.25">
      <c r="A231" t="s">
        <v>3139</v>
      </c>
      <c r="B231" t="s">
        <v>3194</v>
      </c>
      <c r="C231">
        <v>100</v>
      </c>
      <c r="D231">
        <v>40900000</v>
      </c>
      <c r="E231">
        <v>19000000</v>
      </c>
      <c r="F231" t="s">
        <v>3542</v>
      </c>
      <c r="G231">
        <v>2023</v>
      </c>
      <c r="H231" t="s">
        <v>3195</v>
      </c>
      <c r="I231" t="s">
        <v>3161</v>
      </c>
      <c r="J231" t="s">
        <v>3543</v>
      </c>
      <c r="K231" t="s">
        <v>564</v>
      </c>
    </row>
    <row r="232" spans="1:11" x14ac:dyDescent="0.25">
      <c r="A232" t="s">
        <v>3139</v>
      </c>
      <c r="B232" t="s">
        <v>3194</v>
      </c>
      <c r="C232">
        <v>200</v>
      </c>
      <c r="D232">
        <v>56500000</v>
      </c>
      <c r="E232">
        <v>26200000</v>
      </c>
      <c r="F232" t="s">
        <v>3542</v>
      </c>
      <c r="G232">
        <v>2023</v>
      </c>
      <c r="H232" t="s">
        <v>3195</v>
      </c>
      <c r="I232" t="s">
        <v>3161</v>
      </c>
      <c r="J232" t="s">
        <v>3543</v>
      </c>
      <c r="K232" t="s">
        <v>564</v>
      </c>
    </row>
    <row r="233" spans="1:11" x14ac:dyDescent="0.25">
      <c r="A233" t="s">
        <v>3139</v>
      </c>
      <c r="B233" t="s">
        <v>3194</v>
      </c>
      <c r="C233">
        <v>250</v>
      </c>
      <c r="D233">
        <v>61300000</v>
      </c>
      <c r="E233">
        <v>28300000</v>
      </c>
      <c r="F233" t="s">
        <v>3542</v>
      </c>
      <c r="G233">
        <v>2023</v>
      </c>
      <c r="H233" t="s">
        <v>3195</v>
      </c>
      <c r="I233" t="s">
        <v>3161</v>
      </c>
      <c r="J233" t="s">
        <v>3543</v>
      </c>
      <c r="K233" t="s">
        <v>564</v>
      </c>
    </row>
    <row r="234" spans="1:11" x14ac:dyDescent="0.25">
      <c r="A234" t="s">
        <v>3139</v>
      </c>
      <c r="B234" t="s">
        <v>3194</v>
      </c>
      <c r="C234">
        <v>500</v>
      </c>
      <c r="D234">
        <v>81200000</v>
      </c>
      <c r="E234">
        <v>36500000</v>
      </c>
      <c r="F234" t="s">
        <v>3542</v>
      </c>
      <c r="G234">
        <v>2023</v>
      </c>
      <c r="H234" t="s">
        <v>3195</v>
      </c>
      <c r="I234" t="s">
        <v>3161</v>
      </c>
      <c r="J234" t="s">
        <v>3543</v>
      </c>
      <c r="K234" t="s">
        <v>564</v>
      </c>
    </row>
    <row r="235" spans="1:11" x14ac:dyDescent="0.25">
      <c r="A235" t="s">
        <v>3139</v>
      </c>
      <c r="B235" t="s">
        <v>3194</v>
      </c>
      <c r="C235">
        <v>1000</v>
      </c>
      <c r="D235">
        <v>99200000</v>
      </c>
      <c r="E235">
        <v>45900000</v>
      </c>
      <c r="F235" t="s">
        <v>3542</v>
      </c>
      <c r="G235">
        <v>2023</v>
      </c>
      <c r="H235" t="s">
        <v>3195</v>
      </c>
      <c r="I235" t="s">
        <v>3161</v>
      </c>
      <c r="J235" t="s">
        <v>3543</v>
      </c>
      <c r="K235" t="s">
        <v>564</v>
      </c>
    </row>
    <row r="236" spans="1:11" x14ac:dyDescent="0.25">
      <c r="A236" t="s">
        <v>3139</v>
      </c>
      <c r="B236" t="s">
        <v>3194</v>
      </c>
      <c r="C236">
        <v>5000</v>
      </c>
      <c r="D236">
        <v>160000000</v>
      </c>
      <c r="E236">
        <v>74900000</v>
      </c>
      <c r="F236" t="s">
        <v>3542</v>
      </c>
      <c r="G236">
        <v>2023</v>
      </c>
      <c r="H236" t="s">
        <v>3195</v>
      </c>
      <c r="I236" t="s">
        <v>3161</v>
      </c>
      <c r="J236" t="s">
        <v>3543</v>
      </c>
      <c r="K236" t="s">
        <v>564</v>
      </c>
    </row>
    <row r="237" spans="1:11" x14ac:dyDescent="0.25">
      <c r="A237" t="s">
        <v>3139</v>
      </c>
      <c r="B237" t="s">
        <v>3194</v>
      </c>
      <c r="C237">
        <v>10000</v>
      </c>
      <c r="D237">
        <v>227200000</v>
      </c>
      <c r="E237">
        <v>104100000</v>
      </c>
      <c r="F237" t="s">
        <v>3542</v>
      </c>
      <c r="G237">
        <v>2023</v>
      </c>
      <c r="H237" t="s">
        <v>3195</v>
      </c>
      <c r="I237" t="s">
        <v>3161</v>
      </c>
      <c r="J237" t="s">
        <v>3543</v>
      </c>
      <c r="K237" t="s">
        <v>564</v>
      </c>
    </row>
    <row r="238" spans="1:11" x14ac:dyDescent="0.25">
      <c r="A238" t="s">
        <v>3139</v>
      </c>
      <c r="B238" t="s">
        <v>3198</v>
      </c>
      <c r="C238">
        <v>2</v>
      </c>
      <c r="D238">
        <v>400000</v>
      </c>
      <c r="E238">
        <v>300000</v>
      </c>
      <c r="F238" t="s">
        <v>3532</v>
      </c>
      <c r="G238">
        <v>2023</v>
      </c>
      <c r="H238" t="s">
        <v>3199</v>
      </c>
      <c r="I238" t="s">
        <v>3161</v>
      </c>
      <c r="J238" t="s">
        <v>3533</v>
      </c>
      <c r="K238" t="s">
        <v>564</v>
      </c>
    </row>
    <row r="239" spans="1:11" x14ac:dyDescent="0.25">
      <c r="A239" t="s">
        <v>3139</v>
      </c>
      <c r="B239" t="s">
        <v>3198</v>
      </c>
      <c r="C239">
        <v>5</v>
      </c>
      <c r="D239">
        <v>1800000</v>
      </c>
      <c r="E239">
        <v>1300000</v>
      </c>
      <c r="F239" t="s">
        <v>3532</v>
      </c>
      <c r="G239">
        <v>2023</v>
      </c>
      <c r="H239" t="s">
        <v>3199</v>
      </c>
      <c r="I239" t="s">
        <v>3161</v>
      </c>
      <c r="J239" t="s">
        <v>3533</v>
      </c>
      <c r="K239" t="s">
        <v>564</v>
      </c>
    </row>
    <row r="240" spans="1:11" x14ac:dyDescent="0.25">
      <c r="A240" t="s">
        <v>3139</v>
      </c>
      <c r="B240" t="s">
        <v>3198</v>
      </c>
      <c r="C240">
        <v>10</v>
      </c>
      <c r="D240">
        <v>4000000</v>
      </c>
      <c r="E240">
        <v>3100000</v>
      </c>
      <c r="F240" t="s">
        <v>3532</v>
      </c>
      <c r="G240">
        <v>2023</v>
      </c>
      <c r="H240" t="s">
        <v>3199</v>
      </c>
      <c r="I240" t="s">
        <v>3161</v>
      </c>
      <c r="J240" t="s">
        <v>3533</v>
      </c>
      <c r="K240" t="s">
        <v>564</v>
      </c>
    </row>
    <row r="241" spans="1:11" x14ac:dyDescent="0.25">
      <c r="A241" t="s">
        <v>3139</v>
      </c>
      <c r="B241" t="s">
        <v>3198</v>
      </c>
      <c r="C241">
        <v>25</v>
      </c>
      <c r="D241">
        <v>8900000</v>
      </c>
      <c r="E241">
        <v>7200000</v>
      </c>
      <c r="F241" t="s">
        <v>3532</v>
      </c>
      <c r="G241">
        <v>2023</v>
      </c>
      <c r="H241" t="s">
        <v>3199</v>
      </c>
      <c r="I241" t="s">
        <v>3161</v>
      </c>
      <c r="J241" t="s">
        <v>3533</v>
      </c>
      <c r="K241" t="s">
        <v>564</v>
      </c>
    </row>
    <row r="242" spans="1:11" x14ac:dyDescent="0.25">
      <c r="A242" t="s">
        <v>3139</v>
      </c>
      <c r="B242" t="s">
        <v>3198</v>
      </c>
      <c r="C242">
        <v>50</v>
      </c>
      <c r="D242">
        <v>15300000</v>
      </c>
      <c r="E242">
        <v>13300000</v>
      </c>
      <c r="F242" t="s">
        <v>3532</v>
      </c>
      <c r="G242">
        <v>2023</v>
      </c>
      <c r="H242" t="s">
        <v>3199</v>
      </c>
      <c r="I242" t="s">
        <v>3161</v>
      </c>
      <c r="J242" t="s">
        <v>3533</v>
      </c>
      <c r="K242" t="s">
        <v>564</v>
      </c>
    </row>
    <row r="243" spans="1:11" x14ac:dyDescent="0.25">
      <c r="A243" t="s">
        <v>3139</v>
      </c>
      <c r="B243" t="s">
        <v>3198</v>
      </c>
      <c r="C243">
        <v>100</v>
      </c>
      <c r="D243">
        <v>25500000</v>
      </c>
      <c r="E243">
        <v>23300000</v>
      </c>
      <c r="F243" t="s">
        <v>3532</v>
      </c>
      <c r="G243">
        <v>2023</v>
      </c>
      <c r="H243" t="s">
        <v>3199</v>
      </c>
      <c r="I243" t="s">
        <v>3161</v>
      </c>
      <c r="J243" t="s">
        <v>3533</v>
      </c>
      <c r="K243" t="s">
        <v>564</v>
      </c>
    </row>
    <row r="244" spans="1:11" x14ac:dyDescent="0.25">
      <c r="A244" t="s">
        <v>3139</v>
      </c>
      <c r="B244" t="s">
        <v>3198</v>
      </c>
      <c r="C244">
        <v>200</v>
      </c>
      <c r="D244">
        <v>41400000</v>
      </c>
      <c r="E244">
        <v>38200000</v>
      </c>
      <c r="F244" t="s">
        <v>3532</v>
      </c>
      <c r="G244">
        <v>2023</v>
      </c>
      <c r="H244" t="s">
        <v>3199</v>
      </c>
      <c r="I244" t="s">
        <v>3161</v>
      </c>
      <c r="J244" t="s">
        <v>3533</v>
      </c>
      <c r="K244" t="s">
        <v>564</v>
      </c>
    </row>
    <row r="245" spans="1:11" x14ac:dyDescent="0.25">
      <c r="A245" t="s">
        <v>3139</v>
      </c>
      <c r="B245" t="s">
        <v>3198</v>
      </c>
      <c r="C245">
        <v>250</v>
      </c>
      <c r="D245">
        <v>46300000</v>
      </c>
      <c r="E245">
        <v>44000000</v>
      </c>
      <c r="F245" t="s">
        <v>3532</v>
      </c>
      <c r="G245">
        <v>2023</v>
      </c>
      <c r="H245" t="s">
        <v>3199</v>
      </c>
      <c r="I245" t="s">
        <v>3161</v>
      </c>
      <c r="J245" t="s">
        <v>3533</v>
      </c>
      <c r="K245" t="s">
        <v>564</v>
      </c>
    </row>
    <row r="246" spans="1:11" x14ac:dyDescent="0.25">
      <c r="A246" t="s">
        <v>3139</v>
      </c>
      <c r="B246" t="s">
        <v>3198</v>
      </c>
      <c r="C246">
        <v>500</v>
      </c>
      <c r="D246">
        <v>64200000</v>
      </c>
      <c r="E246">
        <v>62900000</v>
      </c>
      <c r="F246" t="s">
        <v>3532</v>
      </c>
      <c r="G246">
        <v>2023</v>
      </c>
      <c r="H246" t="s">
        <v>3199</v>
      </c>
      <c r="I246" t="s">
        <v>3161</v>
      </c>
      <c r="J246" t="s">
        <v>3533</v>
      </c>
      <c r="K246" t="s">
        <v>564</v>
      </c>
    </row>
    <row r="247" spans="1:11" x14ac:dyDescent="0.25">
      <c r="A247" t="s">
        <v>3139</v>
      </c>
      <c r="B247" t="s">
        <v>3198</v>
      </c>
      <c r="C247">
        <v>1000</v>
      </c>
      <c r="D247">
        <v>89700000</v>
      </c>
      <c r="E247">
        <v>88400000</v>
      </c>
      <c r="F247" t="s">
        <v>3532</v>
      </c>
      <c r="G247">
        <v>2023</v>
      </c>
      <c r="H247" t="s">
        <v>3199</v>
      </c>
      <c r="I247" t="s">
        <v>3161</v>
      </c>
      <c r="J247" t="s">
        <v>3533</v>
      </c>
      <c r="K247" t="s">
        <v>564</v>
      </c>
    </row>
    <row r="248" spans="1:11" x14ac:dyDescent="0.25">
      <c r="A248" t="s">
        <v>3139</v>
      </c>
      <c r="B248" t="s">
        <v>3198</v>
      </c>
      <c r="C248">
        <v>2000</v>
      </c>
      <c r="D248">
        <v>110300000</v>
      </c>
      <c r="E248">
        <v>109600000</v>
      </c>
      <c r="F248" t="s">
        <v>3532</v>
      </c>
      <c r="G248">
        <v>2023</v>
      </c>
      <c r="H248" t="s">
        <v>3199</v>
      </c>
      <c r="I248" t="s">
        <v>3161</v>
      </c>
      <c r="J248" t="s">
        <v>3533</v>
      </c>
      <c r="K248" t="s">
        <v>564</v>
      </c>
    </row>
    <row r="249" spans="1:11" x14ac:dyDescent="0.25">
      <c r="A249" t="s">
        <v>3139</v>
      </c>
      <c r="B249" t="s">
        <v>3198</v>
      </c>
      <c r="C249">
        <v>5000</v>
      </c>
      <c r="D249">
        <v>134100000</v>
      </c>
      <c r="E249">
        <v>134000000</v>
      </c>
      <c r="F249" t="s">
        <v>3532</v>
      </c>
      <c r="G249">
        <v>2023</v>
      </c>
      <c r="H249" t="s">
        <v>3199</v>
      </c>
      <c r="I249" t="s">
        <v>3161</v>
      </c>
      <c r="J249" t="s">
        <v>3533</v>
      </c>
      <c r="K249" t="s">
        <v>564</v>
      </c>
    </row>
    <row r="250" spans="1:11" x14ac:dyDescent="0.25">
      <c r="A250" t="s">
        <v>3139</v>
      </c>
      <c r="B250" t="s">
        <v>3198</v>
      </c>
      <c r="C250">
        <v>10000</v>
      </c>
      <c r="D250">
        <v>170400000</v>
      </c>
      <c r="E250">
        <v>162200000</v>
      </c>
      <c r="F250" t="s">
        <v>3532</v>
      </c>
      <c r="G250">
        <v>2023</v>
      </c>
      <c r="H250" t="s">
        <v>3199</v>
      </c>
      <c r="I250" t="s">
        <v>3161</v>
      </c>
      <c r="J250" t="s">
        <v>3533</v>
      </c>
      <c r="K250" t="s">
        <v>564</v>
      </c>
    </row>
    <row r="251" spans="1:11" x14ac:dyDescent="0.25">
      <c r="A251" t="s">
        <v>3139</v>
      </c>
      <c r="B251" t="s">
        <v>3171</v>
      </c>
      <c r="C251">
        <v>2</v>
      </c>
      <c r="D251">
        <v>7700000</v>
      </c>
      <c r="E251">
        <v>2700000</v>
      </c>
      <c r="F251" t="s">
        <v>3388</v>
      </c>
      <c r="G251">
        <v>2020</v>
      </c>
      <c r="H251" t="s">
        <v>3172</v>
      </c>
      <c r="I251" t="s">
        <v>3155</v>
      </c>
      <c r="J251" t="s">
        <v>3389</v>
      </c>
      <c r="K251" t="s">
        <v>564</v>
      </c>
    </row>
    <row r="252" spans="1:11" x14ac:dyDescent="0.25">
      <c r="A252" t="s">
        <v>3139</v>
      </c>
      <c r="B252" t="s">
        <v>3171</v>
      </c>
      <c r="C252">
        <v>5</v>
      </c>
      <c r="D252">
        <v>13700000</v>
      </c>
      <c r="E252">
        <v>6300000</v>
      </c>
      <c r="F252" t="s">
        <v>3388</v>
      </c>
      <c r="G252">
        <v>2020</v>
      </c>
      <c r="H252" t="s">
        <v>3172</v>
      </c>
      <c r="I252" t="s">
        <v>3155</v>
      </c>
      <c r="J252" t="s">
        <v>3389</v>
      </c>
      <c r="K252" t="s">
        <v>564</v>
      </c>
    </row>
    <row r="253" spans="1:11" x14ac:dyDescent="0.25">
      <c r="A253" t="s">
        <v>3139</v>
      </c>
      <c r="B253" t="s">
        <v>3171</v>
      </c>
      <c r="C253">
        <v>10</v>
      </c>
      <c r="D253">
        <v>18800000</v>
      </c>
      <c r="E253">
        <v>10200000</v>
      </c>
      <c r="F253" t="s">
        <v>3388</v>
      </c>
      <c r="G253">
        <v>2020</v>
      </c>
      <c r="H253" t="s">
        <v>3172</v>
      </c>
      <c r="I253" t="s">
        <v>3155</v>
      </c>
      <c r="J253" t="s">
        <v>3389</v>
      </c>
      <c r="K253" t="s">
        <v>564</v>
      </c>
    </row>
    <row r="254" spans="1:11" x14ac:dyDescent="0.25">
      <c r="A254" t="s">
        <v>3139</v>
      </c>
      <c r="B254" t="s">
        <v>3171</v>
      </c>
      <c r="C254">
        <v>25</v>
      </c>
      <c r="D254">
        <v>27600000</v>
      </c>
      <c r="E254">
        <v>17700000</v>
      </c>
      <c r="F254" t="s">
        <v>3388</v>
      </c>
      <c r="G254">
        <v>2020</v>
      </c>
      <c r="H254" t="s">
        <v>3172</v>
      </c>
      <c r="I254" t="s">
        <v>3155</v>
      </c>
      <c r="J254" t="s">
        <v>3389</v>
      </c>
      <c r="K254" t="s">
        <v>564</v>
      </c>
    </row>
    <row r="255" spans="1:11" x14ac:dyDescent="0.25">
      <c r="A255" t="s">
        <v>3139</v>
      </c>
      <c r="B255" t="s">
        <v>3171</v>
      </c>
      <c r="C255">
        <v>50</v>
      </c>
      <c r="D255">
        <v>36300000</v>
      </c>
      <c r="E255">
        <v>26000000</v>
      </c>
      <c r="F255" t="s">
        <v>3388</v>
      </c>
      <c r="G255">
        <v>2020</v>
      </c>
      <c r="H255" t="s">
        <v>3172</v>
      </c>
      <c r="I255" t="s">
        <v>3155</v>
      </c>
      <c r="J255" t="s">
        <v>3389</v>
      </c>
      <c r="K255" t="s">
        <v>564</v>
      </c>
    </row>
    <row r="256" spans="1:11" x14ac:dyDescent="0.25">
      <c r="A256" t="s">
        <v>3139</v>
      </c>
      <c r="B256" t="s">
        <v>3171</v>
      </c>
      <c r="C256">
        <v>100</v>
      </c>
      <c r="D256">
        <v>47200000</v>
      </c>
      <c r="E256">
        <v>36500000</v>
      </c>
      <c r="F256" t="s">
        <v>3388</v>
      </c>
      <c r="G256">
        <v>2020</v>
      </c>
      <c r="H256" t="s">
        <v>3172</v>
      </c>
      <c r="I256" t="s">
        <v>3155</v>
      </c>
      <c r="J256" t="s">
        <v>3389</v>
      </c>
      <c r="K256" t="s">
        <v>564</v>
      </c>
    </row>
    <row r="257" spans="1:11" x14ac:dyDescent="0.25">
      <c r="A257" t="s">
        <v>3139</v>
      </c>
      <c r="B257" t="s">
        <v>3171</v>
      </c>
      <c r="C257">
        <v>200</v>
      </c>
      <c r="D257">
        <v>60600000</v>
      </c>
      <c r="E257">
        <v>49700000</v>
      </c>
      <c r="F257" t="s">
        <v>3388</v>
      </c>
      <c r="G257">
        <v>2020</v>
      </c>
      <c r="H257" t="s">
        <v>3172</v>
      </c>
      <c r="I257" t="s">
        <v>3155</v>
      </c>
      <c r="J257" t="s">
        <v>3389</v>
      </c>
      <c r="K257" t="s">
        <v>564</v>
      </c>
    </row>
    <row r="258" spans="1:11" x14ac:dyDescent="0.25">
      <c r="A258" t="s">
        <v>3139</v>
      </c>
      <c r="B258" t="s">
        <v>3171</v>
      </c>
      <c r="C258">
        <v>250</v>
      </c>
      <c r="D258">
        <v>65700000</v>
      </c>
      <c r="E258">
        <v>54500000</v>
      </c>
      <c r="F258" t="s">
        <v>3388</v>
      </c>
      <c r="G258">
        <v>2020</v>
      </c>
      <c r="H258" t="s">
        <v>3172</v>
      </c>
      <c r="I258" t="s">
        <v>3155</v>
      </c>
      <c r="J258" t="s">
        <v>3389</v>
      </c>
      <c r="K258" t="s">
        <v>564</v>
      </c>
    </row>
    <row r="259" spans="1:11" x14ac:dyDescent="0.25">
      <c r="A259" t="s">
        <v>3139</v>
      </c>
      <c r="B259" t="s">
        <v>3171</v>
      </c>
      <c r="C259">
        <v>500</v>
      </c>
      <c r="D259">
        <v>87300000</v>
      </c>
      <c r="E259">
        <v>76300000</v>
      </c>
      <c r="F259" t="s">
        <v>3388</v>
      </c>
      <c r="G259">
        <v>2020</v>
      </c>
      <c r="H259" t="s">
        <v>3172</v>
      </c>
      <c r="I259" t="s">
        <v>3155</v>
      </c>
      <c r="J259" t="s">
        <v>3389</v>
      </c>
      <c r="K259" t="s">
        <v>564</v>
      </c>
    </row>
    <row r="260" spans="1:11" x14ac:dyDescent="0.25">
      <c r="A260" t="s">
        <v>3139</v>
      </c>
      <c r="B260" t="s">
        <v>3171</v>
      </c>
      <c r="C260">
        <v>1000</v>
      </c>
      <c r="D260">
        <v>117700000</v>
      </c>
      <c r="E260">
        <v>107100000</v>
      </c>
      <c r="F260" t="s">
        <v>3388</v>
      </c>
      <c r="G260">
        <v>2020</v>
      </c>
      <c r="H260" t="s">
        <v>3172</v>
      </c>
      <c r="I260" t="s">
        <v>3155</v>
      </c>
      <c r="J260" t="s">
        <v>3389</v>
      </c>
      <c r="K260" t="s">
        <v>564</v>
      </c>
    </row>
    <row r="261" spans="1:11" x14ac:dyDescent="0.25">
      <c r="A261" t="s">
        <v>3139</v>
      </c>
      <c r="B261" t="s">
        <v>3171</v>
      </c>
      <c r="C261">
        <v>2000</v>
      </c>
      <c r="D261">
        <v>157500000</v>
      </c>
      <c r="E261">
        <v>147000000</v>
      </c>
      <c r="F261" t="s">
        <v>3388</v>
      </c>
      <c r="G261">
        <v>2020</v>
      </c>
      <c r="H261" t="s">
        <v>3172</v>
      </c>
      <c r="I261" t="s">
        <v>3155</v>
      </c>
      <c r="J261" t="s">
        <v>3389</v>
      </c>
      <c r="K261" t="s">
        <v>564</v>
      </c>
    </row>
    <row r="262" spans="1:11" x14ac:dyDescent="0.25">
      <c r="A262" t="s">
        <v>3139</v>
      </c>
      <c r="B262" t="s">
        <v>3171</v>
      </c>
      <c r="C262">
        <v>4000</v>
      </c>
      <c r="D262">
        <v>209000000</v>
      </c>
      <c r="E262">
        <v>198500000</v>
      </c>
      <c r="F262" t="s">
        <v>3388</v>
      </c>
      <c r="G262">
        <v>2020</v>
      </c>
      <c r="H262" t="s">
        <v>3172</v>
      </c>
      <c r="I262" t="s">
        <v>3155</v>
      </c>
      <c r="J262" t="s">
        <v>3389</v>
      </c>
      <c r="K262" t="s">
        <v>564</v>
      </c>
    </row>
    <row r="263" spans="1:11" x14ac:dyDescent="0.25">
      <c r="A263" t="s">
        <v>3139</v>
      </c>
      <c r="B263" t="s">
        <v>3188</v>
      </c>
      <c r="C263">
        <v>2</v>
      </c>
      <c r="D263">
        <v>3100000</v>
      </c>
      <c r="E263">
        <v>2600000</v>
      </c>
      <c r="F263" t="s">
        <v>3398</v>
      </c>
      <c r="G263">
        <v>2020</v>
      </c>
      <c r="H263" t="s">
        <v>3189</v>
      </c>
      <c r="I263" t="s">
        <v>3155</v>
      </c>
      <c r="J263" t="s">
        <v>3399</v>
      </c>
      <c r="K263" t="s">
        <v>564</v>
      </c>
    </row>
    <row r="264" spans="1:11" x14ac:dyDescent="0.25">
      <c r="A264" t="s">
        <v>3139</v>
      </c>
      <c r="B264" t="s">
        <v>3188</v>
      </c>
      <c r="C264">
        <v>5</v>
      </c>
      <c r="D264">
        <v>25900000</v>
      </c>
      <c r="E264">
        <v>21800000</v>
      </c>
      <c r="F264" t="s">
        <v>3398</v>
      </c>
      <c r="G264">
        <v>2020</v>
      </c>
      <c r="H264" t="s">
        <v>3189</v>
      </c>
      <c r="I264" t="s">
        <v>3155</v>
      </c>
      <c r="J264" t="s">
        <v>3399</v>
      </c>
      <c r="K264" t="s">
        <v>564</v>
      </c>
    </row>
    <row r="265" spans="1:11" x14ac:dyDescent="0.25">
      <c r="A265" t="s">
        <v>3139</v>
      </c>
      <c r="B265" t="s">
        <v>3188</v>
      </c>
      <c r="C265">
        <v>10</v>
      </c>
      <c r="D265">
        <v>59100000</v>
      </c>
      <c r="E265">
        <v>50700000</v>
      </c>
      <c r="F265" t="s">
        <v>3398</v>
      </c>
      <c r="G265">
        <v>2020</v>
      </c>
      <c r="H265" t="s">
        <v>3189</v>
      </c>
      <c r="I265" t="s">
        <v>3155</v>
      </c>
      <c r="J265" t="s">
        <v>3399</v>
      </c>
      <c r="K265" t="s">
        <v>564</v>
      </c>
    </row>
    <row r="266" spans="1:11" x14ac:dyDescent="0.25">
      <c r="A266" t="s">
        <v>3139</v>
      </c>
      <c r="B266" t="s">
        <v>3188</v>
      </c>
      <c r="C266">
        <v>25</v>
      </c>
      <c r="D266">
        <v>129400000</v>
      </c>
      <c r="E266">
        <v>114900000</v>
      </c>
      <c r="F266" t="s">
        <v>3398</v>
      </c>
      <c r="G266">
        <v>2020</v>
      </c>
      <c r="H266" t="s">
        <v>3189</v>
      </c>
      <c r="I266" t="s">
        <v>3155</v>
      </c>
      <c r="J266" t="s">
        <v>3399</v>
      </c>
      <c r="K266" t="s">
        <v>564</v>
      </c>
    </row>
    <row r="267" spans="1:11" x14ac:dyDescent="0.25">
      <c r="A267" t="s">
        <v>3139</v>
      </c>
      <c r="B267" t="s">
        <v>3188</v>
      </c>
      <c r="C267">
        <v>50</v>
      </c>
      <c r="D267">
        <v>207900000</v>
      </c>
      <c r="E267">
        <v>189000000</v>
      </c>
      <c r="F267" t="s">
        <v>3398</v>
      </c>
      <c r="G267">
        <v>2020</v>
      </c>
      <c r="H267" t="s">
        <v>3189</v>
      </c>
      <c r="I267" t="s">
        <v>3155</v>
      </c>
      <c r="J267" t="s">
        <v>3399</v>
      </c>
      <c r="K267" t="s">
        <v>564</v>
      </c>
    </row>
    <row r="268" spans="1:11" x14ac:dyDescent="0.25">
      <c r="A268" t="s">
        <v>3139</v>
      </c>
      <c r="B268" t="s">
        <v>3188</v>
      </c>
      <c r="C268">
        <v>100</v>
      </c>
      <c r="D268">
        <v>318000000</v>
      </c>
      <c r="E268">
        <v>295800000</v>
      </c>
      <c r="F268" t="s">
        <v>3398</v>
      </c>
      <c r="G268">
        <v>2020</v>
      </c>
      <c r="H268" t="s">
        <v>3189</v>
      </c>
      <c r="I268" t="s">
        <v>3155</v>
      </c>
      <c r="J268" t="s">
        <v>3399</v>
      </c>
      <c r="K268" t="s">
        <v>564</v>
      </c>
    </row>
    <row r="269" spans="1:11" x14ac:dyDescent="0.25">
      <c r="A269" t="s">
        <v>3139</v>
      </c>
      <c r="B269" t="s">
        <v>3188</v>
      </c>
      <c r="C269">
        <v>200</v>
      </c>
      <c r="D269">
        <v>464500000</v>
      </c>
      <c r="E269">
        <v>439800000</v>
      </c>
      <c r="F269" t="s">
        <v>3398</v>
      </c>
      <c r="G269">
        <v>2020</v>
      </c>
      <c r="H269" t="s">
        <v>3189</v>
      </c>
      <c r="I269" t="s">
        <v>3155</v>
      </c>
      <c r="J269" t="s">
        <v>3399</v>
      </c>
      <c r="K269" t="s">
        <v>564</v>
      </c>
    </row>
    <row r="270" spans="1:11" x14ac:dyDescent="0.25">
      <c r="A270" t="s">
        <v>3139</v>
      </c>
      <c r="B270" t="s">
        <v>3188</v>
      </c>
      <c r="C270">
        <v>250</v>
      </c>
      <c r="D270">
        <v>520300000</v>
      </c>
      <c r="E270">
        <v>494800000</v>
      </c>
      <c r="F270" t="s">
        <v>3398</v>
      </c>
      <c r="G270">
        <v>2020</v>
      </c>
      <c r="H270" t="s">
        <v>3189</v>
      </c>
      <c r="I270" t="s">
        <v>3155</v>
      </c>
      <c r="J270" t="s">
        <v>3399</v>
      </c>
      <c r="K270" t="s">
        <v>564</v>
      </c>
    </row>
    <row r="271" spans="1:11" x14ac:dyDescent="0.25">
      <c r="A271" t="s">
        <v>3139</v>
      </c>
      <c r="B271" t="s">
        <v>3188</v>
      </c>
      <c r="C271">
        <v>500</v>
      </c>
      <c r="D271">
        <v>725300000</v>
      </c>
      <c r="E271">
        <v>697600000</v>
      </c>
      <c r="F271" t="s">
        <v>3398</v>
      </c>
      <c r="G271">
        <v>2020</v>
      </c>
      <c r="H271" t="s">
        <v>3189</v>
      </c>
      <c r="I271" t="s">
        <v>3155</v>
      </c>
      <c r="J271" t="s">
        <v>3399</v>
      </c>
      <c r="K271" t="s">
        <v>564</v>
      </c>
    </row>
    <row r="272" spans="1:11" x14ac:dyDescent="0.25">
      <c r="A272" t="s">
        <v>3139</v>
      </c>
      <c r="B272" t="s">
        <v>3188</v>
      </c>
      <c r="C272">
        <v>1000</v>
      </c>
      <c r="D272">
        <v>996000000</v>
      </c>
      <c r="E272">
        <v>967500000</v>
      </c>
      <c r="F272" t="s">
        <v>3398</v>
      </c>
      <c r="G272">
        <v>2020</v>
      </c>
      <c r="H272" t="s">
        <v>3189</v>
      </c>
      <c r="I272" t="s">
        <v>3155</v>
      </c>
      <c r="J272" t="s">
        <v>3399</v>
      </c>
      <c r="K272" t="s">
        <v>564</v>
      </c>
    </row>
    <row r="273" spans="1:11" x14ac:dyDescent="0.25">
      <c r="A273" t="s">
        <v>3139</v>
      </c>
      <c r="B273" t="s">
        <v>3188</v>
      </c>
      <c r="C273">
        <v>2000</v>
      </c>
      <c r="D273">
        <v>1353600000</v>
      </c>
      <c r="E273">
        <v>1324100000</v>
      </c>
      <c r="F273" t="s">
        <v>3398</v>
      </c>
      <c r="G273">
        <v>2020</v>
      </c>
      <c r="H273" t="s">
        <v>3189</v>
      </c>
      <c r="I273" t="s">
        <v>3155</v>
      </c>
      <c r="J273" t="s">
        <v>3399</v>
      </c>
      <c r="K273" t="s">
        <v>564</v>
      </c>
    </row>
    <row r="274" spans="1:11" x14ac:dyDescent="0.25">
      <c r="A274" t="s">
        <v>3139</v>
      </c>
      <c r="B274" t="s">
        <v>3188</v>
      </c>
      <c r="C274">
        <v>4000</v>
      </c>
      <c r="D274">
        <v>1817300000</v>
      </c>
      <c r="E274">
        <v>1789000000</v>
      </c>
      <c r="F274" t="s">
        <v>3398</v>
      </c>
      <c r="G274">
        <v>2020</v>
      </c>
      <c r="H274" t="s">
        <v>3189</v>
      </c>
      <c r="I274" t="s">
        <v>3155</v>
      </c>
      <c r="J274" t="s">
        <v>3399</v>
      </c>
      <c r="K274" t="s">
        <v>564</v>
      </c>
    </row>
    <row r="275" spans="1:11" x14ac:dyDescent="0.25">
      <c r="A275" t="s">
        <v>3139</v>
      </c>
      <c r="B275" t="s">
        <v>3178</v>
      </c>
      <c r="C275">
        <v>2</v>
      </c>
      <c r="D275">
        <v>100000</v>
      </c>
      <c r="E275">
        <v>100000</v>
      </c>
      <c r="F275" t="s">
        <v>3392</v>
      </c>
      <c r="G275">
        <v>2020</v>
      </c>
      <c r="H275" t="s">
        <v>3179</v>
      </c>
      <c r="I275" t="s">
        <v>3155</v>
      </c>
      <c r="J275" t="s">
        <v>3393</v>
      </c>
      <c r="K275" t="s">
        <v>564</v>
      </c>
    </row>
    <row r="276" spans="1:11" x14ac:dyDescent="0.25">
      <c r="A276" t="s">
        <v>3139</v>
      </c>
      <c r="B276" t="s">
        <v>3178</v>
      </c>
      <c r="C276">
        <v>5</v>
      </c>
      <c r="D276">
        <v>1800000</v>
      </c>
      <c r="E276">
        <v>1600000</v>
      </c>
      <c r="F276" t="s">
        <v>3392</v>
      </c>
      <c r="G276">
        <v>2020</v>
      </c>
      <c r="H276" t="s">
        <v>3179</v>
      </c>
      <c r="I276" t="s">
        <v>3155</v>
      </c>
      <c r="J276" t="s">
        <v>3393</v>
      </c>
      <c r="K276" t="s">
        <v>564</v>
      </c>
    </row>
    <row r="277" spans="1:11" x14ac:dyDescent="0.25">
      <c r="A277" t="s">
        <v>3139</v>
      </c>
      <c r="B277" t="s">
        <v>3178</v>
      </c>
      <c r="C277">
        <v>10</v>
      </c>
      <c r="D277">
        <v>9000000</v>
      </c>
      <c r="E277">
        <v>8400000</v>
      </c>
      <c r="F277" t="s">
        <v>3392</v>
      </c>
      <c r="G277">
        <v>2020</v>
      </c>
      <c r="H277" t="s">
        <v>3179</v>
      </c>
      <c r="I277" t="s">
        <v>3155</v>
      </c>
      <c r="J277" t="s">
        <v>3393</v>
      </c>
      <c r="K277" t="s">
        <v>564</v>
      </c>
    </row>
    <row r="278" spans="1:11" x14ac:dyDescent="0.25">
      <c r="A278" t="s">
        <v>3139</v>
      </c>
      <c r="B278" t="s">
        <v>3178</v>
      </c>
      <c r="C278">
        <v>25</v>
      </c>
      <c r="D278">
        <v>39700000</v>
      </c>
      <c r="E278">
        <v>37900000</v>
      </c>
      <c r="F278" t="s">
        <v>3392</v>
      </c>
      <c r="G278">
        <v>2020</v>
      </c>
      <c r="H278" t="s">
        <v>3179</v>
      </c>
      <c r="I278" t="s">
        <v>3155</v>
      </c>
      <c r="J278" t="s">
        <v>3393</v>
      </c>
      <c r="K278" t="s">
        <v>564</v>
      </c>
    </row>
    <row r="279" spans="1:11" x14ac:dyDescent="0.25">
      <c r="A279" t="s">
        <v>3139</v>
      </c>
      <c r="B279" t="s">
        <v>3178</v>
      </c>
      <c r="C279">
        <v>50</v>
      </c>
      <c r="D279">
        <v>92700000</v>
      </c>
      <c r="E279">
        <v>90000000</v>
      </c>
      <c r="F279" t="s">
        <v>3392</v>
      </c>
      <c r="G279">
        <v>2020</v>
      </c>
      <c r="H279" t="s">
        <v>3179</v>
      </c>
      <c r="I279" t="s">
        <v>3155</v>
      </c>
      <c r="J279" t="s">
        <v>3393</v>
      </c>
      <c r="K279" t="s">
        <v>564</v>
      </c>
    </row>
    <row r="280" spans="1:11" x14ac:dyDescent="0.25">
      <c r="A280" t="s">
        <v>3139</v>
      </c>
      <c r="B280" t="s">
        <v>3178</v>
      </c>
      <c r="C280">
        <v>100</v>
      </c>
      <c r="D280">
        <v>177000000</v>
      </c>
      <c r="E280">
        <v>172900000</v>
      </c>
      <c r="F280" t="s">
        <v>3392</v>
      </c>
      <c r="G280">
        <v>2020</v>
      </c>
      <c r="H280" t="s">
        <v>3179</v>
      </c>
      <c r="I280" t="s">
        <v>3155</v>
      </c>
      <c r="J280" t="s">
        <v>3393</v>
      </c>
      <c r="K280" t="s">
        <v>564</v>
      </c>
    </row>
    <row r="281" spans="1:11" x14ac:dyDescent="0.25">
      <c r="A281" t="s">
        <v>3139</v>
      </c>
      <c r="B281" t="s">
        <v>3178</v>
      </c>
      <c r="C281">
        <v>200</v>
      </c>
      <c r="D281">
        <v>310500000</v>
      </c>
      <c r="E281">
        <v>305000000</v>
      </c>
      <c r="F281" t="s">
        <v>3392</v>
      </c>
      <c r="G281">
        <v>2020</v>
      </c>
      <c r="H281" t="s">
        <v>3179</v>
      </c>
      <c r="I281" t="s">
        <v>3155</v>
      </c>
      <c r="J281" t="s">
        <v>3393</v>
      </c>
      <c r="K281" t="s">
        <v>564</v>
      </c>
    </row>
    <row r="282" spans="1:11" x14ac:dyDescent="0.25">
      <c r="A282" t="s">
        <v>3139</v>
      </c>
      <c r="B282" t="s">
        <v>3178</v>
      </c>
      <c r="C282">
        <v>250</v>
      </c>
      <c r="D282">
        <v>368400000</v>
      </c>
      <c r="E282">
        <v>362500000</v>
      </c>
      <c r="F282" t="s">
        <v>3392</v>
      </c>
      <c r="G282">
        <v>2020</v>
      </c>
      <c r="H282" t="s">
        <v>3179</v>
      </c>
      <c r="I282" t="s">
        <v>3155</v>
      </c>
      <c r="J282" t="s">
        <v>3393</v>
      </c>
      <c r="K282" t="s">
        <v>564</v>
      </c>
    </row>
    <row r="283" spans="1:11" x14ac:dyDescent="0.25">
      <c r="A283" t="s">
        <v>3139</v>
      </c>
      <c r="B283" t="s">
        <v>3178</v>
      </c>
      <c r="C283">
        <v>500</v>
      </c>
      <c r="D283">
        <v>594000000</v>
      </c>
      <c r="E283">
        <v>587200000</v>
      </c>
      <c r="F283" t="s">
        <v>3392</v>
      </c>
      <c r="G283">
        <v>2020</v>
      </c>
      <c r="H283" t="s">
        <v>3179</v>
      </c>
      <c r="I283" t="s">
        <v>3155</v>
      </c>
      <c r="J283" t="s">
        <v>3393</v>
      </c>
      <c r="K283" t="s">
        <v>564</v>
      </c>
    </row>
    <row r="284" spans="1:11" x14ac:dyDescent="0.25">
      <c r="A284" t="s">
        <v>3139</v>
      </c>
      <c r="B284" t="s">
        <v>3178</v>
      </c>
      <c r="C284">
        <v>1000</v>
      </c>
      <c r="D284">
        <v>884200000</v>
      </c>
      <c r="E284">
        <v>876100000</v>
      </c>
      <c r="F284" t="s">
        <v>3392</v>
      </c>
      <c r="G284">
        <v>2020</v>
      </c>
      <c r="H284" t="s">
        <v>3179</v>
      </c>
      <c r="I284" t="s">
        <v>3155</v>
      </c>
      <c r="J284" t="s">
        <v>3393</v>
      </c>
      <c r="K284" t="s">
        <v>564</v>
      </c>
    </row>
    <row r="285" spans="1:11" x14ac:dyDescent="0.25">
      <c r="A285" t="s">
        <v>3139</v>
      </c>
      <c r="B285" t="s">
        <v>3178</v>
      </c>
      <c r="C285">
        <v>2000</v>
      </c>
      <c r="D285">
        <v>1290900000</v>
      </c>
      <c r="E285">
        <v>1282100000</v>
      </c>
      <c r="F285" t="s">
        <v>3392</v>
      </c>
      <c r="G285">
        <v>2020</v>
      </c>
      <c r="H285" t="s">
        <v>3179</v>
      </c>
      <c r="I285" t="s">
        <v>3155</v>
      </c>
      <c r="J285" t="s">
        <v>3393</v>
      </c>
      <c r="K285" t="s">
        <v>564</v>
      </c>
    </row>
    <row r="286" spans="1:11" x14ac:dyDescent="0.25">
      <c r="A286" t="s">
        <v>3139</v>
      </c>
      <c r="B286" t="s">
        <v>3178</v>
      </c>
      <c r="C286">
        <v>4000</v>
      </c>
      <c r="D286">
        <v>1744100000</v>
      </c>
      <c r="E286">
        <v>1734900000</v>
      </c>
      <c r="F286" t="s">
        <v>3392</v>
      </c>
      <c r="G286">
        <v>2020</v>
      </c>
      <c r="H286" t="s">
        <v>3179</v>
      </c>
      <c r="I286" t="s">
        <v>3155</v>
      </c>
      <c r="J286" t="s">
        <v>3393</v>
      </c>
      <c r="K286" t="s">
        <v>564</v>
      </c>
    </row>
    <row r="287" spans="1:11" x14ac:dyDescent="0.25">
      <c r="A287" t="s">
        <v>3139</v>
      </c>
      <c r="B287" t="s">
        <v>3194</v>
      </c>
      <c r="C287">
        <v>2</v>
      </c>
      <c r="D287">
        <v>5300000</v>
      </c>
      <c r="E287">
        <v>4600000</v>
      </c>
      <c r="F287" t="s">
        <v>3496</v>
      </c>
      <c r="G287">
        <v>2022</v>
      </c>
      <c r="H287" t="s">
        <v>3195</v>
      </c>
      <c r="I287" t="s">
        <v>3159</v>
      </c>
      <c r="J287" t="s">
        <v>3497</v>
      </c>
      <c r="K287" t="s">
        <v>564</v>
      </c>
    </row>
    <row r="288" spans="1:11" x14ac:dyDescent="0.25">
      <c r="A288" t="s">
        <v>3139</v>
      </c>
      <c r="B288" t="s">
        <v>3194</v>
      </c>
      <c r="C288">
        <v>5</v>
      </c>
      <c r="D288">
        <v>11300000</v>
      </c>
      <c r="E288">
        <v>9900000</v>
      </c>
      <c r="F288" t="s">
        <v>3496</v>
      </c>
      <c r="G288">
        <v>2022</v>
      </c>
      <c r="H288" t="s">
        <v>3195</v>
      </c>
      <c r="I288" t="s">
        <v>3159</v>
      </c>
      <c r="J288" t="s">
        <v>3497</v>
      </c>
      <c r="K288" t="s">
        <v>564</v>
      </c>
    </row>
    <row r="289" spans="1:11" x14ac:dyDescent="0.25">
      <c r="A289" t="s">
        <v>3139</v>
      </c>
      <c r="B289" t="s">
        <v>3194</v>
      </c>
      <c r="C289">
        <v>10</v>
      </c>
      <c r="D289">
        <v>16200000</v>
      </c>
      <c r="E289">
        <v>14300000</v>
      </c>
      <c r="F289" t="s">
        <v>3496</v>
      </c>
      <c r="G289">
        <v>2022</v>
      </c>
      <c r="H289" t="s">
        <v>3195</v>
      </c>
      <c r="I289" t="s">
        <v>3159</v>
      </c>
      <c r="J289" t="s">
        <v>3497</v>
      </c>
      <c r="K289" t="s">
        <v>564</v>
      </c>
    </row>
    <row r="290" spans="1:11" x14ac:dyDescent="0.25">
      <c r="A290" t="s">
        <v>3139</v>
      </c>
      <c r="B290" t="s">
        <v>3194</v>
      </c>
      <c r="C290">
        <v>25</v>
      </c>
      <c r="D290">
        <v>24100000</v>
      </c>
      <c r="E290">
        <v>21300000</v>
      </c>
      <c r="F290" t="s">
        <v>3496</v>
      </c>
      <c r="G290">
        <v>2022</v>
      </c>
      <c r="H290" t="s">
        <v>3195</v>
      </c>
      <c r="I290" t="s">
        <v>3159</v>
      </c>
      <c r="J290" t="s">
        <v>3497</v>
      </c>
      <c r="K290" t="s">
        <v>564</v>
      </c>
    </row>
    <row r="291" spans="1:11" x14ac:dyDescent="0.25">
      <c r="A291" t="s">
        <v>3139</v>
      </c>
      <c r="B291" t="s">
        <v>3194</v>
      </c>
      <c r="C291">
        <v>50</v>
      </c>
      <c r="D291">
        <v>31200000</v>
      </c>
      <c r="E291">
        <v>27900000</v>
      </c>
      <c r="F291" t="s">
        <v>3496</v>
      </c>
      <c r="G291">
        <v>2022</v>
      </c>
      <c r="H291" t="s">
        <v>3195</v>
      </c>
      <c r="I291" t="s">
        <v>3159</v>
      </c>
      <c r="J291" t="s">
        <v>3497</v>
      </c>
      <c r="K291" t="s">
        <v>564</v>
      </c>
    </row>
    <row r="292" spans="1:11" x14ac:dyDescent="0.25">
      <c r="A292" t="s">
        <v>3139</v>
      </c>
      <c r="B292" t="s">
        <v>3194</v>
      </c>
      <c r="C292">
        <v>100</v>
      </c>
      <c r="D292">
        <v>42500000</v>
      </c>
      <c r="E292">
        <v>38100000</v>
      </c>
      <c r="F292" t="s">
        <v>3496</v>
      </c>
      <c r="G292">
        <v>2022</v>
      </c>
      <c r="H292" t="s">
        <v>3195</v>
      </c>
      <c r="I292" t="s">
        <v>3159</v>
      </c>
      <c r="J292" t="s">
        <v>3497</v>
      </c>
      <c r="K292" t="s">
        <v>564</v>
      </c>
    </row>
    <row r="293" spans="1:11" x14ac:dyDescent="0.25">
      <c r="A293" t="s">
        <v>3139</v>
      </c>
      <c r="B293" t="s">
        <v>3194</v>
      </c>
      <c r="C293">
        <v>200</v>
      </c>
      <c r="D293">
        <v>59100000</v>
      </c>
      <c r="E293">
        <v>52700000</v>
      </c>
      <c r="F293" t="s">
        <v>3496</v>
      </c>
      <c r="G293">
        <v>2022</v>
      </c>
      <c r="H293" t="s">
        <v>3195</v>
      </c>
      <c r="I293" t="s">
        <v>3159</v>
      </c>
      <c r="J293" t="s">
        <v>3497</v>
      </c>
      <c r="K293" t="s">
        <v>564</v>
      </c>
    </row>
    <row r="294" spans="1:11" x14ac:dyDescent="0.25">
      <c r="A294" t="s">
        <v>3139</v>
      </c>
      <c r="B294" t="s">
        <v>3194</v>
      </c>
      <c r="C294">
        <v>250</v>
      </c>
      <c r="D294">
        <v>63100000</v>
      </c>
      <c r="E294">
        <v>57100000</v>
      </c>
      <c r="F294" t="s">
        <v>3496</v>
      </c>
      <c r="G294">
        <v>2022</v>
      </c>
      <c r="H294" t="s">
        <v>3195</v>
      </c>
      <c r="I294" t="s">
        <v>3159</v>
      </c>
      <c r="J294" t="s">
        <v>3497</v>
      </c>
      <c r="K294" t="s">
        <v>564</v>
      </c>
    </row>
    <row r="295" spans="1:11" x14ac:dyDescent="0.25">
      <c r="A295" t="s">
        <v>3139</v>
      </c>
      <c r="B295" t="s">
        <v>3194</v>
      </c>
      <c r="C295">
        <v>500</v>
      </c>
      <c r="D295">
        <v>83000000</v>
      </c>
      <c r="E295">
        <v>73600000</v>
      </c>
      <c r="F295" t="s">
        <v>3496</v>
      </c>
      <c r="G295">
        <v>2022</v>
      </c>
      <c r="H295" t="s">
        <v>3195</v>
      </c>
      <c r="I295" t="s">
        <v>3159</v>
      </c>
      <c r="J295" t="s">
        <v>3497</v>
      </c>
      <c r="K295" t="s">
        <v>564</v>
      </c>
    </row>
    <row r="296" spans="1:11" x14ac:dyDescent="0.25">
      <c r="A296" t="s">
        <v>3139</v>
      </c>
      <c r="B296" t="s">
        <v>3194</v>
      </c>
      <c r="C296">
        <v>1000</v>
      </c>
      <c r="D296">
        <v>101700000</v>
      </c>
      <c r="E296">
        <v>90900000</v>
      </c>
      <c r="F296" t="s">
        <v>3496</v>
      </c>
      <c r="G296">
        <v>2022</v>
      </c>
      <c r="H296" t="s">
        <v>3195</v>
      </c>
      <c r="I296" t="s">
        <v>3159</v>
      </c>
      <c r="J296" t="s">
        <v>3497</v>
      </c>
      <c r="K296" t="s">
        <v>564</v>
      </c>
    </row>
    <row r="297" spans="1:11" x14ac:dyDescent="0.25">
      <c r="A297" t="s">
        <v>3139</v>
      </c>
      <c r="B297" t="s">
        <v>3194</v>
      </c>
      <c r="C297">
        <v>2000</v>
      </c>
      <c r="D297">
        <v>118000000</v>
      </c>
      <c r="E297">
        <v>107300000</v>
      </c>
      <c r="F297" t="s">
        <v>3496</v>
      </c>
      <c r="G297">
        <v>2022</v>
      </c>
      <c r="H297" t="s">
        <v>3195</v>
      </c>
      <c r="I297" t="s">
        <v>3159</v>
      </c>
      <c r="J297" t="s">
        <v>3497</v>
      </c>
      <c r="K297" t="s">
        <v>564</v>
      </c>
    </row>
    <row r="298" spans="1:11" x14ac:dyDescent="0.25">
      <c r="A298" t="s">
        <v>3139</v>
      </c>
      <c r="B298" t="s">
        <v>3194</v>
      </c>
      <c r="C298">
        <v>5000</v>
      </c>
      <c r="D298">
        <v>170200000</v>
      </c>
      <c r="E298">
        <v>151800000</v>
      </c>
      <c r="F298" t="s">
        <v>3496</v>
      </c>
      <c r="G298">
        <v>2022</v>
      </c>
      <c r="H298" t="s">
        <v>3195</v>
      </c>
      <c r="I298" t="s">
        <v>3159</v>
      </c>
      <c r="J298" t="s">
        <v>3497</v>
      </c>
      <c r="K298" t="s">
        <v>564</v>
      </c>
    </row>
    <row r="299" spans="1:11" x14ac:dyDescent="0.25">
      <c r="A299" t="s">
        <v>3139</v>
      </c>
      <c r="B299" t="s">
        <v>3188</v>
      </c>
      <c r="C299">
        <v>2</v>
      </c>
      <c r="D299">
        <v>3700000</v>
      </c>
      <c r="E299">
        <v>3100000</v>
      </c>
      <c r="F299" t="s">
        <v>3446</v>
      </c>
      <c r="G299">
        <v>2021</v>
      </c>
      <c r="H299" t="s">
        <v>3189</v>
      </c>
      <c r="I299" t="s">
        <v>3157</v>
      </c>
      <c r="J299" t="s">
        <v>3447</v>
      </c>
      <c r="K299" t="s">
        <v>564</v>
      </c>
    </row>
    <row r="300" spans="1:11" x14ac:dyDescent="0.25">
      <c r="A300" t="s">
        <v>3139</v>
      </c>
      <c r="B300" t="s">
        <v>3188</v>
      </c>
      <c r="C300">
        <v>5</v>
      </c>
      <c r="D300">
        <v>29100000</v>
      </c>
      <c r="E300">
        <v>24400000</v>
      </c>
      <c r="F300" t="s">
        <v>3446</v>
      </c>
      <c r="G300">
        <v>2021</v>
      </c>
      <c r="H300" t="s">
        <v>3189</v>
      </c>
      <c r="I300" t="s">
        <v>3157</v>
      </c>
      <c r="J300" t="s">
        <v>3447</v>
      </c>
      <c r="K300" t="s">
        <v>564</v>
      </c>
    </row>
    <row r="301" spans="1:11" x14ac:dyDescent="0.25">
      <c r="A301" t="s">
        <v>3139</v>
      </c>
      <c r="B301" t="s">
        <v>3188</v>
      </c>
      <c r="C301">
        <v>10</v>
      </c>
      <c r="D301">
        <v>60900000</v>
      </c>
      <c r="E301">
        <v>51300000</v>
      </c>
      <c r="F301" t="s">
        <v>3446</v>
      </c>
      <c r="G301">
        <v>2021</v>
      </c>
      <c r="H301" t="s">
        <v>3189</v>
      </c>
      <c r="I301" t="s">
        <v>3157</v>
      </c>
      <c r="J301" t="s">
        <v>3447</v>
      </c>
      <c r="K301" t="s">
        <v>564</v>
      </c>
    </row>
    <row r="302" spans="1:11" x14ac:dyDescent="0.25">
      <c r="A302" t="s">
        <v>3139</v>
      </c>
      <c r="B302" t="s">
        <v>3188</v>
      </c>
      <c r="C302">
        <v>25</v>
      </c>
      <c r="D302">
        <v>123800000</v>
      </c>
      <c r="E302">
        <v>107800000</v>
      </c>
      <c r="F302" t="s">
        <v>3446</v>
      </c>
      <c r="G302">
        <v>2021</v>
      </c>
      <c r="H302" t="s">
        <v>3189</v>
      </c>
      <c r="I302" t="s">
        <v>3157</v>
      </c>
      <c r="J302" t="s">
        <v>3447</v>
      </c>
      <c r="K302" t="s">
        <v>564</v>
      </c>
    </row>
    <row r="303" spans="1:11" x14ac:dyDescent="0.25">
      <c r="A303" t="s">
        <v>3139</v>
      </c>
      <c r="B303" t="s">
        <v>3188</v>
      </c>
      <c r="C303">
        <v>50</v>
      </c>
      <c r="D303">
        <v>193600000</v>
      </c>
      <c r="E303">
        <v>173500000</v>
      </c>
      <c r="F303" t="s">
        <v>3446</v>
      </c>
      <c r="G303">
        <v>2021</v>
      </c>
      <c r="H303" t="s">
        <v>3189</v>
      </c>
      <c r="I303" t="s">
        <v>3157</v>
      </c>
      <c r="J303" t="s">
        <v>3447</v>
      </c>
      <c r="K303" t="s">
        <v>564</v>
      </c>
    </row>
    <row r="304" spans="1:11" x14ac:dyDescent="0.25">
      <c r="A304" t="s">
        <v>3139</v>
      </c>
      <c r="B304" t="s">
        <v>3188</v>
      </c>
      <c r="C304">
        <v>100</v>
      </c>
      <c r="D304">
        <v>291900000</v>
      </c>
      <c r="E304">
        <v>268500000</v>
      </c>
      <c r="F304" t="s">
        <v>3446</v>
      </c>
      <c r="G304">
        <v>2021</v>
      </c>
      <c r="H304" t="s">
        <v>3189</v>
      </c>
      <c r="I304" t="s">
        <v>3157</v>
      </c>
      <c r="J304" t="s">
        <v>3447</v>
      </c>
      <c r="K304" t="s">
        <v>564</v>
      </c>
    </row>
    <row r="305" spans="1:11" x14ac:dyDescent="0.25">
      <c r="A305" t="s">
        <v>3139</v>
      </c>
      <c r="B305" t="s">
        <v>3188</v>
      </c>
      <c r="C305">
        <v>200</v>
      </c>
      <c r="D305">
        <v>427700000</v>
      </c>
      <c r="E305">
        <v>402400000</v>
      </c>
      <c r="F305" t="s">
        <v>3446</v>
      </c>
      <c r="G305">
        <v>2021</v>
      </c>
      <c r="H305" t="s">
        <v>3189</v>
      </c>
      <c r="I305" t="s">
        <v>3157</v>
      </c>
      <c r="J305" t="s">
        <v>3447</v>
      </c>
      <c r="K305" t="s">
        <v>564</v>
      </c>
    </row>
    <row r="306" spans="1:11" x14ac:dyDescent="0.25">
      <c r="A306" t="s">
        <v>3139</v>
      </c>
      <c r="B306" t="s">
        <v>3188</v>
      </c>
      <c r="C306">
        <v>250</v>
      </c>
      <c r="D306">
        <v>480200000</v>
      </c>
      <c r="E306">
        <v>454400000</v>
      </c>
      <c r="F306" t="s">
        <v>3446</v>
      </c>
      <c r="G306">
        <v>2021</v>
      </c>
      <c r="H306" t="s">
        <v>3189</v>
      </c>
      <c r="I306" t="s">
        <v>3157</v>
      </c>
      <c r="J306" t="s">
        <v>3447</v>
      </c>
      <c r="K306" t="s">
        <v>564</v>
      </c>
    </row>
    <row r="307" spans="1:11" x14ac:dyDescent="0.25">
      <c r="A307" t="s">
        <v>3139</v>
      </c>
      <c r="B307" t="s">
        <v>3188</v>
      </c>
      <c r="C307">
        <v>500</v>
      </c>
      <c r="D307">
        <v>680100000</v>
      </c>
      <c r="E307">
        <v>652600000</v>
      </c>
      <c r="F307" t="s">
        <v>3446</v>
      </c>
      <c r="G307">
        <v>2021</v>
      </c>
      <c r="H307" t="s">
        <v>3189</v>
      </c>
      <c r="I307" t="s">
        <v>3157</v>
      </c>
      <c r="J307" t="s">
        <v>3447</v>
      </c>
      <c r="K307" t="s">
        <v>564</v>
      </c>
    </row>
    <row r="308" spans="1:11" x14ac:dyDescent="0.25">
      <c r="A308" t="s">
        <v>3139</v>
      </c>
      <c r="B308" t="s">
        <v>3188</v>
      </c>
      <c r="C308">
        <v>1000</v>
      </c>
      <c r="D308">
        <v>947100000</v>
      </c>
      <c r="E308">
        <v>919100000</v>
      </c>
      <c r="F308" t="s">
        <v>3446</v>
      </c>
      <c r="G308">
        <v>2021</v>
      </c>
      <c r="H308" t="s">
        <v>3189</v>
      </c>
      <c r="I308" t="s">
        <v>3157</v>
      </c>
      <c r="J308" t="s">
        <v>3447</v>
      </c>
      <c r="K308" t="s">
        <v>564</v>
      </c>
    </row>
    <row r="309" spans="1:11" x14ac:dyDescent="0.25">
      <c r="A309" t="s">
        <v>3139</v>
      </c>
      <c r="B309" t="s">
        <v>3188</v>
      </c>
      <c r="C309">
        <v>2000</v>
      </c>
      <c r="D309">
        <v>1303200000</v>
      </c>
      <c r="E309">
        <v>1274200000</v>
      </c>
      <c r="F309" t="s">
        <v>3446</v>
      </c>
      <c r="G309">
        <v>2021</v>
      </c>
      <c r="H309" t="s">
        <v>3189</v>
      </c>
      <c r="I309" t="s">
        <v>3157</v>
      </c>
      <c r="J309" t="s">
        <v>3447</v>
      </c>
      <c r="K309" t="s">
        <v>564</v>
      </c>
    </row>
    <row r="310" spans="1:11" x14ac:dyDescent="0.25">
      <c r="A310" t="s">
        <v>3139</v>
      </c>
      <c r="B310" t="s">
        <v>3188</v>
      </c>
      <c r="C310">
        <v>4000</v>
      </c>
      <c r="D310">
        <v>1787000000</v>
      </c>
      <c r="E310">
        <v>1759600000</v>
      </c>
      <c r="F310" t="s">
        <v>3446</v>
      </c>
      <c r="G310">
        <v>2021</v>
      </c>
      <c r="H310" t="s">
        <v>3189</v>
      </c>
      <c r="I310" t="s">
        <v>3157</v>
      </c>
      <c r="J310" t="s">
        <v>3447</v>
      </c>
      <c r="K310" t="s">
        <v>564</v>
      </c>
    </row>
    <row r="311" spans="1:11" x14ac:dyDescent="0.25">
      <c r="A311" t="s">
        <v>3139</v>
      </c>
      <c r="B311" t="s">
        <v>3178</v>
      </c>
      <c r="C311">
        <v>2</v>
      </c>
      <c r="D311">
        <v>100000</v>
      </c>
      <c r="E311">
        <v>100000</v>
      </c>
      <c r="F311" t="s">
        <v>3436</v>
      </c>
      <c r="G311">
        <v>2021</v>
      </c>
      <c r="H311" t="s">
        <v>3179</v>
      </c>
      <c r="I311" t="s">
        <v>3157</v>
      </c>
      <c r="J311" t="s">
        <v>3437</v>
      </c>
      <c r="K311" t="s">
        <v>564</v>
      </c>
    </row>
    <row r="312" spans="1:11" x14ac:dyDescent="0.25">
      <c r="A312" t="s">
        <v>3139</v>
      </c>
      <c r="B312" t="s">
        <v>3178</v>
      </c>
      <c r="C312">
        <v>5</v>
      </c>
      <c r="D312">
        <v>1500000</v>
      </c>
      <c r="E312">
        <v>1400000</v>
      </c>
      <c r="F312" t="s">
        <v>3436</v>
      </c>
      <c r="G312">
        <v>2021</v>
      </c>
      <c r="H312" t="s">
        <v>3179</v>
      </c>
      <c r="I312" t="s">
        <v>3157</v>
      </c>
      <c r="J312" t="s">
        <v>3437</v>
      </c>
      <c r="K312" t="s">
        <v>564</v>
      </c>
    </row>
    <row r="313" spans="1:11" x14ac:dyDescent="0.25">
      <c r="A313" t="s">
        <v>3139</v>
      </c>
      <c r="B313" t="s">
        <v>3178</v>
      </c>
      <c r="C313">
        <v>10</v>
      </c>
      <c r="D313">
        <v>7800000</v>
      </c>
      <c r="E313">
        <v>7300000</v>
      </c>
      <c r="F313" t="s">
        <v>3436</v>
      </c>
      <c r="G313">
        <v>2021</v>
      </c>
      <c r="H313" t="s">
        <v>3179</v>
      </c>
      <c r="I313" t="s">
        <v>3157</v>
      </c>
      <c r="J313" t="s">
        <v>3437</v>
      </c>
      <c r="K313" t="s">
        <v>564</v>
      </c>
    </row>
    <row r="314" spans="1:11" x14ac:dyDescent="0.25">
      <c r="A314" t="s">
        <v>3139</v>
      </c>
      <c r="B314" t="s">
        <v>3178</v>
      </c>
      <c r="C314">
        <v>25</v>
      </c>
      <c r="D314">
        <v>34700000</v>
      </c>
      <c r="E314">
        <v>33200000</v>
      </c>
      <c r="F314" t="s">
        <v>3436</v>
      </c>
      <c r="G314">
        <v>2021</v>
      </c>
      <c r="H314" t="s">
        <v>3179</v>
      </c>
      <c r="I314" t="s">
        <v>3157</v>
      </c>
      <c r="J314" t="s">
        <v>3437</v>
      </c>
      <c r="K314" t="s">
        <v>564</v>
      </c>
    </row>
    <row r="315" spans="1:11" x14ac:dyDescent="0.25">
      <c r="A315" t="s">
        <v>3139</v>
      </c>
      <c r="B315" t="s">
        <v>3178</v>
      </c>
      <c r="C315">
        <v>50</v>
      </c>
      <c r="D315">
        <v>80800000</v>
      </c>
      <c r="E315">
        <v>78400000</v>
      </c>
      <c r="F315" t="s">
        <v>3436</v>
      </c>
      <c r="G315">
        <v>2021</v>
      </c>
      <c r="H315" t="s">
        <v>3179</v>
      </c>
      <c r="I315" t="s">
        <v>3157</v>
      </c>
      <c r="J315" t="s">
        <v>3437</v>
      </c>
      <c r="K315" t="s">
        <v>564</v>
      </c>
    </row>
    <row r="316" spans="1:11" x14ac:dyDescent="0.25">
      <c r="A316" t="s">
        <v>3139</v>
      </c>
      <c r="B316" t="s">
        <v>3178</v>
      </c>
      <c r="C316">
        <v>100</v>
      </c>
      <c r="D316">
        <v>152000000</v>
      </c>
      <c r="E316">
        <v>148300000</v>
      </c>
      <c r="F316" t="s">
        <v>3436</v>
      </c>
      <c r="G316">
        <v>2021</v>
      </c>
      <c r="H316" t="s">
        <v>3179</v>
      </c>
      <c r="I316" t="s">
        <v>3157</v>
      </c>
      <c r="J316" t="s">
        <v>3437</v>
      </c>
      <c r="K316" t="s">
        <v>564</v>
      </c>
    </row>
    <row r="317" spans="1:11" x14ac:dyDescent="0.25">
      <c r="A317" t="s">
        <v>3139</v>
      </c>
      <c r="B317" t="s">
        <v>3178</v>
      </c>
      <c r="C317">
        <v>200</v>
      </c>
      <c r="D317">
        <v>267400000</v>
      </c>
      <c r="E317">
        <v>262700000</v>
      </c>
      <c r="F317" t="s">
        <v>3436</v>
      </c>
      <c r="G317">
        <v>2021</v>
      </c>
      <c r="H317" t="s">
        <v>3179</v>
      </c>
      <c r="I317" t="s">
        <v>3157</v>
      </c>
      <c r="J317" t="s">
        <v>3437</v>
      </c>
      <c r="K317" t="s">
        <v>564</v>
      </c>
    </row>
    <row r="318" spans="1:11" x14ac:dyDescent="0.25">
      <c r="A318" t="s">
        <v>3139</v>
      </c>
      <c r="B318" t="s">
        <v>3178</v>
      </c>
      <c r="C318">
        <v>250</v>
      </c>
      <c r="D318">
        <v>315000000</v>
      </c>
      <c r="E318">
        <v>309900000</v>
      </c>
      <c r="F318" t="s">
        <v>3436</v>
      </c>
      <c r="G318">
        <v>2021</v>
      </c>
      <c r="H318" t="s">
        <v>3179</v>
      </c>
      <c r="I318" t="s">
        <v>3157</v>
      </c>
      <c r="J318" t="s">
        <v>3437</v>
      </c>
      <c r="K318" t="s">
        <v>564</v>
      </c>
    </row>
    <row r="319" spans="1:11" x14ac:dyDescent="0.25">
      <c r="A319" t="s">
        <v>3139</v>
      </c>
      <c r="B319" t="s">
        <v>3178</v>
      </c>
      <c r="C319">
        <v>500</v>
      </c>
      <c r="D319">
        <v>503600000</v>
      </c>
      <c r="E319">
        <v>497800000</v>
      </c>
      <c r="F319" t="s">
        <v>3436</v>
      </c>
      <c r="G319">
        <v>2021</v>
      </c>
      <c r="H319" t="s">
        <v>3179</v>
      </c>
      <c r="I319" t="s">
        <v>3157</v>
      </c>
      <c r="J319" t="s">
        <v>3437</v>
      </c>
      <c r="K319" t="s">
        <v>564</v>
      </c>
    </row>
    <row r="320" spans="1:11" x14ac:dyDescent="0.25">
      <c r="A320" t="s">
        <v>3139</v>
      </c>
      <c r="B320" t="s">
        <v>3178</v>
      </c>
      <c r="C320">
        <v>1000</v>
      </c>
      <c r="D320">
        <v>733300000</v>
      </c>
      <c r="E320">
        <v>726200000</v>
      </c>
      <c r="F320" t="s">
        <v>3436</v>
      </c>
      <c r="G320">
        <v>2021</v>
      </c>
      <c r="H320" t="s">
        <v>3179</v>
      </c>
      <c r="I320" t="s">
        <v>3157</v>
      </c>
      <c r="J320" t="s">
        <v>3437</v>
      </c>
      <c r="K320" t="s">
        <v>564</v>
      </c>
    </row>
    <row r="321" spans="1:11" x14ac:dyDescent="0.25">
      <c r="A321" t="s">
        <v>3139</v>
      </c>
      <c r="B321" t="s">
        <v>3178</v>
      </c>
      <c r="C321">
        <v>2000</v>
      </c>
      <c r="D321">
        <v>1045100000</v>
      </c>
      <c r="E321">
        <v>1037300000</v>
      </c>
      <c r="F321" t="s">
        <v>3436</v>
      </c>
      <c r="G321">
        <v>2021</v>
      </c>
      <c r="H321" t="s">
        <v>3179</v>
      </c>
      <c r="I321" t="s">
        <v>3157</v>
      </c>
      <c r="J321" t="s">
        <v>3437</v>
      </c>
      <c r="K321" t="s">
        <v>564</v>
      </c>
    </row>
    <row r="322" spans="1:11" x14ac:dyDescent="0.25">
      <c r="A322" t="s">
        <v>3139</v>
      </c>
      <c r="B322" t="s">
        <v>3178</v>
      </c>
      <c r="C322">
        <v>4000</v>
      </c>
      <c r="D322">
        <v>1416700000</v>
      </c>
      <c r="E322">
        <v>1408700000</v>
      </c>
      <c r="F322" t="s">
        <v>3436</v>
      </c>
      <c r="G322">
        <v>2021</v>
      </c>
      <c r="H322" t="s">
        <v>3179</v>
      </c>
      <c r="I322" t="s">
        <v>3157</v>
      </c>
      <c r="J322" t="s">
        <v>3437</v>
      </c>
      <c r="K322" t="s">
        <v>564</v>
      </c>
    </row>
    <row r="323" spans="1:11" x14ac:dyDescent="0.25">
      <c r="A323" t="s">
        <v>3139</v>
      </c>
      <c r="B323" t="s">
        <v>3171</v>
      </c>
      <c r="C323">
        <v>2</v>
      </c>
      <c r="D323">
        <v>7400000</v>
      </c>
      <c r="E323">
        <v>2700000</v>
      </c>
      <c r="F323" t="s">
        <v>3430</v>
      </c>
      <c r="G323">
        <v>2021</v>
      </c>
      <c r="H323" t="s">
        <v>3172</v>
      </c>
      <c r="I323" t="s">
        <v>3157</v>
      </c>
      <c r="J323" t="s">
        <v>3431</v>
      </c>
      <c r="K323" t="s">
        <v>564</v>
      </c>
    </row>
    <row r="324" spans="1:11" x14ac:dyDescent="0.25">
      <c r="A324" t="s">
        <v>3139</v>
      </c>
      <c r="B324" t="s">
        <v>3171</v>
      </c>
      <c r="C324">
        <v>5</v>
      </c>
      <c r="D324">
        <v>13400000</v>
      </c>
      <c r="E324">
        <v>6300000</v>
      </c>
      <c r="F324" t="s">
        <v>3430</v>
      </c>
      <c r="G324">
        <v>2021</v>
      </c>
      <c r="H324" t="s">
        <v>3172</v>
      </c>
      <c r="I324" t="s">
        <v>3157</v>
      </c>
      <c r="J324" t="s">
        <v>3431</v>
      </c>
      <c r="K324" t="s">
        <v>564</v>
      </c>
    </row>
    <row r="325" spans="1:11" x14ac:dyDescent="0.25">
      <c r="A325" t="s">
        <v>3139</v>
      </c>
      <c r="B325" t="s">
        <v>3171</v>
      </c>
      <c r="C325">
        <v>10</v>
      </c>
      <c r="D325">
        <v>18600000</v>
      </c>
      <c r="E325">
        <v>10300000</v>
      </c>
      <c r="F325" t="s">
        <v>3430</v>
      </c>
      <c r="G325">
        <v>2021</v>
      </c>
      <c r="H325" t="s">
        <v>3172</v>
      </c>
      <c r="I325" t="s">
        <v>3157</v>
      </c>
      <c r="J325" t="s">
        <v>3431</v>
      </c>
      <c r="K325" t="s">
        <v>564</v>
      </c>
    </row>
    <row r="326" spans="1:11" x14ac:dyDescent="0.25">
      <c r="A326" t="s">
        <v>3139</v>
      </c>
      <c r="B326" t="s">
        <v>3171</v>
      </c>
      <c r="C326">
        <v>25</v>
      </c>
      <c r="D326">
        <v>27600000</v>
      </c>
      <c r="E326">
        <v>18100000</v>
      </c>
      <c r="F326" t="s">
        <v>3430</v>
      </c>
      <c r="G326">
        <v>2021</v>
      </c>
      <c r="H326" t="s">
        <v>3172</v>
      </c>
      <c r="I326" t="s">
        <v>3157</v>
      </c>
      <c r="J326" t="s">
        <v>3431</v>
      </c>
      <c r="K326" t="s">
        <v>564</v>
      </c>
    </row>
    <row r="327" spans="1:11" x14ac:dyDescent="0.25">
      <c r="A327" t="s">
        <v>3139</v>
      </c>
      <c r="B327" t="s">
        <v>3171</v>
      </c>
      <c r="C327">
        <v>50</v>
      </c>
      <c r="D327">
        <v>36700000</v>
      </c>
      <c r="E327">
        <v>27000000</v>
      </c>
      <c r="F327" t="s">
        <v>3430</v>
      </c>
      <c r="G327">
        <v>2021</v>
      </c>
      <c r="H327" t="s">
        <v>3172</v>
      </c>
      <c r="I327" t="s">
        <v>3157</v>
      </c>
      <c r="J327" t="s">
        <v>3431</v>
      </c>
      <c r="K327" t="s">
        <v>564</v>
      </c>
    </row>
    <row r="328" spans="1:11" x14ac:dyDescent="0.25">
      <c r="A328" t="s">
        <v>3139</v>
      </c>
      <c r="B328" t="s">
        <v>3171</v>
      </c>
      <c r="C328">
        <v>100</v>
      </c>
      <c r="D328">
        <v>48100000</v>
      </c>
      <c r="E328">
        <v>37900000</v>
      </c>
      <c r="F328" t="s">
        <v>3430</v>
      </c>
      <c r="G328">
        <v>2021</v>
      </c>
      <c r="H328" t="s">
        <v>3172</v>
      </c>
      <c r="I328" t="s">
        <v>3157</v>
      </c>
      <c r="J328" t="s">
        <v>3431</v>
      </c>
      <c r="K328" t="s">
        <v>564</v>
      </c>
    </row>
    <row r="329" spans="1:11" x14ac:dyDescent="0.25">
      <c r="A329" t="s">
        <v>3139</v>
      </c>
      <c r="B329" t="s">
        <v>3171</v>
      </c>
      <c r="C329">
        <v>200</v>
      </c>
      <c r="D329">
        <v>62600000</v>
      </c>
      <c r="E329">
        <v>52300000</v>
      </c>
      <c r="F329" t="s">
        <v>3430</v>
      </c>
      <c r="G329">
        <v>2021</v>
      </c>
      <c r="H329" t="s">
        <v>3172</v>
      </c>
      <c r="I329" t="s">
        <v>3157</v>
      </c>
      <c r="J329" t="s">
        <v>3431</v>
      </c>
      <c r="K329" t="s">
        <v>564</v>
      </c>
    </row>
    <row r="330" spans="1:11" x14ac:dyDescent="0.25">
      <c r="A330" t="s">
        <v>3139</v>
      </c>
      <c r="B330" t="s">
        <v>3171</v>
      </c>
      <c r="C330">
        <v>250</v>
      </c>
      <c r="D330">
        <v>67900000</v>
      </c>
      <c r="E330">
        <v>57600000</v>
      </c>
      <c r="F330" t="s">
        <v>3430</v>
      </c>
      <c r="G330">
        <v>2021</v>
      </c>
      <c r="H330" t="s">
        <v>3172</v>
      </c>
      <c r="I330" t="s">
        <v>3157</v>
      </c>
      <c r="J330" t="s">
        <v>3431</v>
      </c>
      <c r="K330" t="s">
        <v>564</v>
      </c>
    </row>
    <row r="331" spans="1:11" x14ac:dyDescent="0.25">
      <c r="A331" t="s">
        <v>3139</v>
      </c>
      <c r="B331" t="s">
        <v>3171</v>
      </c>
      <c r="C331">
        <v>500</v>
      </c>
      <c r="D331">
        <v>89300000</v>
      </c>
      <c r="E331">
        <v>78300000</v>
      </c>
      <c r="F331" t="s">
        <v>3430</v>
      </c>
      <c r="G331">
        <v>2021</v>
      </c>
      <c r="H331" t="s">
        <v>3172</v>
      </c>
      <c r="I331" t="s">
        <v>3157</v>
      </c>
      <c r="J331" t="s">
        <v>3431</v>
      </c>
      <c r="K331" t="s">
        <v>564</v>
      </c>
    </row>
    <row r="332" spans="1:11" x14ac:dyDescent="0.25">
      <c r="A332" t="s">
        <v>3139</v>
      </c>
      <c r="B332" t="s">
        <v>3171</v>
      </c>
      <c r="C332">
        <v>1000</v>
      </c>
      <c r="D332">
        <v>124200000</v>
      </c>
      <c r="E332">
        <v>114000000</v>
      </c>
      <c r="F332" t="s">
        <v>3430</v>
      </c>
      <c r="G332">
        <v>2021</v>
      </c>
      <c r="H332" t="s">
        <v>3172</v>
      </c>
      <c r="I332" t="s">
        <v>3157</v>
      </c>
      <c r="J332" t="s">
        <v>3431</v>
      </c>
      <c r="K332" t="s">
        <v>564</v>
      </c>
    </row>
    <row r="333" spans="1:11" x14ac:dyDescent="0.25">
      <c r="A333" t="s">
        <v>3139</v>
      </c>
      <c r="B333" t="s">
        <v>3171</v>
      </c>
      <c r="C333">
        <v>2000</v>
      </c>
      <c r="D333">
        <v>173400000</v>
      </c>
      <c r="E333">
        <v>163400000</v>
      </c>
      <c r="F333" t="s">
        <v>3430</v>
      </c>
      <c r="G333">
        <v>2021</v>
      </c>
      <c r="H333" t="s">
        <v>3172</v>
      </c>
      <c r="I333" t="s">
        <v>3157</v>
      </c>
      <c r="J333" t="s">
        <v>3431</v>
      </c>
      <c r="K333" t="s">
        <v>564</v>
      </c>
    </row>
    <row r="334" spans="1:11" x14ac:dyDescent="0.25">
      <c r="A334" t="s">
        <v>3139</v>
      </c>
      <c r="B334" t="s">
        <v>3171</v>
      </c>
      <c r="C334">
        <v>4000</v>
      </c>
      <c r="D334">
        <v>238400000</v>
      </c>
      <c r="E334">
        <v>228300000</v>
      </c>
      <c r="F334" t="s">
        <v>3430</v>
      </c>
      <c r="G334">
        <v>2021</v>
      </c>
      <c r="H334" t="s">
        <v>3172</v>
      </c>
      <c r="I334" t="s">
        <v>3157</v>
      </c>
      <c r="J334" t="s">
        <v>3431</v>
      </c>
      <c r="K334" t="s">
        <v>564</v>
      </c>
    </row>
    <row r="335" spans="1:11" x14ac:dyDescent="0.25">
      <c r="A335" t="s">
        <v>3139</v>
      </c>
      <c r="B335" t="s">
        <v>3196</v>
      </c>
      <c r="C335">
        <v>2</v>
      </c>
      <c r="D335">
        <v>3300000</v>
      </c>
      <c r="E335">
        <v>2500000</v>
      </c>
      <c r="F335" t="s">
        <v>3440</v>
      </c>
      <c r="G335">
        <v>2021</v>
      </c>
      <c r="H335" t="s">
        <v>3197</v>
      </c>
      <c r="I335" t="s">
        <v>3157</v>
      </c>
      <c r="J335" t="s">
        <v>3441</v>
      </c>
      <c r="K335" t="s">
        <v>564</v>
      </c>
    </row>
    <row r="336" spans="1:11" x14ac:dyDescent="0.25">
      <c r="A336" t="s">
        <v>3139</v>
      </c>
      <c r="B336" t="s">
        <v>3196</v>
      </c>
      <c r="C336">
        <v>5</v>
      </c>
      <c r="D336">
        <v>14600000</v>
      </c>
      <c r="E336">
        <v>11000000</v>
      </c>
      <c r="F336" t="s">
        <v>3440</v>
      </c>
      <c r="G336">
        <v>2021</v>
      </c>
      <c r="H336" t="s">
        <v>3197</v>
      </c>
      <c r="I336" t="s">
        <v>3157</v>
      </c>
      <c r="J336" t="s">
        <v>3441</v>
      </c>
      <c r="K336" t="s">
        <v>564</v>
      </c>
    </row>
    <row r="337" spans="1:11" x14ac:dyDescent="0.25">
      <c r="A337" t="s">
        <v>3139</v>
      </c>
      <c r="B337" t="s">
        <v>3196</v>
      </c>
      <c r="C337">
        <v>10</v>
      </c>
      <c r="D337">
        <v>33200000</v>
      </c>
      <c r="E337">
        <v>25200000</v>
      </c>
      <c r="F337" t="s">
        <v>3440</v>
      </c>
      <c r="G337">
        <v>2021</v>
      </c>
      <c r="H337" t="s">
        <v>3197</v>
      </c>
      <c r="I337" t="s">
        <v>3157</v>
      </c>
      <c r="J337" t="s">
        <v>3441</v>
      </c>
      <c r="K337" t="s">
        <v>564</v>
      </c>
    </row>
    <row r="338" spans="1:11" x14ac:dyDescent="0.25">
      <c r="A338" t="s">
        <v>3139</v>
      </c>
      <c r="B338" t="s">
        <v>3196</v>
      </c>
      <c r="C338">
        <v>25</v>
      </c>
      <c r="D338">
        <v>80400000</v>
      </c>
      <c r="E338">
        <v>62300000</v>
      </c>
      <c r="F338" t="s">
        <v>3440</v>
      </c>
      <c r="G338">
        <v>2021</v>
      </c>
      <c r="H338" t="s">
        <v>3197</v>
      </c>
      <c r="I338" t="s">
        <v>3157</v>
      </c>
      <c r="J338" t="s">
        <v>3441</v>
      </c>
      <c r="K338" t="s">
        <v>564</v>
      </c>
    </row>
    <row r="339" spans="1:11" x14ac:dyDescent="0.25">
      <c r="A339" t="s">
        <v>3139</v>
      </c>
      <c r="B339" t="s">
        <v>3196</v>
      </c>
      <c r="C339">
        <v>50</v>
      </c>
      <c r="D339">
        <v>136100000</v>
      </c>
      <c r="E339">
        <v>109300000</v>
      </c>
      <c r="F339" t="s">
        <v>3440</v>
      </c>
      <c r="G339">
        <v>2021</v>
      </c>
      <c r="H339" t="s">
        <v>3197</v>
      </c>
      <c r="I339" t="s">
        <v>3157</v>
      </c>
      <c r="J339" t="s">
        <v>3441</v>
      </c>
      <c r="K339" t="s">
        <v>564</v>
      </c>
    </row>
    <row r="340" spans="1:11" x14ac:dyDescent="0.25">
      <c r="A340" t="s">
        <v>3139</v>
      </c>
      <c r="B340" t="s">
        <v>3196</v>
      </c>
      <c r="C340">
        <v>100</v>
      </c>
      <c r="D340">
        <v>253500000</v>
      </c>
      <c r="E340">
        <v>175400000</v>
      </c>
      <c r="F340" t="s">
        <v>3440</v>
      </c>
      <c r="G340">
        <v>2021</v>
      </c>
      <c r="H340" t="s">
        <v>3197</v>
      </c>
      <c r="I340" t="s">
        <v>3157</v>
      </c>
      <c r="J340" t="s">
        <v>3441</v>
      </c>
      <c r="K340" t="s">
        <v>564</v>
      </c>
    </row>
    <row r="341" spans="1:11" x14ac:dyDescent="0.25">
      <c r="A341" t="s">
        <v>3139</v>
      </c>
      <c r="B341" t="s">
        <v>3196</v>
      </c>
      <c r="C341">
        <v>200</v>
      </c>
      <c r="D341">
        <v>432400000</v>
      </c>
      <c r="E341">
        <v>286500000</v>
      </c>
      <c r="F341" t="s">
        <v>3440</v>
      </c>
      <c r="G341">
        <v>2021</v>
      </c>
      <c r="H341" t="s">
        <v>3197</v>
      </c>
      <c r="I341" t="s">
        <v>3157</v>
      </c>
      <c r="J341" t="s">
        <v>3441</v>
      </c>
      <c r="K341" t="s">
        <v>564</v>
      </c>
    </row>
    <row r="342" spans="1:11" x14ac:dyDescent="0.25">
      <c r="A342" t="s">
        <v>3139</v>
      </c>
      <c r="B342" t="s">
        <v>3196</v>
      </c>
      <c r="C342">
        <v>250</v>
      </c>
      <c r="D342">
        <v>521300000</v>
      </c>
      <c r="E342">
        <v>319900000</v>
      </c>
      <c r="F342" t="s">
        <v>3440</v>
      </c>
      <c r="G342">
        <v>2021</v>
      </c>
      <c r="H342" t="s">
        <v>3197</v>
      </c>
      <c r="I342" t="s">
        <v>3157</v>
      </c>
      <c r="J342" t="s">
        <v>3441</v>
      </c>
      <c r="K342" t="s">
        <v>564</v>
      </c>
    </row>
    <row r="343" spans="1:11" x14ac:dyDescent="0.25">
      <c r="A343" t="s">
        <v>3139</v>
      </c>
      <c r="B343" t="s">
        <v>3196</v>
      </c>
      <c r="C343">
        <v>500</v>
      </c>
      <c r="D343">
        <v>1106800000</v>
      </c>
      <c r="E343">
        <v>648700000</v>
      </c>
      <c r="F343" t="s">
        <v>3440</v>
      </c>
      <c r="G343">
        <v>2021</v>
      </c>
      <c r="H343" t="s">
        <v>3197</v>
      </c>
      <c r="I343" t="s">
        <v>3157</v>
      </c>
      <c r="J343" t="s">
        <v>3441</v>
      </c>
      <c r="K343" t="s">
        <v>564</v>
      </c>
    </row>
    <row r="344" spans="1:11" x14ac:dyDescent="0.25">
      <c r="A344" t="s">
        <v>3139</v>
      </c>
      <c r="B344" t="s">
        <v>3196</v>
      </c>
      <c r="C344">
        <v>1000</v>
      </c>
      <c r="D344">
        <v>1532700000</v>
      </c>
      <c r="E344">
        <v>943100000</v>
      </c>
      <c r="F344" t="s">
        <v>3440</v>
      </c>
      <c r="G344">
        <v>2021</v>
      </c>
      <c r="H344" t="s">
        <v>3197</v>
      </c>
      <c r="I344" t="s">
        <v>3157</v>
      </c>
      <c r="J344" t="s">
        <v>3441</v>
      </c>
      <c r="K344" t="s">
        <v>564</v>
      </c>
    </row>
    <row r="345" spans="1:11" x14ac:dyDescent="0.25">
      <c r="A345" t="s">
        <v>3139</v>
      </c>
      <c r="B345" t="s">
        <v>3196</v>
      </c>
      <c r="C345">
        <v>2000</v>
      </c>
      <c r="D345">
        <v>3003800000</v>
      </c>
      <c r="E345">
        <v>1701400000</v>
      </c>
      <c r="F345" t="s">
        <v>3440</v>
      </c>
      <c r="G345">
        <v>2021</v>
      </c>
      <c r="H345" t="s">
        <v>3197</v>
      </c>
      <c r="I345" t="s">
        <v>3157</v>
      </c>
      <c r="J345" t="s">
        <v>3441</v>
      </c>
      <c r="K345" t="s">
        <v>564</v>
      </c>
    </row>
    <row r="346" spans="1:11" x14ac:dyDescent="0.25">
      <c r="A346" t="s">
        <v>3139</v>
      </c>
      <c r="B346" t="s">
        <v>3196</v>
      </c>
      <c r="C346">
        <v>5000</v>
      </c>
      <c r="D346">
        <v>3660000000</v>
      </c>
      <c r="E346">
        <v>2017300000</v>
      </c>
      <c r="F346" t="s">
        <v>3440</v>
      </c>
      <c r="G346">
        <v>2021</v>
      </c>
      <c r="H346" t="s">
        <v>3197</v>
      </c>
      <c r="I346" t="s">
        <v>3157</v>
      </c>
      <c r="J346" t="s">
        <v>3441</v>
      </c>
      <c r="K346" t="s">
        <v>564</v>
      </c>
    </row>
    <row r="347" spans="1:11" x14ac:dyDescent="0.25">
      <c r="A347" t="s">
        <v>3139</v>
      </c>
      <c r="B347" t="s">
        <v>3194</v>
      </c>
      <c r="C347">
        <v>2</v>
      </c>
      <c r="D347">
        <v>6000000</v>
      </c>
      <c r="E347">
        <v>5500000</v>
      </c>
      <c r="F347" t="s">
        <v>3448</v>
      </c>
      <c r="G347">
        <v>2021</v>
      </c>
      <c r="H347" t="s">
        <v>3195</v>
      </c>
      <c r="I347" t="s">
        <v>3157</v>
      </c>
      <c r="J347" t="s">
        <v>3449</v>
      </c>
      <c r="K347" t="s">
        <v>564</v>
      </c>
    </row>
    <row r="348" spans="1:11" x14ac:dyDescent="0.25">
      <c r="A348" t="s">
        <v>3139</v>
      </c>
      <c r="B348" t="s">
        <v>3194</v>
      </c>
      <c r="C348">
        <v>5</v>
      </c>
      <c r="D348">
        <v>12200000</v>
      </c>
      <c r="E348">
        <v>11300000</v>
      </c>
      <c r="F348" t="s">
        <v>3448</v>
      </c>
      <c r="G348">
        <v>2021</v>
      </c>
      <c r="H348" t="s">
        <v>3195</v>
      </c>
      <c r="I348" t="s">
        <v>3157</v>
      </c>
      <c r="J348" t="s">
        <v>3449</v>
      </c>
      <c r="K348" t="s">
        <v>564</v>
      </c>
    </row>
    <row r="349" spans="1:11" x14ac:dyDescent="0.25">
      <c r="A349" t="s">
        <v>3139</v>
      </c>
      <c r="B349" t="s">
        <v>3194</v>
      </c>
      <c r="C349">
        <v>10</v>
      </c>
      <c r="D349">
        <v>17600000</v>
      </c>
      <c r="E349">
        <v>16300000</v>
      </c>
      <c r="F349" t="s">
        <v>3448</v>
      </c>
      <c r="G349">
        <v>2021</v>
      </c>
      <c r="H349" t="s">
        <v>3195</v>
      </c>
      <c r="I349" t="s">
        <v>3157</v>
      </c>
      <c r="J349" t="s">
        <v>3449</v>
      </c>
      <c r="K349" t="s">
        <v>564</v>
      </c>
    </row>
    <row r="350" spans="1:11" x14ac:dyDescent="0.25">
      <c r="A350" t="s">
        <v>3139</v>
      </c>
      <c r="B350" t="s">
        <v>3194</v>
      </c>
      <c r="C350">
        <v>25</v>
      </c>
      <c r="D350">
        <v>26400000</v>
      </c>
      <c r="E350">
        <v>24200000</v>
      </c>
      <c r="F350" t="s">
        <v>3448</v>
      </c>
      <c r="G350">
        <v>2021</v>
      </c>
      <c r="H350" t="s">
        <v>3195</v>
      </c>
      <c r="I350" t="s">
        <v>3157</v>
      </c>
      <c r="J350" t="s">
        <v>3449</v>
      </c>
      <c r="K350" t="s">
        <v>564</v>
      </c>
    </row>
    <row r="351" spans="1:11" x14ac:dyDescent="0.25">
      <c r="A351" t="s">
        <v>3139</v>
      </c>
      <c r="B351" t="s">
        <v>3194</v>
      </c>
      <c r="C351">
        <v>50</v>
      </c>
      <c r="D351">
        <v>34400000</v>
      </c>
      <c r="E351">
        <v>31800000</v>
      </c>
      <c r="F351" t="s">
        <v>3448</v>
      </c>
      <c r="G351">
        <v>2021</v>
      </c>
      <c r="H351" t="s">
        <v>3195</v>
      </c>
      <c r="I351" t="s">
        <v>3157</v>
      </c>
      <c r="J351" t="s">
        <v>3449</v>
      </c>
      <c r="K351" t="s">
        <v>564</v>
      </c>
    </row>
    <row r="352" spans="1:11" x14ac:dyDescent="0.25">
      <c r="A352" t="s">
        <v>3139</v>
      </c>
      <c r="B352" t="s">
        <v>3194</v>
      </c>
      <c r="C352">
        <v>100</v>
      </c>
      <c r="D352">
        <v>47500000</v>
      </c>
      <c r="E352">
        <v>42900000</v>
      </c>
      <c r="F352" t="s">
        <v>3448</v>
      </c>
      <c r="G352">
        <v>2021</v>
      </c>
      <c r="H352" t="s">
        <v>3195</v>
      </c>
      <c r="I352" t="s">
        <v>3157</v>
      </c>
      <c r="J352" t="s">
        <v>3449</v>
      </c>
      <c r="K352" t="s">
        <v>564</v>
      </c>
    </row>
    <row r="353" spans="1:11" x14ac:dyDescent="0.25">
      <c r="A353" t="s">
        <v>3139</v>
      </c>
      <c r="B353" t="s">
        <v>3194</v>
      </c>
      <c r="C353">
        <v>200</v>
      </c>
      <c r="D353">
        <v>65000000</v>
      </c>
      <c r="E353">
        <v>58000000</v>
      </c>
      <c r="F353" t="s">
        <v>3448</v>
      </c>
      <c r="G353">
        <v>2021</v>
      </c>
      <c r="H353" t="s">
        <v>3195</v>
      </c>
      <c r="I353" t="s">
        <v>3157</v>
      </c>
      <c r="J353" t="s">
        <v>3449</v>
      </c>
      <c r="K353" t="s">
        <v>564</v>
      </c>
    </row>
    <row r="354" spans="1:11" x14ac:dyDescent="0.25">
      <c r="A354" t="s">
        <v>3139</v>
      </c>
      <c r="B354" t="s">
        <v>3194</v>
      </c>
      <c r="C354">
        <v>250</v>
      </c>
      <c r="D354">
        <v>71500000</v>
      </c>
      <c r="E354">
        <v>64600000</v>
      </c>
      <c r="F354" t="s">
        <v>3448</v>
      </c>
      <c r="G354">
        <v>2021</v>
      </c>
      <c r="H354" t="s">
        <v>3195</v>
      </c>
      <c r="I354" t="s">
        <v>3157</v>
      </c>
      <c r="J354" t="s">
        <v>3449</v>
      </c>
      <c r="K354" t="s">
        <v>564</v>
      </c>
    </row>
    <row r="355" spans="1:11" x14ac:dyDescent="0.25">
      <c r="A355" t="s">
        <v>3139</v>
      </c>
      <c r="B355" t="s">
        <v>3194</v>
      </c>
      <c r="C355">
        <v>500</v>
      </c>
      <c r="D355">
        <v>89600000</v>
      </c>
      <c r="E355">
        <v>77800000</v>
      </c>
      <c r="F355" t="s">
        <v>3448</v>
      </c>
      <c r="G355">
        <v>2021</v>
      </c>
      <c r="H355" t="s">
        <v>3195</v>
      </c>
      <c r="I355" t="s">
        <v>3157</v>
      </c>
      <c r="J355" t="s">
        <v>3449</v>
      </c>
      <c r="K355" t="s">
        <v>564</v>
      </c>
    </row>
    <row r="356" spans="1:11" x14ac:dyDescent="0.25">
      <c r="A356" t="s">
        <v>3139</v>
      </c>
      <c r="B356" t="s">
        <v>3194</v>
      </c>
      <c r="C356">
        <v>1000</v>
      </c>
      <c r="D356">
        <v>112900000</v>
      </c>
      <c r="E356">
        <v>99600000</v>
      </c>
      <c r="F356" t="s">
        <v>3448</v>
      </c>
      <c r="G356">
        <v>2021</v>
      </c>
      <c r="H356" t="s">
        <v>3195</v>
      </c>
      <c r="I356" t="s">
        <v>3157</v>
      </c>
      <c r="J356" t="s">
        <v>3449</v>
      </c>
      <c r="K356" t="s">
        <v>564</v>
      </c>
    </row>
    <row r="357" spans="1:11" x14ac:dyDescent="0.25">
      <c r="A357" t="s">
        <v>3139</v>
      </c>
      <c r="B357" t="s">
        <v>3194</v>
      </c>
      <c r="C357">
        <v>2000</v>
      </c>
      <c r="D357">
        <v>126300000</v>
      </c>
      <c r="E357">
        <v>111200000</v>
      </c>
      <c r="F357" t="s">
        <v>3448</v>
      </c>
      <c r="G357">
        <v>2021</v>
      </c>
      <c r="H357" t="s">
        <v>3195</v>
      </c>
      <c r="I357" t="s">
        <v>3157</v>
      </c>
      <c r="J357" t="s">
        <v>3449</v>
      </c>
      <c r="K357" t="s">
        <v>564</v>
      </c>
    </row>
    <row r="358" spans="1:11" x14ac:dyDescent="0.25">
      <c r="A358" t="s">
        <v>3139</v>
      </c>
      <c r="B358" t="s">
        <v>3194</v>
      </c>
      <c r="C358">
        <v>5000</v>
      </c>
      <c r="D358">
        <v>188400000</v>
      </c>
      <c r="E358">
        <v>171900000</v>
      </c>
      <c r="F358" t="s">
        <v>3448</v>
      </c>
      <c r="G358">
        <v>2021</v>
      </c>
      <c r="H358" t="s">
        <v>3195</v>
      </c>
      <c r="I358" t="s">
        <v>3157</v>
      </c>
      <c r="J358" t="s">
        <v>3449</v>
      </c>
      <c r="K358" t="s">
        <v>564</v>
      </c>
    </row>
    <row r="359" spans="1:11" x14ac:dyDescent="0.25">
      <c r="A359" t="s">
        <v>3139</v>
      </c>
      <c r="B359" t="s">
        <v>3182</v>
      </c>
      <c r="C359">
        <v>2</v>
      </c>
      <c r="D359">
        <v>100000</v>
      </c>
      <c r="E359">
        <v>100000</v>
      </c>
      <c r="F359" t="s">
        <v>3442</v>
      </c>
      <c r="G359">
        <v>2021</v>
      </c>
      <c r="H359" t="s">
        <v>3183</v>
      </c>
      <c r="I359" t="s">
        <v>3157</v>
      </c>
      <c r="J359" t="s">
        <v>3443</v>
      </c>
      <c r="K359" t="s">
        <v>481</v>
      </c>
    </row>
    <row r="360" spans="1:11" x14ac:dyDescent="0.25">
      <c r="A360" t="s">
        <v>3139</v>
      </c>
      <c r="B360" t="s">
        <v>3182</v>
      </c>
      <c r="C360">
        <v>5</v>
      </c>
      <c r="D360">
        <v>100000</v>
      </c>
      <c r="E360">
        <v>100000</v>
      </c>
      <c r="F360" t="s">
        <v>3442</v>
      </c>
      <c r="G360">
        <v>2021</v>
      </c>
      <c r="H360" t="s">
        <v>3183</v>
      </c>
      <c r="I360" t="s">
        <v>3157</v>
      </c>
      <c r="J360" t="s">
        <v>3443</v>
      </c>
      <c r="K360" t="s">
        <v>481</v>
      </c>
    </row>
    <row r="361" spans="1:11" x14ac:dyDescent="0.25">
      <c r="A361" t="s">
        <v>3139</v>
      </c>
      <c r="B361" t="s">
        <v>3182</v>
      </c>
      <c r="C361">
        <v>10</v>
      </c>
      <c r="D361">
        <v>300000</v>
      </c>
      <c r="E361">
        <v>300000</v>
      </c>
      <c r="F361" t="s">
        <v>3442</v>
      </c>
      <c r="G361">
        <v>2021</v>
      </c>
      <c r="H361" t="s">
        <v>3183</v>
      </c>
      <c r="I361" t="s">
        <v>3157</v>
      </c>
      <c r="J361" t="s">
        <v>3443</v>
      </c>
      <c r="K361" t="s">
        <v>481</v>
      </c>
    </row>
    <row r="362" spans="1:11" x14ac:dyDescent="0.25">
      <c r="A362" t="s">
        <v>3139</v>
      </c>
      <c r="B362" t="s">
        <v>3182</v>
      </c>
      <c r="C362">
        <v>25</v>
      </c>
      <c r="D362">
        <v>1100000</v>
      </c>
      <c r="E362">
        <v>1000000</v>
      </c>
      <c r="F362" t="s">
        <v>3442</v>
      </c>
      <c r="G362">
        <v>2021</v>
      </c>
      <c r="H362" t="s">
        <v>3183</v>
      </c>
      <c r="I362" t="s">
        <v>3157</v>
      </c>
      <c r="J362" t="s">
        <v>3443</v>
      </c>
      <c r="K362" t="s">
        <v>481</v>
      </c>
    </row>
    <row r="363" spans="1:11" x14ac:dyDescent="0.25">
      <c r="A363" t="s">
        <v>3139</v>
      </c>
      <c r="B363" t="s">
        <v>3182</v>
      </c>
      <c r="C363">
        <v>50</v>
      </c>
      <c r="D363">
        <v>2500000</v>
      </c>
      <c r="E363">
        <v>2400000</v>
      </c>
      <c r="F363" t="s">
        <v>3442</v>
      </c>
      <c r="G363">
        <v>2021</v>
      </c>
      <c r="H363" t="s">
        <v>3183</v>
      </c>
      <c r="I363" t="s">
        <v>3157</v>
      </c>
      <c r="J363" t="s">
        <v>3443</v>
      </c>
      <c r="K363" t="s">
        <v>481</v>
      </c>
    </row>
    <row r="364" spans="1:11" x14ac:dyDescent="0.25">
      <c r="A364" t="s">
        <v>3139</v>
      </c>
      <c r="B364" t="s">
        <v>3182</v>
      </c>
      <c r="C364">
        <v>100</v>
      </c>
      <c r="D364">
        <v>4800000</v>
      </c>
      <c r="E364">
        <v>4700000</v>
      </c>
      <c r="F364" t="s">
        <v>3442</v>
      </c>
      <c r="G364">
        <v>2021</v>
      </c>
      <c r="H364" t="s">
        <v>3183</v>
      </c>
      <c r="I364" t="s">
        <v>3157</v>
      </c>
      <c r="J364" t="s">
        <v>3443</v>
      </c>
      <c r="K364" t="s">
        <v>481</v>
      </c>
    </row>
    <row r="365" spans="1:11" x14ac:dyDescent="0.25">
      <c r="A365" t="s">
        <v>3139</v>
      </c>
      <c r="B365" t="s">
        <v>3182</v>
      </c>
      <c r="C365">
        <v>200</v>
      </c>
      <c r="D365">
        <v>8600000</v>
      </c>
      <c r="E365">
        <v>8400000</v>
      </c>
      <c r="F365" t="s">
        <v>3442</v>
      </c>
      <c r="G365">
        <v>2021</v>
      </c>
      <c r="H365" t="s">
        <v>3183</v>
      </c>
      <c r="I365" t="s">
        <v>3157</v>
      </c>
      <c r="J365" t="s">
        <v>3443</v>
      </c>
      <c r="K365" t="s">
        <v>481</v>
      </c>
    </row>
    <row r="366" spans="1:11" x14ac:dyDescent="0.25">
      <c r="A366" t="s">
        <v>3139</v>
      </c>
      <c r="B366" t="s">
        <v>3182</v>
      </c>
      <c r="C366">
        <v>250</v>
      </c>
      <c r="D366">
        <v>10200000</v>
      </c>
      <c r="E366">
        <v>10000000</v>
      </c>
      <c r="F366" t="s">
        <v>3442</v>
      </c>
      <c r="G366">
        <v>2021</v>
      </c>
      <c r="H366" t="s">
        <v>3183</v>
      </c>
      <c r="I366" t="s">
        <v>3157</v>
      </c>
      <c r="J366" t="s">
        <v>3443</v>
      </c>
      <c r="K366" t="s">
        <v>481</v>
      </c>
    </row>
    <row r="367" spans="1:11" x14ac:dyDescent="0.25">
      <c r="A367" t="s">
        <v>3139</v>
      </c>
      <c r="B367" t="s">
        <v>3182</v>
      </c>
      <c r="C367">
        <v>500</v>
      </c>
      <c r="D367">
        <v>16900000</v>
      </c>
      <c r="E367">
        <v>16700000</v>
      </c>
      <c r="F367" t="s">
        <v>3442</v>
      </c>
      <c r="G367">
        <v>2021</v>
      </c>
      <c r="H367" t="s">
        <v>3183</v>
      </c>
      <c r="I367" t="s">
        <v>3157</v>
      </c>
      <c r="J367" t="s">
        <v>3443</v>
      </c>
      <c r="K367" t="s">
        <v>481</v>
      </c>
    </row>
    <row r="368" spans="1:11" x14ac:dyDescent="0.25">
      <c r="A368" t="s">
        <v>3139</v>
      </c>
      <c r="B368" t="s">
        <v>3182</v>
      </c>
      <c r="C368">
        <v>1000</v>
      </c>
      <c r="D368">
        <v>24300000</v>
      </c>
      <c r="E368">
        <v>24100000</v>
      </c>
      <c r="F368" t="s">
        <v>3442</v>
      </c>
      <c r="G368">
        <v>2021</v>
      </c>
      <c r="H368" t="s">
        <v>3183</v>
      </c>
      <c r="I368" t="s">
        <v>3157</v>
      </c>
      <c r="J368" t="s">
        <v>3443</v>
      </c>
      <c r="K368" t="s">
        <v>481</v>
      </c>
    </row>
    <row r="369" spans="1:11" x14ac:dyDescent="0.25">
      <c r="A369" t="s">
        <v>3139</v>
      </c>
      <c r="B369" t="s">
        <v>3182</v>
      </c>
      <c r="C369">
        <v>5000</v>
      </c>
      <c r="D369">
        <v>36500000</v>
      </c>
      <c r="E369">
        <v>36200000</v>
      </c>
      <c r="F369" t="s">
        <v>3442</v>
      </c>
      <c r="G369">
        <v>2021</v>
      </c>
      <c r="H369" t="s">
        <v>3183</v>
      </c>
      <c r="I369" t="s">
        <v>3157</v>
      </c>
      <c r="J369" t="s">
        <v>3443</v>
      </c>
      <c r="K369" t="s">
        <v>481</v>
      </c>
    </row>
    <row r="370" spans="1:11" x14ac:dyDescent="0.25">
      <c r="A370" t="s">
        <v>3139</v>
      </c>
      <c r="B370" t="s">
        <v>3182</v>
      </c>
      <c r="C370">
        <v>10000</v>
      </c>
      <c r="D370">
        <v>40000000</v>
      </c>
      <c r="E370">
        <v>39700000</v>
      </c>
      <c r="F370" t="s">
        <v>3442</v>
      </c>
      <c r="G370">
        <v>2021</v>
      </c>
      <c r="H370" t="s">
        <v>3183</v>
      </c>
      <c r="I370" t="s">
        <v>3157</v>
      </c>
      <c r="J370" t="s">
        <v>3443</v>
      </c>
      <c r="K370" t="s">
        <v>481</v>
      </c>
    </row>
    <row r="371" spans="1:11" x14ac:dyDescent="0.25">
      <c r="A371" t="s">
        <v>3139</v>
      </c>
      <c r="B371" t="s">
        <v>3203</v>
      </c>
      <c r="C371">
        <v>2</v>
      </c>
      <c r="D371">
        <v>0</v>
      </c>
      <c r="E371">
        <v>0</v>
      </c>
      <c r="F371" t="s">
        <v>3432</v>
      </c>
      <c r="G371">
        <v>2021</v>
      </c>
      <c r="H371" t="s">
        <v>3204</v>
      </c>
      <c r="I371" t="s">
        <v>3157</v>
      </c>
      <c r="J371" t="s">
        <v>3433</v>
      </c>
      <c r="K371" t="s">
        <v>481</v>
      </c>
    </row>
    <row r="372" spans="1:11" x14ac:dyDescent="0.25">
      <c r="A372" t="s">
        <v>3139</v>
      </c>
      <c r="B372" t="s">
        <v>3203</v>
      </c>
      <c r="C372">
        <v>5</v>
      </c>
      <c r="D372">
        <v>0</v>
      </c>
      <c r="E372">
        <v>0</v>
      </c>
      <c r="F372" t="s">
        <v>3432</v>
      </c>
      <c r="G372">
        <v>2021</v>
      </c>
      <c r="H372" t="s">
        <v>3204</v>
      </c>
      <c r="I372" t="s">
        <v>3157</v>
      </c>
      <c r="J372" t="s">
        <v>3433</v>
      </c>
      <c r="K372" t="s">
        <v>481</v>
      </c>
    </row>
    <row r="373" spans="1:11" x14ac:dyDescent="0.25">
      <c r="A373" t="s">
        <v>3139</v>
      </c>
      <c r="B373" t="s">
        <v>3203</v>
      </c>
      <c r="C373">
        <v>10</v>
      </c>
      <c r="D373">
        <v>100000</v>
      </c>
      <c r="E373">
        <v>100000</v>
      </c>
      <c r="F373" t="s">
        <v>3432</v>
      </c>
      <c r="G373">
        <v>2021</v>
      </c>
      <c r="H373" t="s">
        <v>3204</v>
      </c>
      <c r="I373" t="s">
        <v>3157</v>
      </c>
      <c r="J373" t="s">
        <v>3433</v>
      </c>
      <c r="K373" t="s">
        <v>481</v>
      </c>
    </row>
    <row r="374" spans="1:11" x14ac:dyDescent="0.25">
      <c r="A374" t="s">
        <v>3139</v>
      </c>
      <c r="B374" t="s">
        <v>3203</v>
      </c>
      <c r="C374">
        <v>25</v>
      </c>
      <c r="D374">
        <v>100000</v>
      </c>
      <c r="E374">
        <v>100000</v>
      </c>
      <c r="F374" t="s">
        <v>3432</v>
      </c>
      <c r="G374">
        <v>2021</v>
      </c>
      <c r="H374" t="s">
        <v>3204</v>
      </c>
      <c r="I374" t="s">
        <v>3157</v>
      </c>
      <c r="J374" t="s">
        <v>3433</v>
      </c>
      <c r="K374" t="s">
        <v>481</v>
      </c>
    </row>
    <row r="375" spans="1:11" x14ac:dyDescent="0.25">
      <c r="A375" t="s">
        <v>3139</v>
      </c>
      <c r="B375" t="s">
        <v>3203</v>
      </c>
      <c r="C375">
        <v>50</v>
      </c>
      <c r="D375">
        <v>300000</v>
      </c>
      <c r="E375">
        <v>300000</v>
      </c>
      <c r="F375" t="s">
        <v>3432</v>
      </c>
      <c r="G375">
        <v>2021</v>
      </c>
      <c r="H375" t="s">
        <v>3204</v>
      </c>
      <c r="I375" t="s">
        <v>3157</v>
      </c>
      <c r="J375" t="s">
        <v>3433</v>
      </c>
      <c r="K375" t="s">
        <v>481</v>
      </c>
    </row>
    <row r="376" spans="1:11" x14ac:dyDescent="0.25">
      <c r="A376" t="s">
        <v>3139</v>
      </c>
      <c r="B376" t="s">
        <v>3203</v>
      </c>
      <c r="C376">
        <v>100</v>
      </c>
      <c r="D376">
        <v>500000</v>
      </c>
      <c r="E376">
        <v>500000</v>
      </c>
      <c r="F376" t="s">
        <v>3432</v>
      </c>
      <c r="G376">
        <v>2021</v>
      </c>
      <c r="H376" t="s">
        <v>3204</v>
      </c>
      <c r="I376" t="s">
        <v>3157</v>
      </c>
      <c r="J376" t="s">
        <v>3433</v>
      </c>
      <c r="K376" t="s">
        <v>481</v>
      </c>
    </row>
    <row r="377" spans="1:11" x14ac:dyDescent="0.25">
      <c r="A377" t="s">
        <v>3139</v>
      </c>
      <c r="B377" t="s">
        <v>3203</v>
      </c>
      <c r="C377">
        <v>200</v>
      </c>
      <c r="D377">
        <v>800000</v>
      </c>
      <c r="E377">
        <v>800000</v>
      </c>
      <c r="F377" t="s">
        <v>3432</v>
      </c>
      <c r="G377">
        <v>2021</v>
      </c>
      <c r="H377" t="s">
        <v>3204</v>
      </c>
      <c r="I377" t="s">
        <v>3157</v>
      </c>
      <c r="J377" t="s">
        <v>3433</v>
      </c>
      <c r="K377" t="s">
        <v>481</v>
      </c>
    </row>
    <row r="378" spans="1:11" x14ac:dyDescent="0.25">
      <c r="A378" t="s">
        <v>3139</v>
      </c>
      <c r="B378" t="s">
        <v>3203</v>
      </c>
      <c r="C378">
        <v>250</v>
      </c>
      <c r="D378">
        <v>900000</v>
      </c>
      <c r="E378">
        <v>800000</v>
      </c>
      <c r="F378" t="s">
        <v>3432</v>
      </c>
      <c r="G378">
        <v>2021</v>
      </c>
      <c r="H378" t="s">
        <v>3204</v>
      </c>
      <c r="I378" t="s">
        <v>3157</v>
      </c>
      <c r="J378" t="s">
        <v>3433</v>
      </c>
      <c r="K378" t="s">
        <v>481</v>
      </c>
    </row>
    <row r="379" spans="1:11" x14ac:dyDescent="0.25">
      <c r="A379" t="s">
        <v>3139</v>
      </c>
      <c r="B379" t="s">
        <v>3203</v>
      </c>
      <c r="C379">
        <v>500</v>
      </c>
      <c r="D379">
        <v>1100000</v>
      </c>
      <c r="E379">
        <v>1100000</v>
      </c>
      <c r="F379" t="s">
        <v>3432</v>
      </c>
      <c r="G379">
        <v>2021</v>
      </c>
      <c r="H379" t="s">
        <v>3204</v>
      </c>
      <c r="I379" t="s">
        <v>3157</v>
      </c>
      <c r="J379" t="s">
        <v>3433</v>
      </c>
      <c r="K379" t="s">
        <v>481</v>
      </c>
    </row>
    <row r="380" spans="1:11" x14ac:dyDescent="0.25">
      <c r="A380" t="s">
        <v>3139</v>
      </c>
      <c r="B380" t="s">
        <v>3203</v>
      </c>
      <c r="C380">
        <v>1000</v>
      </c>
      <c r="D380">
        <v>1400000</v>
      </c>
      <c r="E380">
        <v>1400000</v>
      </c>
      <c r="F380" t="s">
        <v>3432</v>
      </c>
      <c r="G380">
        <v>2021</v>
      </c>
      <c r="H380" t="s">
        <v>3204</v>
      </c>
      <c r="I380" t="s">
        <v>3157</v>
      </c>
      <c r="J380" t="s">
        <v>3433</v>
      </c>
      <c r="K380" t="s">
        <v>481</v>
      </c>
    </row>
    <row r="381" spans="1:11" x14ac:dyDescent="0.25">
      <c r="A381" t="s">
        <v>3139</v>
      </c>
      <c r="B381" t="s">
        <v>3203</v>
      </c>
      <c r="C381">
        <v>5000</v>
      </c>
      <c r="D381">
        <v>2100000</v>
      </c>
      <c r="E381">
        <v>2100000</v>
      </c>
      <c r="F381" t="s">
        <v>3432</v>
      </c>
      <c r="G381">
        <v>2021</v>
      </c>
      <c r="H381" t="s">
        <v>3204</v>
      </c>
      <c r="I381" t="s">
        <v>3157</v>
      </c>
      <c r="J381" t="s">
        <v>3433</v>
      </c>
      <c r="K381" t="s">
        <v>481</v>
      </c>
    </row>
    <row r="382" spans="1:11" x14ac:dyDescent="0.25">
      <c r="A382" t="s">
        <v>3139</v>
      </c>
      <c r="B382" t="s">
        <v>3203</v>
      </c>
      <c r="C382">
        <v>10000</v>
      </c>
      <c r="D382">
        <v>2300000</v>
      </c>
      <c r="E382">
        <v>2300000</v>
      </c>
      <c r="F382" t="s">
        <v>3432</v>
      </c>
      <c r="G382">
        <v>2021</v>
      </c>
      <c r="H382" t="s">
        <v>3204</v>
      </c>
      <c r="I382" t="s">
        <v>3157</v>
      </c>
      <c r="J382" t="s">
        <v>3433</v>
      </c>
      <c r="K382" t="s">
        <v>481</v>
      </c>
    </row>
    <row r="383" spans="1:11" x14ac:dyDescent="0.25">
      <c r="A383" t="s">
        <v>3139</v>
      </c>
      <c r="B383" t="s">
        <v>3185</v>
      </c>
      <c r="C383">
        <v>2</v>
      </c>
      <c r="D383">
        <v>400000</v>
      </c>
      <c r="E383">
        <v>200000</v>
      </c>
      <c r="F383" t="s">
        <v>3444</v>
      </c>
      <c r="G383">
        <v>2021</v>
      </c>
      <c r="H383" t="s">
        <v>3186</v>
      </c>
      <c r="I383" t="s">
        <v>3157</v>
      </c>
      <c r="J383" t="s">
        <v>3445</v>
      </c>
      <c r="K383" t="s">
        <v>13</v>
      </c>
    </row>
    <row r="384" spans="1:11" x14ac:dyDescent="0.25">
      <c r="A384" t="s">
        <v>3139</v>
      </c>
      <c r="B384" t="s">
        <v>3185</v>
      </c>
      <c r="C384">
        <v>5</v>
      </c>
      <c r="D384">
        <v>1000000</v>
      </c>
      <c r="E384">
        <v>700000</v>
      </c>
      <c r="F384" t="s">
        <v>3444</v>
      </c>
      <c r="G384">
        <v>2021</v>
      </c>
      <c r="H384" t="s">
        <v>3186</v>
      </c>
      <c r="I384" t="s">
        <v>3157</v>
      </c>
      <c r="J384" t="s">
        <v>3445</v>
      </c>
      <c r="K384" t="s">
        <v>13</v>
      </c>
    </row>
    <row r="385" spans="1:11" x14ac:dyDescent="0.25">
      <c r="A385" t="s">
        <v>3139</v>
      </c>
      <c r="B385" t="s">
        <v>3185</v>
      </c>
      <c r="C385">
        <v>10</v>
      </c>
      <c r="D385">
        <v>1700000</v>
      </c>
      <c r="E385">
        <v>1200000</v>
      </c>
      <c r="F385" t="s">
        <v>3444</v>
      </c>
      <c r="G385">
        <v>2021</v>
      </c>
      <c r="H385" t="s">
        <v>3186</v>
      </c>
      <c r="I385" t="s">
        <v>3157</v>
      </c>
      <c r="J385" t="s">
        <v>3445</v>
      </c>
      <c r="K385" t="s">
        <v>13</v>
      </c>
    </row>
    <row r="386" spans="1:11" x14ac:dyDescent="0.25">
      <c r="A386" t="s">
        <v>3139</v>
      </c>
      <c r="B386" t="s">
        <v>3185</v>
      </c>
      <c r="C386">
        <v>25</v>
      </c>
      <c r="D386">
        <v>3100000</v>
      </c>
      <c r="E386">
        <v>2500000</v>
      </c>
      <c r="F386" t="s">
        <v>3444</v>
      </c>
      <c r="G386">
        <v>2021</v>
      </c>
      <c r="H386" t="s">
        <v>3186</v>
      </c>
      <c r="I386" t="s">
        <v>3157</v>
      </c>
      <c r="J386" t="s">
        <v>3445</v>
      </c>
      <c r="K386" t="s">
        <v>13</v>
      </c>
    </row>
    <row r="387" spans="1:11" x14ac:dyDescent="0.25">
      <c r="A387" t="s">
        <v>3139</v>
      </c>
      <c r="B387" t="s">
        <v>3185</v>
      </c>
      <c r="C387">
        <v>50</v>
      </c>
      <c r="D387">
        <v>5000000</v>
      </c>
      <c r="E387">
        <v>4400000</v>
      </c>
      <c r="F387" t="s">
        <v>3444</v>
      </c>
      <c r="G387">
        <v>2021</v>
      </c>
      <c r="H387" t="s">
        <v>3186</v>
      </c>
      <c r="I387" t="s">
        <v>3157</v>
      </c>
      <c r="J387" t="s">
        <v>3445</v>
      </c>
      <c r="K387" t="s">
        <v>13</v>
      </c>
    </row>
    <row r="388" spans="1:11" x14ac:dyDescent="0.25">
      <c r="A388" t="s">
        <v>3139</v>
      </c>
      <c r="B388" t="s">
        <v>3185</v>
      </c>
      <c r="C388">
        <v>100</v>
      </c>
      <c r="D388">
        <v>8000000</v>
      </c>
      <c r="E388">
        <v>7300000</v>
      </c>
      <c r="F388" t="s">
        <v>3444</v>
      </c>
      <c r="G388">
        <v>2021</v>
      </c>
      <c r="H388" t="s">
        <v>3186</v>
      </c>
      <c r="I388" t="s">
        <v>3157</v>
      </c>
      <c r="J388" t="s">
        <v>3445</v>
      </c>
      <c r="K388" t="s">
        <v>13</v>
      </c>
    </row>
    <row r="389" spans="1:11" x14ac:dyDescent="0.25">
      <c r="A389" t="s">
        <v>3139</v>
      </c>
      <c r="B389" t="s">
        <v>3185</v>
      </c>
      <c r="C389">
        <v>200</v>
      </c>
      <c r="D389">
        <v>12200000</v>
      </c>
      <c r="E389">
        <v>11500000</v>
      </c>
      <c r="F389" t="s">
        <v>3444</v>
      </c>
      <c r="G389">
        <v>2021</v>
      </c>
      <c r="H389" t="s">
        <v>3186</v>
      </c>
      <c r="I389" t="s">
        <v>3157</v>
      </c>
      <c r="J389" t="s">
        <v>3445</v>
      </c>
      <c r="K389" t="s">
        <v>13</v>
      </c>
    </row>
    <row r="390" spans="1:11" x14ac:dyDescent="0.25">
      <c r="A390" t="s">
        <v>3139</v>
      </c>
      <c r="B390" t="s">
        <v>3185</v>
      </c>
      <c r="C390">
        <v>250</v>
      </c>
      <c r="D390">
        <v>13700000</v>
      </c>
      <c r="E390">
        <v>13000000</v>
      </c>
      <c r="F390" t="s">
        <v>3444</v>
      </c>
      <c r="G390">
        <v>2021</v>
      </c>
      <c r="H390" t="s">
        <v>3186</v>
      </c>
      <c r="I390" t="s">
        <v>3157</v>
      </c>
      <c r="J390" t="s">
        <v>3445</v>
      </c>
      <c r="K390" t="s">
        <v>13</v>
      </c>
    </row>
    <row r="391" spans="1:11" x14ac:dyDescent="0.25">
      <c r="A391" t="s">
        <v>3139</v>
      </c>
      <c r="B391" t="s">
        <v>3185</v>
      </c>
      <c r="C391">
        <v>500</v>
      </c>
      <c r="D391">
        <v>18700000</v>
      </c>
      <c r="E391">
        <v>18000000</v>
      </c>
      <c r="F391" t="s">
        <v>3444</v>
      </c>
      <c r="G391">
        <v>2021</v>
      </c>
      <c r="H391" t="s">
        <v>3186</v>
      </c>
      <c r="I391" t="s">
        <v>3157</v>
      </c>
      <c r="J391" t="s">
        <v>3445</v>
      </c>
      <c r="K391" t="s">
        <v>13</v>
      </c>
    </row>
    <row r="392" spans="1:11" x14ac:dyDescent="0.25">
      <c r="A392" t="s">
        <v>3139</v>
      </c>
      <c r="B392" t="s">
        <v>3185</v>
      </c>
      <c r="C392">
        <v>1000</v>
      </c>
      <c r="D392">
        <v>23500000</v>
      </c>
      <c r="E392">
        <v>22700000</v>
      </c>
      <c r="F392" t="s">
        <v>3444</v>
      </c>
      <c r="G392">
        <v>2021</v>
      </c>
      <c r="H392" t="s">
        <v>3186</v>
      </c>
      <c r="I392" t="s">
        <v>3157</v>
      </c>
      <c r="J392" t="s">
        <v>3445</v>
      </c>
      <c r="K392" t="s">
        <v>13</v>
      </c>
    </row>
    <row r="393" spans="1:11" x14ac:dyDescent="0.25">
      <c r="A393" t="s">
        <v>3139</v>
      </c>
      <c r="B393" t="s">
        <v>3185</v>
      </c>
      <c r="C393">
        <v>5000</v>
      </c>
      <c r="D393">
        <v>33300000</v>
      </c>
      <c r="E393">
        <v>32300000</v>
      </c>
      <c r="F393" t="s">
        <v>3444</v>
      </c>
      <c r="G393">
        <v>2021</v>
      </c>
      <c r="H393" t="s">
        <v>3186</v>
      </c>
      <c r="I393" t="s">
        <v>3157</v>
      </c>
      <c r="J393" t="s">
        <v>3445</v>
      </c>
      <c r="K393" t="s">
        <v>13</v>
      </c>
    </row>
    <row r="394" spans="1:11" x14ac:dyDescent="0.25">
      <c r="A394" t="s">
        <v>3139</v>
      </c>
      <c r="B394" t="s">
        <v>3185</v>
      </c>
      <c r="C394">
        <v>10000</v>
      </c>
      <c r="D394">
        <v>37100000</v>
      </c>
      <c r="E394">
        <v>36000000</v>
      </c>
      <c r="F394" t="s">
        <v>3444</v>
      </c>
      <c r="G394">
        <v>2021</v>
      </c>
      <c r="H394" t="s">
        <v>3186</v>
      </c>
      <c r="I394" t="s">
        <v>3157</v>
      </c>
      <c r="J394" t="s">
        <v>3445</v>
      </c>
      <c r="K394" t="s">
        <v>13</v>
      </c>
    </row>
    <row r="395" spans="1:11" x14ac:dyDescent="0.25">
      <c r="A395" t="s">
        <v>3139</v>
      </c>
      <c r="B395" t="s">
        <v>3198</v>
      </c>
      <c r="C395">
        <v>2</v>
      </c>
      <c r="D395">
        <v>600000</v>
      </c>
      <c r="E395">
        <v>400000</v>
      </c>
      <c r="F395" t="s">
        <v>3438</v>
      </c>
      <c r="G395">
        <v>2021</v>
      </c>
      <c r="H395" t="s">
        <v>3199</v>
      </c>
      <c r="I395" t="s">
        <v>3157</v>
      </c>
      <c r="J395" t="s">
        <v>3439</v>
      </c>
      <c r="K395" t="s">
        <v>564</v>
      </c>
    </row>
    <row r="396" spans="1:11" x14ac:dyDescent="0.25">
      <c r="A396" t="s">
        <v>3139</v>
      </c>
      <c r="B396" t="s">
        <v>3198</v>
      </c>
      <c r="C396">
        <v>5</v>
      </c>
      <c r="D396">
        <v>3100000</v>
      </c>
      <c r="E396">
        <v>2400000</v>
      </c>
      <c r="F396" t="s">
        <v>3438</v>
      </c>
      <c r="G396">
        <v>2021</v>
      </c>
      <c r="H396" t="s">
        <v>3199</v>
      </c>
      <c r="I396" t="s">
        <v>3157</v>
      </c>
      <c r="J396" t="s">
        <v>3439</v>
      </c>
      <c r="K396" t="s">
        <v>564</v>
      </c>
    </row>
    <row r="397" spans="1:11" x14ac:dyDescent="0.25">
      <c r="A397" t="s">
        <v>3139</v>
      </c>
      <c r="B397" t="s">
        <v>3198</v>
      </c>
      <c r="C397">
        <v>10</v>
      </c>
      <c r="D397">
        <v>7200000</v>
      </c>
      <c r="E397">
        <v>5700000</v>
      </c>
      <c r="F397" t="s">
        <v>3438</v>
      </c>
      <c r="G397">
        <v>2021</v>
      </c>
      <c r="H397" t="s">
        <v>3199</v>
      </c>
      <c r="I397" t="s">
        <v>3157</v>
      </c>
      <c r="J397" t="s">
        <v>3439</v>
      </c>
      <c r="K397" t="s">
        <v>564</v>
      </c>
    </row>
    <row r="398" spans="1:11" x14ac:dyDescent="0.25">
      <c r="A398" t="s">
        <v>3139</v>
      </c>
      <c r="B398" t="s">
        <v>3198</v>
      </c>
      <c r="C398">
        <v>25</v>
      </c>
      <c r="D398">
        <v>16300000</v>
      </c>
      <c r="E398">
        <v>13700000</v>
      </c>
      <c r="F398" t="s">
        <v>3438</v>
      </c>
      <c r="G398">
        <v>2021</v>
      </c>
      <c r="H398" t="s">
        <v>3199</v>
      </c>
      <c r="I398" t="s">
        <v>3157</v>
      </c>
      <c r="J398" t="s">
        <v>3439</v>
      </c>
      <c r="K398" t="s">
        <v>564</v>
      </c>
    </row>
    <row r="399" spans="1:11" x14ac:dyDescent="0.25">
      <c r="A399" t="s">
        <v>3139</v>
      </c>
      <c r="B399" t="s">
        <v>3198</v>
      </c>
      <c r="C399">
        <v>50</v>
      </c>
      <c r="D399">
        <v>28000000</v>
      </c>
      <c r="E399">
        <v>24200000</v>
      </c>
      <c r="F399" t="s">
        <v>3438</v>
      </c>
      <c r="G399">
        <v>2021</v>
      </c>
      <c r="H399" t="s">
        <v>3199</v>
      </c>
      <c r="I399" t="s">
        <v>3157</v>
      </c>
      <c r="J399" t="s">
        <v>3439</v>
      </c>
      <c r="K399" t="s">
        <v>564</v>
      </c>
    </row>
    <row r="400" spans="1:11" x14ac:dyDescent="0.25">
      <c r="A400" t="s">
        <v>3139</v>
      </c>
      <c r="B400" t="s">
        <v>3198</v>
      </c>
      <c r="C400">
        <v>100</v>
      </c>
      <c r="D400">
        <v>44200000</v>
      </c>
      <c r="E400">
        <v>39500000</v>
      </c>
      <c r="F400" t="s">
        <v>3438</v>
      </c>
      <c r="G400">
        <v>2021</v>
      </c>
      <c r="H400" t="s">
        <v>3199</v>
      </c>
      <c r="I400" t="s">
        <v>3157</v>
      </c>
      <c r="J400" t="s">
        <v>3439</v>
      </c>
      <c r="K400" t="s">
        <v>564</v>
      </c>
    </row>
    <row r="401" spans="1:11" x14ac:dyDescent="0.25">
      <c r="A401" t="s">
        <v>3139</v>
      </c>
      <c r="B401" t="s">
        <v>3198</v>
      </c>
      <c r="C401">
        <v>200</v>
      </c>
      <c r="D401">
        <v>65700000</v>
      </c>
      <c r="E401">
        <v>61200000</v>
      </c>
      <c r="F401" t="s">
        <v>3438</v>
      </c>
      <c r="G401">
        <v>2021</v>
      </c>
      <c r="H401" t="s">
        <v>3199</v>
      </c>
      <c r="I401" t="s">
        <v>3157</v>
      </c>
      <c r="J401" t="s">
        <v>3439</v>
      </c>
      <c r="K401" t="s">
        <v>564</v>
      </c>
    </row>
    <row r="402" spans="1:11" x14ac:dyDescent="0.25">
      <c r="A402" t="s">
        <v>3139</v>
      </c>
      <c r="B402" t="s">
        <v>3198</v>
      </c>
      <c r="C402">
        <v>250</v>
      </c>
      <c r="D402">
        <v>74000000</v>
      </c>
      <c r="E402">
        <v>69400000</v>
      </c>
      <c r="F402" t="s">
        <v>3438</v>
      </c>
      <c r="G402">
        <v>2021</v>
      </c>
      <c r="H402" t="s">
        <v>3199</v>
      </c>
      <c r="I402" t="s">
        <v>3157</v>
      </c>
      <c r="J402" t="s">
        <v>3439</v>
      </c>
      <c r="K402" t="s">
        <v>564</v>
      </c>
    </row>
    <row r="403" spans="1:11" x14ac:dyDescent="0.25">
      <c r="A403" t="s">
        <v>3139</v>
      </c>
      <c r="B403" t="s">
        <v>3198</v>
      </c>
      <c r="C403">
        <v>500</v>
      </c>
      <c r="D403">
        <v>99400000</v>
      </c>
      <c r="E403">
        <v>94800000</v>
      </c>
      <c r="F403" t="s">
        <v>3438</v>
      </c>
      <c r="G403">
        <v>2021</v>
      </c>
      <c r="H403" t="s">
        <v>3199</v>
      </c>
      <c r="I403" t="s">
        <v>3157</v>
      </c>
      <c r="J403" t="s">
        <v>3439</v>
      </c>
      <c r="K403" t="s">
        <v>564</v>
      </c>
    </row>
    <row r="404" spans="1:11" x14ac:dyDescent="0.25">
      <c r="A404" t="s">
        <v>3139</v>
      </c>
      <c r="B404" t="s">
        <v>3198</v>
      </c>
      <c r="C404">
        <v>1000</v>
      </c>
      <c r="D404">
        <v>121800000</v>
      </c>
      <c r="E404">
        <v>118100000</v>
      </c>
      <c r="F404" t="s">
        <v>3438</v>
      </c>
      <c r="G404">
        <v>2021</v>
      </c>
      <c r="H404" t="s">
        <v>3199</v>
      </c>
      <c r="I404" t="s">
        <v>3157</v>
      </c>
      <c r="J404" t="s">
        <v>3439</v>
      </c>
      <c r="K404" t="s">
        <v>564</v>
      </c>
    </row>
    <row r="405" spans="1:11" x14ac:dyDescent="0.25">
      <c r="A405" t="s">
        <v>3139</v>
      </c>
      <c r="B405" t="s">
        <v>3198</v>
      </c>
      <c r="C405">
        <v>2000</v>
      </c>
      <c r="D405">
        <v>148900000</v>
      </c>
      <c r="E405">
        <v>143000000</v>
      </c>
      <c r="F405" t="s">
        <v>3438</v>
      </c>
      <c r="G405">
        <v>2021</v>
      </c>
      <c r="H405" t="s">
        <v>3199</v>
      </c>
      <c r="I405" t="s">
        <v>3157</v>
      </c>
      <c r="J405" t="s">
        <v>3439</v>
      </c>
      <c r="K405" t="s">
        <v>564</v>
      </c>
    </row>
    <row r="406" spans="1:11" x14ac:dyDescent="0.25">
      <c r="A406" t="s">
        <v>3139</v>
      </c>
      <c r="B406" t="s">
        <v>3198</v>
      </c>
      <c r="C406">
        <v>5000</v>
      </c>
      <c r="D406">
        <v>182500000</v>
      </c>
      <c r="E406">
        <v>174200000</v>
      </c>
      <c r="F406" t="s">
        <v>3438</v>
      </c>
      <c r="G406">
        <v>2021</v>
      </c>
      <c r="H406" t="s">
        <v>3199</v>
      </c>
      <c r="I406" t="s">
        <v>3157</v>
      </c>
      <c r="J406" t="s">
        <v>3439</v>
      </c>
      <c r="K406" t="s">
        <v>564</v>
      </c>
    </row>
    <row r="407" spans="1:11" x14ac:dyDescent="0.25">
      <c r="A407" t="s">
        <v>3138</v>
      </c>
      <c r="B407" t="s">
        <v>3188</v>
      </c>
      <c r="C407">
        <v>2</v>
      </c>
      <c r="D407">
        <v>8400000</v>
      </c>
      <c r="E407">
        <v>7200000</v>
      </c>
      <c r="F407" t="s">
        <v>3424</v>
      </c>
      <c r="G407">
        <v>2021</v>
      </c>
      <c r="H407" t="s">
        <v>3189</v>
      </c>
      <c r="I407" t="s">
        <v>3156</v>
      </c>
      <c r="J407" t="s">
        <v>3425</v>
      </c>
      <c r="K407" t="s">
        <v>564</v>
      </c>
    </row>
    <row r="408" spans="1:11" x14ac:dyDescent="0.25">
      <c r="A408" t="s">
        <v>3138</v>
      </c>
      <c r="B408" t="s">
        <v>3188</v>
      </c>
      <c r="C408">
        <v>5</v>
      </c>
      <c r="D408">
        <v>63500000</v>
      </c>
      <c r="E408">
        <v>53000000</v>
      </c>
      <c r="F408" t="s">
        <v>3424</v>
      </c>
      <c r="G408">
        <v>2021</v>
      </c>
      <c r="H408" t="s">
        <v>3189</v>
      </c>
      <c r="I408" t="s">
        <v>3156</v>
      </c>
      <c r="J408" t="s">
        <v>3425</v>
      </c>
      <c r="K408" t="s">
        <v>564</v>
      </c>
    </row>
    <row r="409" spans="1:11" x14ac:dyDescent="0.25">
      <c r="A409" t="s">
        <v>3138</v>
      </c>
      <c r="B409" t="s">
        <v>3188</v>
      </c>
      <c r="C409">
        <v>10</v>
      </c>
      <c r="D409">
        <v>132800000</v>
      </c>
      <c r="E409">
        <v>112700000</v>
      </c>
      <c r="F409" t="s">
        <v>3424</v>
      </c>
      <c r="G409">
        <v>2021</v>
      </c>
      <c r="H409" t="s">
        <v>3189</v>
      </c>
      <c r="I409" t="s">
        <v>3156</v>
      </c>
      <c r="J409" t="s">
        <v>3425</v>
      </c>
      <c r="K409" t="s">
        <v>564</v>
      </c>
    </row>
    <row r="410" spans="1:11" x14ac:dyDescent="0.25">
      <c r="A410" t="s">
        <v>3138</v>
      </c>
      <c r="B410" t="s">
        <v>3188</v>
      </c>
      <c r="C410">
        <v>25</v>
      </c>
      <c r="D410">
        <v>247300000</v>
      </c>
      <c r="E410">
        <v>213600000</v>
      </c>
      <c r="F410" t="s">
        <v>3424</v>
      </c>
      <c r="G410">
        <v>2021</v>
      </c>
      <c r="H410" t="s">
        <v>3189</v>
      </c>
      <c r="I410" t="s">
        <v>3156</v>
      </c>
      <c r="J410" t="s">
        <v>3425</v>
      </c>
      <c r="K410" t="s">
        <v>564</v>
      </c>
    </row>
    <row r="411" spans="1:11" x14ac:dyDescent="0.25">
      <c r="A411" t="s">
        <v>3138</v>
      </c>
      <c r="B411" t="s">
        <v>3188</v>
      </c>
      <c r="C411">
        <v>50</v>
      </c>
      <c r="D411">
        <v>351900000</v>
      </c>
      <c r="E411">
        <v>307900000</v>
      </c>
      <c r="F411" t="s">
        <v>3424</v>
      </c>
      <c r="G411">
        <v>2021</v>
      </c>
      <c r="H411" t="s">
        <v>3189</v>
      </c>
      <c r="I411" t="s">
        <v>3156</v>
      </c>
      <c r="J411" t="s">
        <v>3425</v>
      </c>
      <c r="K411" t="s">
        <v>564</v>
      </c>
    </row>
    <row r="412" spans="1:11" x14ac:dyDescent="0.25">
      <c r="A412" t="s">
        <v>3138</v>
      </c>
      <c r="B412" t="s">
        <v>3188</v>
      </c>
      <c r="C412">
        <v>100</v>
      </c>
      <c r="D412">
        <v>475100000</v>
      </c>
      <c r="E412">
        <v>423200000</v>
      </c>
      <c r="F412" t="s">
        <v>3424</v>
      </c>
      <c r="G412">
        <v>2021</v>
      </c>
      <c r="H412" t="s">
        <v>3189</v>
      </c>
      <c r="I412" t="s">
        <v>3156</v>
      </c>
      <c r="J412" t="s">
        <v>3425</v>
      </c>
      <c r="K412" t="s">
        <v>564</v>
      </c>
    </row>
    <row r="413" spans="1:11" x14ac:dyDescent="0.25">
      <c r="A413" t="s">
        <v>3138</v>
      </c>
      <c r="B413" t="s">
        <v>3188</v>
      </c>
      <c r="C413">
        <v>200</v>
      </c>
      <c r="D413">
        <v>619900000</v>
      </c>
      <c r="E413">
        <v>561800000</v>
      </c>
      <c r="F413" t="s">
        <v>3424</v>
      </c>
      <c r="G413">
        <v>2021</v>
      </c>
      <c r="H413" t="s">
        <v>3189</v>
      </c>
      <c r="I413" t="s">
        <v>3156</v>
      </c>
      <c r="J413" t="s">
        <v>3425</v>
      </c>
      <c r="K413" t="s">
        <v>564</v>
      </c>
    </row>
    <row r="414" spans="1:11" x14ac:dyDescent="0.25">
      <c r="A414" t="s">
        <v>3138</v>
      </c>
      <c r="B414" t="s">
        <v>3188</v>
      </c>
      <c r="C414">
        <v>250</v>
      </c>
      <c r="D414">
        <v>671900000</v>
      </c>
      <c r="E414">
        <v>612200000</v>
      </c>
      <c r="F414" t="s">
        <v>3424</v>
      </c>
      <c r="G414">
        <v>2021</v>
      </c>
      <c r="H414" t="s">
        <v>3189</v>
      </c>
      <c r="I414" t="s">
        <v>3156</v>
      </c>
      <c r="J414" t="s">
        <v>3425</v>
      </c>
      <c r="K414" t="s">
        <v>564</v>
      </c>
    </row>
    <row r="415" spans="1:11" x14ac:dyDescent="0.25">
      <c r="A415" t="s">
        <v>3138</v>
      </c>
      <c r="B415" t="s">
        <v>3188</v>
      </c>
      <c r="C415">
        <v>500</v>
      </c>
      <c r="D415">
        <v>853100000</v>
      </c>
      <c r="E415">
        <v>790200000</v>
      </c>
      <c r="F415" t="s">
        <v>3424</v>
      </c>
      <c r="G415">
        <v>2021</v>
      </c>
      <c r="H415" t="s">
        <v>3189</v>
      </c>
      <c r="I415" t="s">
        <v>3156</v>
      </c>
      <c r="J415" t="s">
        <v>3425</v>
      </c>
      <c r="K415" t="s">
        <v>564</v>
      </c>
    </row>
    <row r="416" spans="1:11" x14ac:dyDescent="0.25">
      <c r="A416" t="s">
        <v>3138</v>
      </c>
      <c r="B416" t="s">
        <v>3188</v>
      </c>
      <c r="C416">
        <v>1000</v>
      </c>
      <c r="D416">
        <v>1066500000</v>
      </c>
      <c r="E416">
        <v>1002900000</v>
      </c>
      <c r="F416" t="s">
        <v>3424</v>
      </c>
      <c r="G416">
        <v>2021</v>
      </c>
      <c r="H416" t="s">
        <v>3189</v>
      </c>
      <c r="I416" t="s">
        <v>3156</v>
      </c>
      <c r="J416" t="s">
        <v>3425</v>
      </c>
      <c r="K416" t="s">
        <v>564</v>
      </c>
    </row>
    <row r="417" spans="1:11" x14ac:dyDescent="0.25">
      <c r="A417" t="s">
        <v>3138</v>
      </c>
      <c r="B417" t="s">
        <v>3188</v>
      </c>
      <c r="C417">
        <v>2000</v>
      </c>
      <c r="D417">
        <v>1310800000</v>
      </c>
      <c r="E417">
        <v>1247300000</v>
      </c>
      <c r="F417" t="s">
        <v>3424</v>
      </c>
      <c r="G417">
        <v>2021</v>
      </c>
      <c r="H417" t="s">
        <v>3189</v>
      </c>
      <c r="I417" t="s">
        <v>3156</v>
      </c>
      <c r="J417" t="s">
        <v>3425</v>
      </c>
      <c r="K417" t="s">
        <v>564</v>
      </c>
    </row>
    <row r="418" spans="1:11" x14ac:dyDescent="0.25">
      <c r="A418" t="s">
        <v>3138</v>
      </c>
      <c r="B418" t="s">
        <v>3188</v>
      </c>
      <c r="C418">
        <v>4000</v>
      </c>
      <c r="D418">
        <v>1580200000</v>
      </c>
      <c r="E418">
        <v>1517200000</v>
      </c>
      <c r="F418" t="s">
        <v>3424</v>
      </c>
      <c r="G418">
        <v>2021</v>
      </c>
      <c r="H418" t="s">
        <v>3189</v>
      </c>
      <c r="I418" t="s">
        <v>3156</v>
      </c>
      <c r="J418" t="s">
        <v>3425</v>
      </c>
      <c r="K418" t="s">
        <v>564</v>
      </c>
    </row>
    <row r="419" spans="1:11" x14ac:dyDescent="0.25">
      <c r="A419" t="s">
        <v>3138</v>
      </c>
      <c r="B419" t="s">
        <v>3178</v>
      </c>
      <c r="C419">
        <v>2</v>
      </c>
      <c r="D419">
        <v>4500000</v>
      </c>
      <c r="E419">
        <v>3200000</v>
      </c>
      <c r="F419" t="s">
        <v>3412</v>
      </c>
      <c r="G419">
        <v>2021</v>
      </c>
      <c r="H419" t="s">
        <v>3179</v>
      </c>
      <c r="I419" t="s">
        <v>3156</v>
      </c>
      <c r="J419" t="s">
        <v>3413</v>
      </c>
      <c r="K419" t="s">
        <v>564</v>
      </c>
    </row>
    <row r="420" spans="1:11" x14ac:dyDescent="0.25">
      <c r="A420" t="s">
        <v>3138</v>
      </c>
      <c r="B420" t="s">
        <v>3178</v>
      </c>
      <c r="C420">
        <v>5</v>
      </c>
      <c r="D420">
        <v>25100000</v>
      </c>
      <c r="E420">
        <v>20000000</v>
      </c>
      <c r="F420" t="s">
        <v>3412</v>
      </c>
      <c r="G420">
        <v>2021</v>
      </c>
      <c r="H420" t="s">
        <v>3179</v>
      </c>
      <c r="I420" t="s">
        <v>3156</v>
      </c>
      <c r="J420" t="s">
        <v>3413</v>
      </c>
      <c r="K420" t="s">
        <v>564</v>
      </c>
    </row>
    <row r="421" spans="1:11" x14ac:dyDescent="0.25">
      <c r="A421" t="s">
        <v>3138</v>
      </c>
      <c r="B421" t="s">
        <v>3178</v>
      </c>
      <c r="C421">
        <v>10</v>
      </c>
      <c r="D421">
        <v>68400000</v>
      </c>
      <c r="E421">
        <v>59100000</v>
      </c>
      <c r="F421" t="s">
        <v>3412</v>
      </c>
      <c r="G421">
        <v>2021</v>
      </c>
      <c r="H421" t="s">
        <v>3179</v>
      </c>
      <c r="I421" t="s">
        <v>3156</v>
      </c>
      <c r="J421" t="s">
        <v>3413</v>
      </c>
      <c r="K421" t="s">
        <v>564</v>
      </c>
    </row>
    <row r="422" spans="1:11" x14ac:dyDescent="0.25">
      <c r="A422" t="s">
        <v>3138</v>
      </c>
      <c r="B422" t="s">
        <v>3178</v>
      </c>
      <c r="C422">
        <v>25</v>
      </c>
      <c r="D422">
        <v>194400000</v>
      </c>
      <c r="E422">
        <v>179400000</v>
      </c>
      <c r="F422" t="s">
        <v>3412</v>
      </c>
      <c r="G422">
        <v>2021</v>
      </c>
      <c r="H422" t="s">
        <v>3179</v>
      </c>
      <c r="I422" t="s">
        <v>3156</v>
      </c>
      <c r="J422" t="s">
        <v>3413</v>
      </c>
      <c r="K422" t="s">
        <v>564</v>
      </c>
    </row>
    <row r="423" spans="1:11" x14ac:dyDescent="0.25">
      <c r="A423" t="s">
        <v>3138</v>
      </c>
      <c r="B423" t="s">
        <v>3178</v>
      </c>
      <c r="C423">
        <v>50</v>
      </c>
      <c r="D423">
        <v>311500000</v>
      </c>
      <c r="E423">
        <v>291400000</v>
      </c>
      <c r="F423" t="s">
        <v>3412</v>
      </c>
      <c r="G423">
        <v>2021</v>
      </c>
      <c r="H423" t="s">
        <v>3179</v>
      </c>
      <c r="I423" t="s">
        <v>3156</v>
      </c>
      <c r="J423" t="s">
        <v>3413</v>
      </c>
      <c r="K423" t="s">
        <v>564</v>
      </c>
    </row>
    <row r="424" spans="1:11" x14ac:dyDescent="0.25">
      <c r="A424" t="s">
        <v>3138</v>
      </c>
      <c r="B424" t="s">
        <v>3178</v>
      </c>
      <c r="C424">
        <v>100</v>
      </c>
      <c r="D424">
        <v>439400000</v>
      </c>
      <c r="E424">
        <v>412300000</v>
      </c>
      <c r="F424" t="s">
        <v>3412</v>
      </c>
      <c r="G424">
        <v>2021</v>
      </c>
      <c r="H424" t="s">
        <v>3179</v>
      </c>
      <c r="I424" t="s">
        <v>3156</v>
      </c>
      <c r="J424" t="s">
        <v>3413</v>
      </c>
      <c r="K424" t="s">
        <v>564</v>
      </c>
    </row>
    <row r="425" spans="1:11" x14ac:dyDescent="0.25">
      <c r="A425" t="s">
        <v>3138</v>
      </c>
      <c r="B425" t="s">
        <v>3178</v>
      </c>
      <c r="C425">
        <v>200</v>
      </c>
      <c r="D425">
        <v>585500000</v>
      </c>
      <c r="E425">
        <v>552700000</v>
      </c>
      <c r="F425" t="s">
        <v>3412</v>
      </c>
      <c r="G425">
        <v>2021</v>
      </c>
      <c r="H425" t="s">
        <v>3179</v>
      </c>
      <c r="I425" t="s">
        <v>3156</v>
      </c>
      <c r="J425" t="s">
        <v>3413</v>
      </c>
      <c r="K425" t="s">
        <v>564</v>
      </c>
    </row>
    <row r="426" spans="1:11" x14ac:dyDescent="0.25">
      <c r="A426" t="s">
        <v>3138</v>
      </c>
      <c r="B426" t="s">
        <v>3178</v>
      </c>
      <c r="C426">
        <v>250</v>
      </c>
      <c r="D426">
        <v>635600000</v>
      </c>
      <c r="E426">
        <v>601300000</v>
      </c>
      <c r="F426" t="s">
        <v>3412</v>
      </c>
      <c r="G426">
        <v>2021</v>
      </c>
      <c r="H426" t="s">
        <v>3179</v>
      </c>
      <c r="I426" t="s">
        <v>3156</v>
      </c>
      <c r="J426" t="s">
        <v>3413</v>
      </c>
      <c r="K426" t="s">
        <v>564</v>
      </c>
    </row>
    <row r="427" spans="1:11" x14ac:dyDescent="0.25">
      <c r="A427" t="s">
        <v>3138</v>
      </c>
      <c r="B427" t="s">
        <v>3178</v>
      </c>
      <c r="C427">
        <v>500</v>
      </c>
      <c r="D427">
        <v>797300000</v>
      </c>
      <c r="E427">
        <v>759000000</v>
      </c>
      <c r="F427" t="s">
        <v>3412</v>
      </c>
      <c r="G427">
        <v>2021</v>
      </c>
      <c r="H427" t="s">
        <v>3179</v>
      </c>
      <c r="I427" t="s">
        <v>3156</v>
      </c>
      <c r="J427" t="s">
        <v>3413</v>
      </c>
      <c r="K427" t="s">
        <v>564</v>
      </c>
    </row>
    <row r="428" spans="1:11" x14ac:dyDescent="0.25">
      <c r="A428" t="s">
        <v>3138</v>
      </c>
      <c r="B428" t="s">
        <v>3178</v>
      </c>
      <c r="C428">
        <v>1000</v>
      </c>
      <c r="D428">
        <v>969100000</v>
      </c>
      <c r="E428">
        <v>926700000</v>
      </c>
      <c r="F428" t="s">
        <v>3412</v>
      </c>
      <c r="G428">
        <v>2021</v>
      </c>
      <c r="H428" t="s">
        <v>3179</v>
      </c>
      <c r="I428" t="s">
        <v>3156</v>
      </c>
      <c r="J428" t="s">
        <v>3413</v>
      </c>
      <c r="K428" t="s">
        <v>564</v>
      </c>
    </row>
    <row r="429" spans="1:11" x14ac:dyDescent="0.25">
      <c r="A429" t="s">
        <v>3138</v>
      </c>
      <c r="B429" t="s">
        <v>3178</v>
      </c>
      <c r="C429">
        <v>2000</v>
      </c>
      <c r="D429">
        <v>1149600000</v>
      </c>
      <c r="E429">
        <v>1103900000</v>
      </c>
      <c r="F429" t="s">
        <v>3412</v>
      </c>
      <c r="G429">
        <v>2021</v>
      </c>
      <c r="H429" t="s">
        <v>3179</v>
      </c>
      <c r="I429" t="s">
        <v>3156</v>
      </c>
      <c r="J429" t="s">
        <v>3413</v>
      </c>
      <c r="K429" t="s">
        <v>564</v>
      </c>
    </row>
    <row r="430" spans="1:11" x14ac:dyDescent="0.25">
      <c r="A430" t="s">
        <v>3138</v>
      </c>
      <c r="B430" t="s">
        <v>3178</v>
      </c>
      <c r="C430">
        <v>4000</v>
      </c>
      <c r="D430">
        <v>1340700000</v>
      </c>
      <c r="E430">
        <v>1291300000</v>
      </c>
      <c r="F430" t="s">
        <v>3412</v>
      </c>
      <c r="G430">
        <v>2021</v>
      </c>
      <c r="H430" t="s">
        <v>3179</v>
      </c>
      <c r="I430" t="s">
        <v>3156</v>
      </c>
      <c r="J430" t="s">
        <v>3413</v>
      </c>
      <c r="K430" t="s">
        <v>564</v>
      </c>
    </row>
    <row r="431" spans="1:11" x14ac:dyDescent="0.25">
      <c r="A431" t="s">
        <v>3138</v>
      </c>
      <c r="B431" t="s">
        <v>3171</v>
      </c>
      <c r="C431">
        <v>2</v>
      </c>
      <c r="D431">
        <v>26200000</v>
      </c>
      <c r="E431">
        <v>9300000</v>
      </c>
      <c r="F431" t="s">
        <v>3404</v>
      </c>
      <c r="G431">
        <v>2021</v>
      </c>
      <c r="H431" t="s">
        <v>3172</v>
      </c>
      <c r="I431" t="s">
        <v>3156</v>
      </c>
      <c r="J431" t="s">
        <v>3405</v>
      </c>
      <c r="K431" t="s">
        <v>564</v>
      </c>
    </row>
    <row r="432" spans="1:11" x14ac:dyDescent="0.25">
      <c r="A432" t="s">
        <v>3138</v>
      </c>
      <c r="B432" t="s">
        <v>3171</v>
      </c>
      <c r="C432">
        <v>5</v>
      </c>
      <c r="D432">
        <v>45600000</v>
      </c>
      <c r="E432">
        <v>20700000</v>
      </c>
      <c r="F432" t="s">
        <v>3404</v>
      </c>
      <c r="G432">
        <v>2021</v>
      </c>
      <c r="H432" t="s">
        <v>3172</v>
      </c>
      <c r="I432" t="s">
        <v>3156</v>
      </c>
      <c r="J432" t="s">
        <v>3405</v>
      </c>
      <c r="K432" t="s">
        <v>564</v>
      </c>
    </row>
    <row r="433" spans="1:11" x14ac:dyDescent="0.25">
      <c r="A433" t="s">
        <v>3138</v>
      </c>
      <c r="B433" t="s">
        <v>3171</v>
      </c>
      <c r="C433">
        <v>10</v>
      </c>
      <c r="D433">
        <v>61100000</v>
      </c>
      <c r="E433">
        <v>31400000</v>
      </c>
      <c r="F433" t="s">
        <v>3404</v>
      </c>
      <c r="G433">
        <v>2021</v>
      </c>
      <c r="H433" t="s">
        <v>3172</v>
      </c>
      <c r="I433" t="s">
        <v>3156</v>
      </c>
      <c r="J433" t="s">
        <v>3405</v>
      </c>
      <c r="K433" t="s">
        <v>564</v>
      </c>
    </row>
    <row r="434" spans="1:11" x14ac:dyDescent="0.25">
      <c r="A434" t="s">
        <v>3138</v>
      </c>
      <c r="B434" t="s">
        <v>3171</v>
      </c>
      <c r="C434">
        <v>25</v>
      </c>
      <c r="D434">
        <v>83900000</v>
      </c>
      <c r="E434">
        <v>49300000</v>
      </c>
      <c r="F434" t="s">
        <v>3404</v>
      </c>
      <c r="G434">
        <v>2021</v>
      </c>
      <c r="H434" t="s">
        <v>3172</v>
      </c>
      <c r="I434" t="s">
        <v>3156</v>
      </c>
      <c r="J434" t="s">
        <v>3405</v>
      </c>
      <c r="K434" t="s">
        <v>564</v>
      </c>
    </row>
    <row r="435" spans="1:11" x14ac:dyDescent="0.25">
      <c r="A435" t="s">
        <v>3138</v>
      </c>
      <c r="B435" t="s">
        <v>3171</v>
      </c>
      <c r="C435">
        <v>50</v>
      </c>
      <c r="D435">
        <v>103900000</v>
      </c>
      <c r="E435">
        <v>66800000</v>
      </c>
      <c r="F435" t="s">
        <v>3404</v>
      </c>
      <c r="G435">
        <v>2021</v>
      </c>
      <c r="H435" t="s">
        <v>3172</v>
      </c>
      <c r="I435" t="s">
        <v>3156</v>
      </c>
      <c r="J435" t="s">
        <v>3405</v>
      </c>
      <c r="K435" t="s">
        <v>564</v>
      </c>
    </row>
    <row r="436" spans="1:11" x14ac:dyDescent="0.25">
      <c r="A436" t="s">
        <v>3138</v>
      </c>
      <c r="B436" t="s">
        <v>3171</v>
      </c>
      <c r="C436">
        <v>100</v>
      </c>
      <c r="D436">
        <v>127500000</v>
      </c>
      <c r="E436">
        <v>88900000</v>
      </c>
      <c r="F436" t="s">
        <v>3404</v>
      </c>
      <c r="G436">
        <v>2021</v>
      </c>
      <c r="H436" t="s">
        <v>3172</v>
      </c>
      <c r="I436" t="s">
        <v>3156</v>
      </c>
      <c r="J436" t="s">
        <v>3405</v>
      </c>
      <c r="K436" t="s">
        <v>564</v>
      </c>
    </row>
    <row r="437" spans="1:11" x14ac:dyDescent="0.25">
      <c r="A437" t="s">
        <v>3138</v>
      </c>
      <c r="B437" t="s">
        <v>3171</v>
      </c>
      <c r="C437">
        <v>200</v>
      </c>
      <c r="D437">
        <v>155900000</v>
      </c>
      <c r="E437">
        <v>116800000</v>
      </c>
      <c r="F437" t="s">
        <v>3404</v>
      </c>
      <c r="G437">
        <v>2021</v>
      </c>
      <c r="H437" t="s">
        <v>3172</v>
      </c>
      <c r="I437" t="s">
        <v>3156</v>
      </c>
      <c r="J437" t="s">
        <v>3405</v>
      </c>
      <c r="K437" t="s">
        <v>564</v>
      </c>
    </row>
    <row r="438" spans="1:11" x14ac:dyDescent="0.25">
      <c r="A438" t="s">
        <v>3138</v>
      </c>
      <c r="B438" t="s">
        <v>3171</v>
      </c>
      <c r="C438">
        <v>250</v>
      </c>
      <c r="D438">
        <v>166300000</v>
      </c>
      <c r="E438">
        <v>127300000</v>
      </c>
      <c r="F438" t="s">
        <v>3404</v>
      </c>
      <c r="G438">
        <v>2021</v>
      </c>
      <c r="H438" t="s">
        <v>3172</v>
      </c>
      <c r="I438" t="s">
        <v>3156</v>
      </c>
      <c r="J438" t="s">
        <v>3405</v>
      </c>
      <c r="K438" t="s">
        <v>564</v>
      </c>
    </row>
    <row r="439" spans="1:11" x14ac:dyDescent="0.25">
      <c r="A439" t="s">
        <v>3138</v>
      </c>
      <c r="B439" t="s">
        <v>3171</v>
      </c>
      <c r="C439">
        <v>500</v>
      </c>
      <c r="D439">
        <v>203600000</v>
      </c>
      <c r="E439">
        <v>164900000</v>
      </c>
      <c r="F439" t="s">
        <v>3404</v>
      </c>
      <c r="G439">
        <v>2021</v>
      </c>
      <c r="H439" t="s">
        <v>3172</v>
      </c>
      <c r="I439" t="s">
        <v>3156</v>
      </c>
      <c r="J439" t="s">
        <v>3405</v>
      </c>
      <c r="K439" t="s">
        <v>564</v>
      </c>
    </row>
    <row r="440" spans="1:11" x14ac:dyDescent="0.25">
      <c r="A440" t="s">
        <v>3138</v>
      </c>
      <c r="B440" t="s">
        <v>3171</v>
      </c>
      <c r="C440">
        <v>1000</v>
      </c>
      <c r="D440">
        <v>249500000</v>
      </c>
      <c r="E440">
        <v>211500000</v>
      </c>
      <c r="F440" t="s">
        <v>3404</v>
      </c>
      <c r="G440">
        <v>2021</v>
      </c>
      <c r="H440" t="s">
        <v>3172</v>
      </c>
      <c r="I440" t="s">
        <v>3156</v>
      </c>
      <c r="J440" t="s">
        <v>3405</v>
      </c>
      <c r="K440" t="s">
        <v>564</v>
      </c>
    </row>
    <row r="441" spans="1:11" x14ac:dyDescent="0.25">
      <c r="A441" t="s">
        <v>3138</v>
      </c>
      <c r="B441" t="s">
        <v>3171</v>
      </c>
      <c r="C441">
        <v>2000</v>
      </c>
      <c r="D441">
        <v>306000000</v>
      </c>
      <c r="E441">
        <v>268600000</v>
      </c>
      <c r="F441" t="s">
        <v>3404</v>
      </c>
      <c r="G441">
        <v>2021</v>
      </c>
      <c r="H441" t="s">
        <v>3172</v>
      </c>
      <c r="I441" t="s">
        <v>3156</v>
      </c>
      <c r="J441" t="s">
        <v>3405</v>
      </c>
      <c r="K441" t="s">
        <v>564</v>
      </c>
    </row>
    <row r="442" spans="1:11" x14ac:dyDescent="0.25">
      <c r="A442" t="s">
        <v>3138</v>
      </c>
      <c r="B442" t="s">
        <v>3171</v>
      </c>
      <c r="C442">
        <v>4000</v>
      </c>
      <c r="D442">
        <v>375800000</v>
      </c>
      <c r="E442">
        <v>339100000</v>
      </c>
      <c r="F442" t="s">
        <v>3404</v>
      </c>
      <c r="G442">
        <v>2021</v>
      </c>
      <c r="H442" t="s">
        <v>3172</v>
      </c>
      <c r="I442" t="s">
        <v>3156</v>
      </c>
      <c r="J442" t="s">
        <v>3405</v>
      </c>
      <c r="K442" t="s">
        <v>564</v>
      </c>
    </row>
    <row r="443" spans="1:11" x14ac:dyDescent="0.25">
      <c r="A443" t="s">
        <v>3138</v>
      </c>
      <c r="B443" t="s">
        <v>3196</v>
      </c>
      <c r="C443">
        <v>2</v>
      </c>
      <c r="D443">
        <v>2300000</v>
      </c>
      <c r="E443">
        <v>1600000</v>
      </c>
      <c r="F443" t="s">
        <v>3416</v>
      </c>
      <c r="G443">
        <v>2021</v>
      </c>
      <c r="H443" t="s">
        <v>3197</v>
      </c>
      <c r="I443" t="s">
        <v>3156</v>
      </c>
      <c r="J443" t="s">
        <v>3417</v>
      </c>
      <c r="K443" t="s">
        <v>564</v>
      </c>
    </row>
    <row r="444" spans="1:11" x14ac:dyDescent="0.25">
      <c r="A444" t="s">
        <v>3138</v>
      </c>
      <c r="B444" t="s">
        <v>3196</v>
      </c>
      <c r="C444">
        <v>5</v>
      </c>
      <c r="D444">
        <v>6500000</v>
      </c>
      <c r="E444">
        <v>4100000</v>
      </c>
      <c r="F444" t="s">
        <v>3416</v>
      </c>
      <c r="G444">
        <v>2021</v>
      </c>
      <c r="H444" t="s">
        <v>3197</v>
      </c>
      <c r="I444" t="s">
        <v>3156</v>
      </c>
      <c r="J444" t="s">
        <v>3417</v>
      </c>
      <c r="K444" t="s">
        <v>564</v>
      </c>
    </row>
    <row r="445" spans="1:11" x14ac:dyDescent="0.25">
      <c r="A445" t="s">
        <v>3138</v>
      </c>
      <c r="B445" t="s">
        <v>3196</v>
      </c>
      <c r="C445">
        <v>10</v>
      </c>
      <c r="D445">
        <v>9800000</v>
      </c>
      <c r="E445">
        <v>6100000</v>
      </c>
      <c r="F445" t="s">
        <v>3416</v>
      </c>
      <c r="G445">
        <v>2021</v>
      </c>
      <c r="H445" t="s">
        <v>3197</v>
      </c>
      <c r="I445" t="s">
        <v>3156</v>
      </c>
      <c r="J445" t="s">
        <v>3417</v>
      </c>
      <c r="K445" t="s">
        <v>564</v>
      </c>
    </row>
    <row r="446" spans="1:11" x14ac:dyDescent="0.25">
      <c r="A446" t="s">
        <v>3138</v>
      </c>
      <c r="B446" t="s">
        <v>3196</v>
      </c>
      <c r="C446">
        <v>25</v>
      </c>
      <c r="D446">
        <v>14000000</v>
      </c>
      <c r="E446">
        <v>9300000</v>
      </c>
      <c r="F446" t="s">
        <v>3416</v>
      </c>
      <c r="G446">
        <v>2021</v>
      </c>
      <c r="H446" t="s">
        <v>3197</v>
      </c>
      <c r="I446" t="s">
        <v>3156</v>
      </c>
      <c r="J446" t="s">
        <v>3417</v>
      </c>
      <c r="K446" t="s">
        <v>564</v>
      </c>
    </row>
    <row r="447" spans="1:11" x14ac:dyDescent="0.25">
      <c r="A447" t="s">
        <v>3138</v>
      </c>
      <c r="B447" t="s">
        <v>3196</v>
      </c>
      <c r="C447">
        <v>50</v>
      </c>
      <c r="D447">
        <v>17900000</v>
      </c>
      <c r="E447">
        <v>11500000</v>
      </c>
      <c r="F447" t="s">
        <v>3416</v>
      </c>
      <c r="G447">
        <v>2021</v>
      </c>
      <c r="H447" t="s">
        <v>3197</v>
      </c>
      <c r="I447" t="s">
        <v>3156</v>
      </c>
      <c r="J447" t="s">
        <v>3417</v>
      </c>
      <c r="K447" t="s">
        <v>564</v>
      </c>
    </row>
    <row r="448" spans="1:11" x14ac:dyDescent="0.25">
      <c r="A448" t="s">
        <v>3138</v>
      </c>
      <c r="B448" t="s">
        <v>3196</v>
      </c>
      <c r="C448">
        <v>100</v>
      </c>
      <c r="D448">
        <v>22600000</v>
      </c>
      <c r="E448">
        <v>14500000</v>
      </c>
      <c r="F448" t="s">
        <v>3416</v>
      </c>
      <c r="G448">
        <v>2021</v>
      </c>
      <c r="H448" t="s">
        <v>3197</v>
      </c>
      <c r="I448" t="s">
        <v>3156</v>
      </c>
      <c r="J448" t="s">
        <v>3417</v>
      </c>
      <c r="K448" t="s">
        <v>564</v>
      </c>
    </row>
    <row r="449" spans="1:11" x14ac:dyDescent="0.25">
      <c r="A449" t="s">
        <v>3138</v>
      </c>
      <c r="B449" t="s">
        <v>3196</v>
      </c>
      <c r="C449">
        <v>200</v>
      </c>
      <c r="D449">
        <v>30500000</v>
      </c>
      <c r="E449">
        <v>18400000</v>
      </c>
      <c r="F449" t="s">
        <v>3416</v>
      </c>
      <c r="G449">
        <v>2021</v>
      </c>
      <c r="H449" t="s">
        <v>3197</v>
      </c>
      <c r="I449" t="s">
        <v>3156</v>
      </c>
      <c r="J449" t="s">
        <v>3417</v>
      </c>
      <c r="K449" t="s">
        <v>564</v>
      </c>
    </row>
    <row r="450" spans="1:11" x14ac:dyDescent="0.25">
      <c r="A450" t="s">
        <v>3138</v>
      </c>
      <c r="B450" t="s">
        <v>3196</v>
      </c>
      <c r="C450">
        <v>250</v>
      </c>
      <c r="D450">
        <v>33900000</v>
      </c>
      <c r="E450">
        <v>20700000</v>
      </c>
      <c r="F450" t="s">
        <v>3416</v>
      </c>
      <c r="G450">
        <v>2021</v>
      </c>
      <c r="H450" t="s">
        <v>3197</v>
      </c>
      <c r="I450" t="s">
        <v>3156</v>
      </c>
      <c r="J450" t="s">
        <v>3417</v>
      </c>
      <c r="K450" t="s">
        <v>564</v>
      </c>
    </row>
    <row r="451" spans="1:11" x14ac:dyDescent="0.25">
      <c r="A451" t="s">
        <v>3138</v>
      </c>
      <c r="B451" t="s">
        <v>3196</v>
      </c>
      <c r="C451">
        <v>500</v>
      </c>
      <c r="D451">
        <v>45300000</v>
      </c>
      <c r="E451">
        <v>29600000</v>
      </c>
      <c r="F451" t="s">
        <v>3416</v>
      </c>
      <c r="G451">
        <v>2021</v>
      </c>
      <c r="H451" t="s">
        <v>3197</v>
      </c>
      <c r="I451" t="s">
        <v>3156</v>
      </c>
      <c r="J451" t="s">
        <v>3417</v>
      </c>
      <c r="K451" t="s">
        <v>564</v>
      </c>
    </row>
    <row r="452" spans="1:11" x14ac:dyDescent="0.25">
      <c r="A452" t="s">
        <v>3138</v>
      </c>
      <c r="B452" t="s">
        <v>3196</v>
      </c>
      <c r="C452">
        <v>1000</v>
      </c>
      <c r="D452">
        <v>48900000</v>
      </c>
      <c r="E452">
        <v>32200000</v>
      </c>
      <c r="F452" t="s">
        <v>3416</v>
      </c>
      <c r="G452">
        <v>2021</v>
      </c>
      <c r="H452" t="s">
        <v>3197</v>
      </c>
      <c r="I452" t="s">
        <v>3156</v>
      </c>
      <c r="J452" t="s">
        <v>3417</v>
      </c>
      <c r="K452" t="s">
        <v>564</v>
      </c>
    </row>
    <row r="453" spans="1:11" x14ac:dyDescent="0.25">
      <c r="A453" t="s">
        <v>3138</v>
      </c>
      <c r="B453" t="s">
        <v>3196</v>
      </c>
      <c r="C453">
        <v>2000</v>
      </c>
      <c r="D453">
        <v>53400000</v>
      </c>
      <c r="E453">
        <v>44200000</v>
      </c>
      <c r="F453" t="s">
        <v>3416</v>
      </c>
      <c r="G453">
        <v>2021</v>
      </c>
      <c r="H453" t="s">
        <v>3197</v>
      </c>
      <c r="I453" t="s">
        <v>3156</v>
      </c>
      <c r="J453" t="s">
        <v>3417</v>
      </c>
      <c r="K453" t="s">
        <v>564</v>
      </c>
    </row>
    <row r="454" spans="1:11" x14ac:dyDescent="0.25">
      <c r="A454" t="s">
        <v>3138</v>
      </c>
      <c r="B454" t="s">
        <v>3196</v>
      </c>
      <c r="C454">
        <v>4000</v>
      </c>
      <c r="D454">
        <v>59300000</v>
      </c>
      <c r="E454">
        <v>55700000</v>
      </c>
      <c r="F454" t="s">
        <v>3416</v>
      </c>
      <c r="G454">
        <v>2021</v>
      </c>
      <c r="H454" t="s">
        <v>3197</v>
      </c>
      <c r="I454" t="s">
        <v>3156</v>
      </c>
      <c r="J454" t="s">
        <v>3417</v>
      </c>
      <c r="K454" t="s">
        <v>564</v>
      </c>
    </row>
    <row r="455" spans="1:11" x14ac:dyDescent="0.25">
      <c r="A455" t="s">
        <v>3138</v>
      </c>
      <c r="B455" t="s">
        <v>3194</v>
      </c>
      <c r="C455">
        <v>2</v>
      </c>
      <c r="D455">
        <v>4300000</v>
      </c>
      <c r="E455">
        <v>1500000</v>
      </c>
      <c r="F455" t="s">
        <v>3428</v>
      </c>
      <c r="G455">
        <v>2021</v>
      </c>
      <c r="H455" t="s">
        <v>3195</v>
      </c>
      <c r="I455" t="s">
        <v>3156</v>
      </c>
      <c r="J455" t="s">
        <v>3429</v>
      </c>
      <c r="K455" t="s">
        <v>564</v>
      </c>
    </row>
    <row r="456" spans="1:11" x14ac:dyDescent="0.25">
      <c r="A456" t="s">
        <v>3138</v>
      </c>
      <c r="B456" t="s">
        <v>3194</v>
      </c>
      <c r="C456">
        <v>5</v>
      </c>
      <c r="D456">
        <v>7600000</v>
      </c>
      <c r="E456">
        <v>2700000</v>
      </c>
      <c r="F456" t="s">
        <v>3428</v>
      </c>
      <c r="G456">
        <v>2021</v>
      </c>
      <c r="H456" t="s">
        <v>3195</v>
      </c>
      <c r="I456" t="s">
        <v>3156</v>
      </c>
      <c r="J456" t="s">
        <v>3429</v>
      </c>
      <c r="K456" t="s">
        <v>564</v>
      </c>
    </row>
    <row r="457" spans="1:11" x14ac:dyDescent="0.25">
      <c r="A457" t="s">
        <v>3138</v>
      </c>
      <c r="B457" t="s">
        <v>3194</v>
      </c>
      <c r="C457">
        <v>10</v>
      </c>
      <c r="D457">
        <v>10300000</v>
      </c>
      <c r="E457">
        <v>3600000</v>
      </c>
      <c r="F457" t="s">
        <v>3428</v>
      </c>
      <c r="G457">
        <v>2021</v>
      </c>
      <c r="H457" t="s">
        <v>3195</v>
      </c>
      <c r="I457" t="s">
        <v>3156</v>
      </c>
      <c r="J457" t="s">
        <v>3429</v>
      </c>
      <c r="K457" t="s">
        <v>564</v>
      </c>
    </row>
    <row r="458" spans="1:11" x14ac:dyDescent="0.25">
      <c r="A458" t="s">
        <v>3138</v>
      </c>
      <c r="B458" t="s">
        <v>3194</v>
      </c>
      <c r="C458">
        <v>25</v>
      </c>
      <c r="D458">
        <v>13900000</v>
      </c>
      <c r="E458">
        <v>5100000</v>
      </c>
      <c r="F458" t="s">
        <v>3428</v>
      </c>
      <c r="G458">
        <v>2021</v>
      </c>
      <c r="H458" t="s">
        <v>3195</v>
      </c>
      <c r="I458" t="s">
        <v>3156</v>
      </c>
      <c r="J458" t="s">
        <v>3429</v>
      </c>
      <c r="K458" t="s">
        <v>564</v>
      </c>
    </row>
    <row r="459" spans="1:11" x14ac:dyDescent="0.25">
      <c r="A459" t="s">
        <v>3138</v>
      </c>
      <c r="B459" t="s">
        <v>3194</v>
      </c>
      <c r="C459">
        <v>50</v>
      </c>
      <c r="D459">
        <v>17800000</v>
      </c>
      <c r="E459">
        <v>6800000</v>
      </c>
      <c r="F459" t="s">
        <v>3428</v>
      </c>
      <c r="G459">
        <v>2021</v>
      </c>
      <c r="H459" t="s">
        <v>3195</v>
      </c>
      <c r="I459" t="s">
        <v>3156</v>
      </c>
      <c r="J459" t="s">
        <v>3429</v>
      </c>
      <c r="K459" t="s">
        <v>564</v>
      </c>
    </row>
    <row r="460" spans="1:11" x14ac:dyDescent="0.25">
      <c r="A460" t="s">
        <v>3138</v>
      </c>
      <c r="B460" t="s">
        <v>3194</v>
      </c>
      <c r="C460">
        <v>100</v>
      </c>
      <c r="D460">
        <v>23400000</v>
      </c>
      <c r="E460">
        <v>9200000</v>
      </c>
      <c r="F460" t="s">
        <v>3428</v>
      </c>
      <c r="G460">
        <v>2021</v>
      </c>
      <c r="H460" t="s">
        <v>3195</v>
      </c>
      <c r="I460" t="s">
        <v>3156</v>
      </c>
      <c r="J460" t="s">
        <v>3429</v>
      </c>
      <c r="K460" t="s">
        <v>564</v>
      </c>
    </row>
    <row r="461" spans="1:11" x14ac:dyDescent="0.25">
      <c r="A461" t="s">
        <v>3138</v>
      </c>
      <c r="B461" t="s">
        <v>3194</v>
      </c>
      <c r="C461">
        <v>200</v>
      </c>
      <c r="D461">
        <v>29200000</v>
      </c>
      <c r="E461">
        <v>12400000</v>
      </c>
      <c r="F461" t="s">
        <v>3428</v>
      </c>
      <c r="G461">
        <v>2021</v>
      </c>
      <c r="H461" t="s">
        <v>3195</v>
      </c>
      <c r="I461" t="s">
        <v>3156</v>
      </c>
      <c r="J461" t="s">
        <v>3429</v>
      </c>
      <c r="K461" t="s">
        <v>564</v>
      </c>
    </row>
    <row r="462" spans="1:11" x14ac:dyDescent="0.25">
      <c r="A462" t="s">
        <v>3138</v>
      </c>
      <c r="B462" t="s">
        <v>3194</v>
      </c>
      <c r="C462">
        <v>250</v>
      </c>
      <c r="D462">
        <v>31700000</v>
      </c>
      <c r="E462">
        <v>14100000</v>
      </c>
      <c r="F462" t="s">
        <v>3428</v>
      </c>
      <c r="G462">
        <v>2021</v>
      </c>
      <c r="H462" t="s">
        <v>3195</v>
      </c>
      <c r="I462" t="s">
        <v>3156</v>
      </c>
      <c r="J462" t="s">
        <v>3429</v>
      </c>
      <c r="K462" t="s">
        <v>564</v>
      </c>
    </row>
    <row r="463" spans="1:11" x14ac:dyDescent="0.25">
      <c r="A463" t="s">
        <v>3138</v>
      </c>
      <c r="B463" t="s">
        <v>3194</v>
      </c>
      <c r="C463">
        <v>500</v>
      </c>
      <c r="D463">
        <v>40600000</v>
      </c>
      <c r="E463">
        <v>18200000</v>
      </c>
      <c r="F463" t="s">
        <v>3428</v>
      </c>
      <c r="G463">
        <v>2021</v>
      </c>
      <c r="H463" t="s">
        <v>3195</v>
      </c>
      <c r="I463" t="s">
        <v>3156</v>
      </c>
      <c r="J463" t="s">
        <v>3429</v>
      </c>
      <c r="K463" t="s">
        <v>564</v>
      </c>
    </row>
    <row r="464" spans="1:11" x14ac:dyDescent="0.25">
      <c r="A464" t="s">
        <v>3138</v>
      </c>
      <c r="B464" t="s">
        <v>3194</v>
      </c>
      <c r="C464">
        <v>1000</v>
      </c>
      <c r="D464">
        <v>51000000</v>
      </c>
      <c r="E464">
        <v>22800000</v>
      </c>
      <c r="F464" t="s">
        <v>3428</v>
      </c>
      <c r="G464">
        <v>2021</v>
      </c>
      <c r="H464" t="s">
        <v>3195</v>
      </c>
      <c r="I464" t="s">
        <v>3156</v>
      </c>
      <c r="J464" t="s">
        <v>3429</v>
      </c>
      <c r="K464" t="s">
        <v>564</v>
      </c>
    </row>
    <row r="465" spans="1:11" x14ac:dyDescent="0.25">
      <c r="A465" t="s">
        <v>3138</v>
      </c>
      <c r="B465" t="s">
        <v>3194</v>
      </c>
      <c r="C465">
        <v>2000</v>
      </c>
      <c r="D465">
        <v>62800000</v>
      </c>
      <c r="E465">
        <v>28000000</v>
      </c>
      <c r="F465" t="s">
        <v>3428</v>
      </c>
      <c r="G465">
        <v>2021</v>
      </c>
      <c r="H465" t="s">
        <v>3195</v>
      </c>
      <c r="I465" t="s">
        <v>3156</v>
      </c>
      <c r="J465" t="s">
        <v>3429</v>
      </c>
      <c r="K465" t="s">
        <v>564</v>
      </c>
    </row>
    <row r="466" spans="1:11" x14ac:dyDescent="0.25">
      <c r="A466" t="s">
        <v>3138</v>
      </c>
      <c r="B466" t="s">
        <v>3194</v>
      </c>
      <c r="C466">
        <v>5000</v>
      </c>
      <c r="D466">
        <v>74000000</v>
      </c>
      <c r="E466">
        <v>34000000</v>
      </c>
      <c r="F466" t="s">
        <v>3428</v>
      </c>
      <c r="G466">
        <v>2021</v>
      </c>
      <c r="H466" t="s">
        <v>3195</v>
      </c>
      <c r="I466" t="s">
        <v>3156</v>
      </c>
      <c r="J466" t="s">
        <v>3429</v>
      </c>
      <c r="K466" t="s">
        <v>564</v>
      </c>
    </row>
    <row r="467" spans="1:11" x14ac:dyDescent="0.25">
      <c r="A467" t="s">
        <v>3138</v>
      </c>
      <c r="B467" t="s">
        <v>3182</v>
      </c>
      <c r="C467">
        <v>2</v>
      </c>
      <c r="D467">
        <v>100000</v>
      </c>
      <c r="E467">
        <v>100000</v>
      </c>
      <c r="F467" t="s">
        <v>3420</v>
      </c>
      <c r="G467">
        <v>2021</v>
      </c>
      <c r="H467" t="s">
        <v>3183</v>
      </c>
      <c r="I467" t="s">
        <v>3156</v>
      </c>
      <c r="J467" t="s">
        <v>3421</v>
      </c>
      <c r="K467" t="s">
        <v>481</v>
      </c>
    </row>
    <row r="468" spans="1:11" x14ac:dyDescent="0.25">
      <c r="A468" t="s">
        <v>3138</v>
      </c>
      <c r="B468" t="s">
        <v>3182</v>
      </c>
      <c r="C468">
        <v>5</v>
      </c>
      <c r="D468">
        <v>1300000</v>
      </c>
      <c r="E468">
        <v>1200000</v>
      </c>
      <c r="F468" t="s">
        <v>3420</v>
      </c>
      <c r="G468">
        <v>2021</v>
      </c>
      <c r="H468" t="s">
        <v>3183</v>
      </c>
      <c r="I468" t="s">
        <v>3156</v>
      </c>
      <c r="J468" t="s">
        <v>3421</v>
      </c>
      <c r="K468" t="s">
        <v>481</v>
      </c>
    </row>
    <row r="469" spans="1:11" x14ac:dyDescent="0.25">
      <c r="A469" t="s">
        <v>3138</v>
      </c>
      <c r="B469" t="s">
        <v>3182</v>
      </c>
      <c r="C469">
        <v>10</v>
      </c>
      <c r="D469">
        <v>3900000</v>
      </c>
      <c r="E469">
        <v>3500000</v>
      </c>
      <c r="F469" t="s">
        <v>3420</v>
      </c>
      <c r="G469">
        <v>2021</v>
      </c>
      <c r="H469" t="s">
        <v>3183</v>
      </c>
      <c r="I469" t="s">
        <v>3156</v>
      </c>
      <c r="J469" t="s">
        <v>3421</v>
      </c>
      <c r="K469" t="s">
        <v>481</v>
      </c>
    </row>
    <row r="470" spans="1:11" x14ac:dyDescent="0.25">
      <c r="A470" t="s">
        <v>3138</v>
      </c>
      <c r="B470" t="s">
        <v>3182</v>
      </c>
      <c r="C470">
        <v>25</v>
      </c>
      <c r="D470">
        <v>8900000</v>
      </c>
      <c r="E470">
        <v>8200000</v>
      </c>
      <c r="F470" t="s">
        <v>3420</v>
      </c>
      <c r="G470">
        <v>2021</v>
      </c>
      <c r="H470" t="s">
        <v>3183</v>
      </c>
      <c r="I470" t="s">
        <v>3156</v>
      </c>
      <c r="J470" t="s">
        <v>3421</v>
      </c>
      <c r="K470" t="s">
        <v>481</v>
      </c>
    </row>
    <row r="471" spans="1:11" x14ac:dyDescent="0.25">
      <c r="A471" t="s">
        <v>3138</v>
      </c>
      <c r="B471" t="s">
        <v>3182</v>
      </c>
      <c r="C471">
        <v>50</v>
      </c>
      <c r="D471">
        <v>13400000</v>
      </c>
      <c r="E471">
        <v>12400000</v>
      </c>
      <c r="F471" t="s">
        <v>3420</v>
      </c>
      <c r="G471">
        <v>2021</v>
      </c>
      <c r="H471" t="s">
        <v>3183</v>
      </c>
      <c r="I471" t="s">
        <v>3156</v>
      </c>
      <c r="J471" t="s">
        <v>3421</v>
      </c>
      <c r="K471" t="s">
        <v>481</v>
      </c>
    </row>
    <row r="472" spans="1:11" x14ac:dyDescent="0.25">
      <c r="A472" t="s">
        <v>3138</v>
      </c>
      <c r="B472" t="s">
        <v>3182</v>
      </c>
      <c r="C472">
        <v>100</v>
      </c>
      <c r="D472">
        <v>18400000</v>
      </c>
      <c r="E472">
        <v>17100000</v>
      </c>
      <c r="F472" t="s">
        <v>3420</v>
      </c>
      <c r="G472">
        <v>2021</v>
      </c>
      <c r="H472" t="s">
        <v>3183</v>
      </c>
      <c r="I472" t="s">
        <v>3156</v>
      </c>
      <c r="J472" t="s">
        <v>3421</v>
      </c>
      <c r="K472" t="s">
        <v>481</v>
      </c>
    </row>
    <row r="473" spans="1:11" x14ac:dyDescent="0.25">
      <c r="A473" t="s">
        <v>3138</v>
      </c>
      <c r="B473" t="s">
        <v>3182</v>
      </c>
      <c r="C473">
        <v>200</v>
      </c>
      <c r="D473">
        <v>24100000</v>
      </c>
      <c r="E473">
        <v>22500000</v>
      </c>
      <c r="F473" t="s">
        <v>3420</v>
      </c>
      <c r="G473">
        <v>2021</v>
      </c>
      <c r="H473" t="s">
        <v>3183</v>
      </c>
      <c r="I473" t="s">
        <v>3156</v>
      </c>
      <c r="J473" t="s">
        <v>3421</v>
      </c>
      <c r="K473" t="s">
        <v>481</v>
      </c>
    </row>
    <row r="474" spans="1:11" x14ac:dyDescent="0.25">
      <c r="A474" t="s">
        <v>3138</v>
      </c>
      <c r="B474" t="s">
        <v>3182</v>
      </c>
      <c r="C474">
        <v>250</v>
      </c>
      <c r="D474">
        <v>26000000</v>
      </c>
      <c r="E474">
        <v>24400000</v>
      </c>
      <c r="F474" t="s">
        <v>3420</v>
      </c>
      <c r="G474">
        <v>2021</v>
      </c>
      <c r="H474" t="s">
        <v>3183</v>
      </c>
      <c r="I474" t="s">
        <v>3156</v>
      </c>
      <c r="J474" t="s">
        <v>3421</v>
      </c>
      <c r="K474" t="s">
        <v>481</v>
      </c>
    </row>
    <row r="475" spans="1:11" x14ac:dyDescent="0.25">
      <c r="A475" t="s">
        <v>3138</v>
      </c>
      <c r="B475" t="s">
        <v>3182</v>
      </c>
      <c r="C475">
        <v>500</v>
      </c>
      <c r="D475">
        <v>32200000</v>
      </c>
      <c r="E475">
        <v>30400000</v>
      </c>
      <c r="F475" t="s">
        <v>3420</v>
      </c>
      <c r="G475">
        <v>2021</v>
      </c>
      <c r="H475" t="s">
        <v>3183</v>
      </c>
      <c r="I475" t="s">
        <v>3156</v>
      </c>
      <c r="J475" t="s">
        <v>3421</v>
      </c>
      <c r="K475" t="s">
        <v>481</v>
      </c>
    </row>
    <row r="476" spans="1:11" x14ac:dyDescent="0.25">
      <c r="A476" t="s">
        <v>3138</v>
      </c>
      <c r="B476" t="s">
        <v>3182</v>
      </c>
      <c r="C476">
        <v>1000</v>
      </c>
      <c r="D476">
        <v>38900000</v>
      </c>
      <c r="E476">
        <v>36800000</v>
      </c>
      <c r="F476" t="s">
        <v>3420</v>
      </c>
      <c r="G476">
        <v>2021</v>
      </c>
      <c r="H476" t="s">
        <v>3183</v>
      </c>
      <c r="I476" t="s">
        <v>3156</v>
      </c>
      <c r="J476" t="s">
        <v>3421</v>
      </c>
      <c r="K476" t="s">
        <v>481</v>
      </c>
    </row>
    <row r="477" spans="1:11" x14ac:dyDescent="0.25">
      <c r="A477" t="s">
        <v>3138</v>
      </c>
      <c r="B477" t="s">
        <v>3182</v>
      </c>
      <c r="C477">
        <v>5000</v>
      </c>
      <c r="D477">
        <v>54300000</v>
      </c>
      <c r="E477">
        <v>52100000</v>
      </c>
      <c r="F477" t="s">
        <v>3420</v>
      </c>
      <c r="G477">
        <v>2021</v>
      </c>
      <c r="H477" t="s">
        <v>3183</v>
      </c>
      <c r="I477" t="s">
        <v>3156</v>
      </c>
      <c r="J477" t="s">
        <v>3421</v>
      </c>
      <c r="K477" t="s">
        <v>481</v>
      </c>
    </row>
    <row r="478" spans="1:11" x14ac:dyDescent="0.25">
      <c r="A478" t="s">
        <v>3138</v>
      </c>
      <c r="B478" t="s">
        <v>3182</v>
      </c>
      <c r="C478">
        <v>10000</v>
      </c>
      <c r="D478">
        <v>60400000</v>
      </c>
      <c r="E478">
        <v>57900000</v>
      </c>
      <c r="F478" t="s">
        <v>3420</v>
      </c>
      <c r="G478">
        <v>2021</v>
      </c>
      <c r="H478" t="s">
        <v>3183</v>
      </c>
      <c r="I478" t="s">
        <v>3156</v>
      </c>
      <c r="J478" t="s">
        <v>3421</v>
      </c>
      <c r="K478" t="s">
        <v>481</v>
      </c>
    </row>
    <row r="479" spans="1:11" x14ac:dyDescent="0.25">
      <c r="A479" t="s">
        <v>3138</v>
      </c>
      <c r="B479" t="s">
        <v>3203</v>
      </c>
      <c r="C479">
        <v>2</v>
      </c>
      <c r="D479">
        <v>100000</v>
      </c>
      <c r="E479">
        <v>100000</v>
      </c>
      <c r="F479" t="s">
        <v>3408</v>
      </c>
      <c r="G479">
        <v>2021</v>
      </c>
      <c r="H479" t="s">
        <v>3204</v>
      </c>
      <c r="I479" t="s">
        <v>3156</v>
      </c>
      <c r="J479" t="s">
        <v>3409</v>
      </c>
      <c r="K479" t="s">
        <v>481</v>
      </c>
    </row>
    <row r="480" spans="1:11" x14ac:dyDescent="0.25">
      <c r="A480" t="s">
        <v>3138</v>
      </c>
      <c r="B480" t="s">
        <v>3203</v>
      </c>
      <c r="C480">
        <v>5</v>
      </c>
      <c r="D480">
        <v>200000</v>
      </c>
      <c r="E480">
        <v>200000</v>
      </c>
      <c r="F480" t="s">
        <v>3408</v>
      </c>
      <c r="G480">
        <v>2021</v>
      </c>
      <c r="H480" t="s">
        <v>3204</v>
      </c>
      <c r="I480" t="s">
        <v>3156</v>
      </c>
      <c r="J480" t="s">
        <v>3409</v>
      </c>
      <c r="K480" t="s">
        <v>481</v>
      </c>
    </row>
    <row r="481" spans="1:11" x14ac:dyDescent="0.25">
      <c r="A481" t="s">
        <v>3138</v>
      </c>
      <c r="B481" t="s">
        <v>3203</v>
      </c>
      <c r="C481">
        <v>10</v>
      </c>
      <c r="D481">
        <v>1500000</v>
      </c>
      <c r="E481">
        <v>1500000</v>
      </c>
      <c r="F481" t="s">
        <v>3408</v>
      </c>
      <c r="G481">
        <v>2021</v>
      </c>
      <c r="H481" t="s">
        <v>3204</v>
      </c>
      <c r="I481" t="s">
        <v>3156</v>
      </c>
      <c r="J481" t="s">
        <v>3409</v>
      </c>
      <c r="K481" t="s">
        <v>481</v>
      </c>
    </row>
    <row r="482" spans="1:11" x14ac:dyDescent="0.25">
      <c r="A482" t="s">
        <v>3138</v>
      </c>
      <c r="B482" t="s">
        <v>3203</v>
      </c>
      <c r="C482">
        <v>25</v>
      </c>
      <c r="D482">
        <v>6900000</v>
      </c>
      <c r="E482">
        <v>6600000</v>
      </c>
      <c r="F482" t="s">
        <v>3408</v>
      </c>
      <c r="G482">
        <v>2021</v>
      </c>
      <c r="H482" t="s">
        <v>3204</v>
      </c>
      <c r="I482" t="s">
        <v>3156</v>
      </c>
      <c r="J482" t="s">
        <v>3409</v>
      </c>
      <c r="K482" t="s">
        <v>481</v>
      </c>
    </row>
    <row r="483" spans="1:11" x14ac:dyDescent="0.25">
      <c r="A483" t="s">
        <v>3138</v>
      </c>
      <c r="B483" t="s">
        <v>3203</v>
      </c>
      <c r="C483">
        <v>50</v>
      </c>
      <c r="D483">
        <v>11800000</v>
      </c>
      <c r="E483">
        <v>11400000</v>
      </c>
      <c r="F483" t="s">
        <v>3408</v>
      </c>
      <c r="G483">
        <v>2021</v>
      </c>
      <c r="H483" t="s">
        <v>3204</v>
      </c>
      <c r="I483" t="s">
        <v>3156</v>
      </c>
      <c r="J483" t="s">
        <v>3409</v>
      </c>
      <c r="K483" t="s">
        <v>481</v>
      </c>
    </row>
    <row r="484" spans="1:11" x14ac:dyDescent="0.25">
      <c r="A484" t="s">
        <v>3138</v>
      </c>
      <c r="B484" t="s">
        <v>3203</v>
      </c>
      <c r="C484">
        <v>100</v>
      </c>
      <c r="D484">
        <v>17500000</v>
      </c>
      <c r="E484">
        <v>16800000</v>
      </c>
      <c r="F484" t="s">
        <v>3408</v>
      </c>
      <c r="G484">
        <v>2021</v>
      </c>
      <c r="H484" t="s">
        <v>3204</v>
      </c>
      <c r="I484" t="s">
        <v>3156</v>
      </c>
      <c r="J484" t="s">
        <v>3409</v>
      </c>
      <c r="K484" t="s">
        <v>481</v>
      </c>
    </row>
    <row r="485" spans="1:11" x14ac:dyDescent="0.25">
      <c r="A485" t="s">
        <v>3138</v>
      </c>
      <c r="B485" t="s">
        <v>3203</v>
      </c>
      <c r="C485">
        <v>200</v>
      </c>
      <c r="D485">
        <v>25300000</v>
      </c>
      <c r="E485">
        <v>24300000</v>
      </c>
      <c r="F485" t="s">
        <v>3408</v>
      </c>
      <c r="G485">
        <v>2021</v>
      </c>
      <c r="H485" t="s">
        <v>3204</v>
      </c>
      <c r="I485" t="s">
        <v>3156</v>
      </c>
      <c r="J485" t="s">
        <v>3409</v>
      </c>
      <c r="K485" t="s">
        <v>481</v>
      </c>
    </row>
    <row r="486" spans="1:11" x14ac:dyDescent="0.25">
      <c r="A486" t="s">
        <v>3138</v>
      </c>
      <c r="B486" t="s">
        <v>3203</v>
      </c>
      <c r="C486">
        <v>250</v>
      </c>
      <c r="D486">
        <v>28600000</v>
      </c>
      <c r="E486">
        <v>27500000</v>
      </c>
      <c r="F486" t="s">
        <v>3408</v>
      </c>
      <c r="G486">
        <v>2021</v>
      </c>
      <c r="H486" t="s">
        <v>3204</v>
      </c>
      <c r="I486" t="s">
        <v>3156</v>
      </c>
      <c r="J486" t="s">
        <v>3409</v>
      </c>
      <c r="K486" t="s">
        <v>481</v>
      </c>
    </row>
    <row r="487" spans="1:11" x14ac:dyDescent="0.25">
      <c r="A487" t="s">
        <v>3138</v>
      </c>
      <c r="B487" t="s">
        <v>3203</v>
      </c>
      <c r="C487">
        <v>500</v>
      </c>
      <c r="D487">
        <v>40600000</v>
      </c>
      <c r="E487">
        <v>39600000</v>
      </c>
      <c r="F487" t="s">
        <v>3408</v>
      </c>
      <c r="G487">
        <v>2021</v>
      </c>
      <c r="H487" t="s">
        <v>3204</v>
      </c>
      <c r="I487" t="s">
        <v>3156</v>
      </c>
      <c r="J487" t="s">
        <v>3409</v>
      </c>
      <c r="K487" t="s">
        <v>481</v>
      </c>
    </row>
    <row r="488" spans="1:11" x14ac:dyDescent="0.25">
      <c r="A488" t="s">
        <v>3138</v>
      </c>
      <c r="B488" t="s">
        <v>3203</v>
      </c>
      <c r="C488">
        <v>1000</v>
      </c>
      <c r="D488">
        <v>53900000</v>
      </c>
      <c r="E488">
        <v>52800000</v>
      </c>
      <c r="F488" t="s">
        <v>3408</v>
      </c>
      <c r="G488">
        <v>2021</v>
      </c>
      <c r="H488" t="s">
        <v>3204</v>
      </c>
      <c r="I488" t="s">
        <v>3156</v>
      </c>
      <c r="J488" t="s">
        <v>3409</v>
      </c>
      <c r="K488" t="s">
        <v>481</v>
      </c>
    </row>
    <row r="489" spans="1:11" x14ac:dyDescent="0.25">
      <c r="A489" t="s">
        <v>3138</v>
      </c>
      <c r="B489" t="s">
        <v>3203</v>
      </c>
      <c r="C489">
        <v>5000</v>
      </c>
      <c r="D489">
        <v>83900000</v>
      </c>
      <c r="E489">
        <v>82600000</v>
      </c>
      <c r="F489" t="s">
        <v>3408</v>
      </c>
      <c r="G489">
        <v>2021</v>
      </c>
      <c r="H489" t="s">
        <v>3204</v>
      </c>
      <c r="I489" t="s">
        <v>3156</v>
      </c>
      <c r="J489" t="s">
        <v>3409</v>
      </c>
      <c r="K489" t="s">
        <v>481</v>
      </c>
    </row>
    <row r="490" spans="1:11" x14ac:dyDescent="0.25">
      <c r="A490" t="s">
        <v>3138</v>
      </c>
      <c r="B490" t="s">
        <v>3203</v>
      </c>
      <c r="C490">
        <v>10000</v>
      </c>
      <c r="D490">
        <v>95900000</v>
      </c>
      <c r="E490">
        <v>94500000</v>
      </c>
      <c r="F490" t="s">
        <v>3408</v>
      </c>
      <c r="G490">
        <v>2021</v>
      </c>
      <c r="H490" t="s">
        <v>3204</v>
      </c>
      <c r="I490" t="s">
        <v>3156</v>
      </c>
      <c r="J490" t="s">
        <v>3409</v>
      </c>
      <c r="K490" t="s">
        <v>481</v>
      </c>
    </row>
    <row r="491" spans="1:11" x14ac:dyDescent="0.25">
      <c r="A491" t="s">
        <v>3138</v>
      </c>
      <c r="B491" t="s">
        <v>3185</v>
      </c>
      <c r="C491">
        <v>2</v>
      </c>
      <c r="D491">
        <v>2500000</v>
      </c>
      <c r="E491">
        <v>1200000</v>
      </c>
      <c r="F491" t="s">
        <v>3422</v>
      </c>
      <c r="G491">
        <v>2021</v>
      </c>
      <c r="H491" t="s">
        <v>3186</v>
      </c>
      <c r="I491" t="s">
        <v>3156</v>
      </c>
      <c r="J491" t="s">
        <v>3423</v>
      </c>
      <c r="K491" t="s">
        <v>13</v>
      </c>
    </row>
    <row r="492" spans="1:11" x14ac:dyDescent="0.25">
      <c r="A492" t="s">
        <v>3138</v>
      </c>
      <c r="B492" t="s">
        <v>3185</v>
      </c>
      <c r="C492">
        <v>5</v>
      </c>
      <c r="D492">
        <v>6200000</v>
      </c>
      <c r="E492">
        <v>3900000</v>
      </c>
      <c r="F492" t="s">
        <v>3422</v>
      </c>
      <c r="G492">
        <v>2021</v>
      </c>
      <c r="H492" t="s">
        <v>3186</v>
      </c>
      <c r="I492" t="s">
        <v>3156</v>
      </c>
      <c r="J492" t="s">
        <v>3423</v>
      </c>
      <c r="K492" t="s">
        <v>13</v>
      </c>
    </row>
    <row r="493" spans="1:11" x14ac:dyDescent="0.25">
      <c r="A493" t="s">
        <v>3138</v>
      </c>
      <c r="B493" t="s">
        <v>3185</v>
      </c>
      <c r="C493">
        <v>10</v>
      </c>
      <c r="D493">
        <v>10400000</v>
      </c>
      <c r="E493">
        <v>7500000</v>
      </c>
      <c r="F493" t="s">
        <v>3422</v>
      </c>
      <c r="G493">
        <v>2021</v>
      </c>
      <c r="H493" t="s">
        <v>3186</v>
      </c>
      <c r="I493" t="s">
        <v>3156</v>
      </c>
      <c r="J493" t="s">
        <v>3423</v>
      </c>
      <c r="K493" t="s">
        <v>13</v>
      </c>
    </row>
    <row r="494" spans="1:11" x14ac:dyDescent="0.25">
      <c r="A494" t="s">
        <v>3138</v>
      </c>
      <c r="B494" t="s">
        <v>3185</v>
      </c>
      <c r="C494">
        <v>25</v>
      </c>
      <c r="D494">
        <v>19400000</v>
      </c>
      <c r="E494">
        <v>15800000</v>
      </c>
      <c r="F494" t="s">
        <v>3422</v>
      </c>
      <c r="G494">
        <v>2021</v>
      </c>
      <c r="H494" t="s">
        <v>3186</v>
      </c>
      <c r="I494" t="s">
        <v>3156</v>
      </c>
      <c r="J494" t="s">
        <v>3423</v>
      </c>
      <c r="K494" t="s">
        <v>13</v>
      </c>
    </row>
    <row r="495" spans="1:11" x14ac:dyDescent="0.25">
      <c r="A495" t="s">
        <v>3138</v>
      </c>
      <c r="B495" t="s">
        <v>3185</v>
      </c>
      <c r="C495">
        <v>50</v>
      </c>
      <c r="D495">
        <v>31300000</v>
      </c>
      <c r="E495">
        <v>27400000</v>
      </c>
      <c r="F495" t="s">
        <v>3422</v>
      </c>
      <c r="G495">
        <v>2021</v>
      </c>
      <c r="H495" t="s">
        <v>3186</v>
      </c>
      <c r="I495" t="s">
        <v>3156</v>
      </c>
      <c r="J495" t="s">
        <v>3423</v>
      </c>
      <c r="K495" t="s">
        <v>13</v>
      </c>
    </row>
    <row r="496" spans="1:11" x14ac:dyDescent="0.25">
      <c r="A496" t="s">
        <v>3138</v>
      </c>
      <c r="B496" t="s">
        <v>3185</v>
      </c>
      <c r="C496">
        <v>100</v>
      </c>
      <c r="D496">
        <v>50100000</v>
      </c>
      <c r="E496">
        <v>46000000</v>
      </c>
      <c r="F496" t="s">
        <v>3422</v>
      </c>
      <c r="G496">
        <v>2021</v>
      </c>
      <c r="H496" t="s">
        <v>3186</v>
      </c>
      <c r="I496" t="s">
        <v>3156</v>
      </c>
      <c r="J496" t="s">
        <v>3423</v>
      </c>
      <c r="K496" t="s">
        <v>13</v>
      </c>
    </row>
    <row r="497" spans="1:11" x14ac:dyDescent="0.25">
      <c r="A497" t="s">
        <v>3138</v>
      </c>
      <c r="B497" t="s">
        <v>3185</v>
      </c>
      <c r="C497">
        <v>200</v>
      </c>
      <c r="D497">
        <v>75000000</v>
      </c>
      <c r="E497">
        <v>70700000</v>
      </c>
      <c r="F497" t="s">
        <v>3422</v>
      </c>
      <c r="G497">
        <v>2021</v>
      </c>
      <c r="H497" t="s">
        <v>3186</v>
      </c>
      <c r="I497" t="s">
        <v>3156</v>
      </c>
      <c r="J497" t="s">
        <v>3423</v>
      </c>
      <c r="K497" t="s">
        <v>13</v>
      </c>
    </row>
    <row r="498" spans="1:11" x14ac:dyDescent="0.25">
      <c r="A498" t="s">
        <v>3138</v>
      </c>
      <c r="B498" t="s">
        <v>3185</v>
      </c>
      <c r="C498">
        <v>250</v>
      </c>
      <c r="D498">
        <v>83900000</v>
      </c>
      <c r="E498">
        <v>79500000</v>
      </c>
      <c r="F498" t="s">
        <v>3422</v>
      </c>
      <c r="G498">
        <v>2021</v>
      </c>
      <c r="H498" t="s">
        <v>3186</v>
      </c>
      <c r="I498" t="s">
        <v>3156</v>
      </c>
      <c r="J498" t="s">
        <v>3423</v>
      </c>
      <c r="K498" t="s">
        <v>13</v>
      </c>
    </row>
    <row r="499" spans="1:11" x14ac:dyDescent="0.25">
      <c r="A499" t="s">
        <v>3138</v>
      </c>
      <c r="B499" t="s">
        <v>3185</v>
      </c>
      <c r="C499">
        <v>500</v>
      </c>
      <c r="D499">
        <v>112400000</v>
      </c>
      <c r="E499">
        <v>107700000</v>
      </c>
      <c r="F499" t="s">
        <v>3422</v>
      </c>
      <c r="G499">
        <v>2021</v>
      </c>
      <c r="H499" t="s">
        <v>3186</v>
      </c>
      <c r="I499" t="s">
        <v>3156</v>
      </c>
      <c r="J499" t="s">
        <v>3423</v>
      </c>
      <c r="K499" t="s">
        <v>13</v>
      </c>
    </row>
    <row r="500" spans="1:11" x14ac:dyDescent="0.25">
      <c r="A500" t="s">
        <v>3138</v>
      </c>
      <c r="B500" t="s">
        <v>3185</v>
      </c>
      <c r="C500">
        <v>1000</v>
      </c>
      <c r="D500">
        <v>140600000</v>
      </c>
      <c r="E500">
        <v>135500000</v>
      </c>
      <c r="F500" t="s">
        <v>3422</v>
      </c>
      <c r="G500">
        <v>2021</v>
      </c>
      <c r="H500" t="s">
        <v>3186</v>
      </c>
      <c r="I500" t="s">
        <v>3156</v>
      </c>
      <c r="J500" t="s">
        <v>3423</v>
      </c>
      <c r="K500" t="s">
        <v>13</v>
      </c>
    </row>
    <row r="501" spans="1:11" x14ac:dyDescent="0.25">
      <c r="A501" t="s">
        <v>3138</v>
      </c>
      <c r="B501" t="s">
        <v>3185</v>
      </c>
      <c r="C501">
        <v>5000</v>
      </c>
      <c r="D501">
        <v>204200000</v>
      </c>
      <c r="E501">
        <v>198100000</v>
      </c>
      <c r="F501" t="s">
        <v>3422</v>
      </c>
      <c r="G501">
        <v>2021</v>
      </c>
      <c r="H501" t="s">
        <v>3186</v>
      </c>
      <c r="I501" t="s">
        <v>3156</v>
      </c>
      <c r="J501" t="s">
        <v>3423</v>
      </c>
      <c r="K501" t="s">
        <v>13</v>
      </c>
    </row>
    <row r="502" spans="1:11" x14ac:dyDescent="0.25">
      <c r="A502" t="s">
        <v>3138</v>
      </c>
      <c r="B502" t="s">
        <v>3185</v>
      </c>
      <c r="C502">
        <v>10000</v>
      </c>
      <c r="D502">
        <v>230300000</v>
      </c>
      <c r="E502">
        <v>223700000</v>
      </c>
      <c r="F502" t="s">
        <v>3422</v>
      </c>
      <c r="G502">
        <v>2021</v>
      </c>
      <c r="H502" t="s">
        <v>3186</v>
      </c>
      <c r="I502" t="s">
        <v>3156</v>
      </c>
      <c r="J502" t="s">
        <v>3423</v>
      </c>
      <c r="K502" t="s">
        <v>13</v>
      </c>
    </row>
    <row r="503" spans="1:11" x14ac:dyDescent="0.25">
      <c r="A503" t="s">
        <v>3138</v>
      </c>
      <c r="B503" t="s">
        <v>3198</v>
      </c>
      <c r="C503">
        <v>2</v>
      </c>
      <c r="D503">
        <v>11300000</v>
      </c>
      <c r="E503">
        <v>6700000</v>
      </c>
      <c r="F503" t="s">
        <v>3414</v>
      </c>
      <c r="G503">
        <v>2021</v>
      </c>
      <c r="H503" t="s">
        <v>3199</v>
      </c>
      <c r="I503" t="s">
        <v>3156</v>
      </c>
      <c r="J503" t="s">
        <v>3415</v>
      </c>
      <c r="K503" t="s">
        <v>564</v>
      </c>
    </row>
    <row r="504" spans="1:11" x14ac:dyDescent="0.25">
      <c r="A504" t="s">
        <v>3138</v>
      </c>
      <c r="B504" t="s">
        <v>3198</v>
      </c>
      <c r="C504">
        <v>5</v>
      </c>
      <c r="D504">
        <v>39900000</v>
      </c>
      <c r="E504">
        <v>26400000</v>
      </c>
      <c r="F504" t="s">
        <v>3414</v>
      </c>
      <c r="G504">
        <v>2021</v>
      </c>
      <c r="H504" t="s">
        <v>3199</v>
      </c>
      <c r="I504" t="s">
        <v>3156</v>
      </c>
      <c r="J504" t="s">
        <v>3415</v>
      </c>
      <c r="K504" t="s">
        <v>564</v>
      </c>
    </row>
    <row r="505" spans="1:11" x14ac:dyDescent="0.25">
      <c r="A505" t="s">
        <v>3138</v>
      </c>
      <c r="B505" t="s">
        <v>3198</v>
      </c>
      <c r="C505">
        <v>10</v>
      </c>
      <c r="D505">
        <v>72800000</v>
      </c>
      <c r="E505">
        <v>51400000</v>
      </c>
      <c r="F505" t="s">
        <v>3414</v>
      </c>
      <c r="G505">
        <v>2021</v>
      </c>
      <c r="H505" t="s">
        <v>3199</v>
      </c>
      <c r="I505" t="s">
        <v>3156</v>
      </c>
      <c r="J505" t="s">
        <v>3415</v>
      </c>
      <c r="K505" t="s">
        <v>564</v>
      </c>
    </row>
    <row r="506" spans="1:11" x14ac:dyDescent="0.25">
      <c r="A506" t="s">
        <v>3138</v>
      </c>
      <c r="B506" t="s">
        <v>3198</v>
      </c>
      <c r="C506">
        <v>25</v>
      </c>
      <c r="D506">
        <v>130500000</v>
      </c>
      <c r="E506">
        <v>99100000</v>
      </c>
      <c r="F506" t="s">
        <v>3414</v>
      </c>
      <c r="G506">
        <v>2021</v>
      </c>
      <c r="H506" t="s">
        <v>3199</v>
      </c>
      <c r="I506" t="s">
        <v>3156</v>
      </c>
      <c r="J506" t="s">
        <v>3415</v>
      </c>
      <c r="K506" t="s">
        <v>564</v>
      </c>
    </row>
    <row r="507" spans="1:11" x14ac:dyDescent="0.25">
      <c r="A507" t="s">
        <v>3138</v>
      </c>
      <c r="B507" t="s">
        <v>3198</v>
      </c>
      <c r="C507">
        <v>50</v>
      </c>
      <c r="D507">
        <v>184700000</v>
      </c>
      <c r="E507">
        <v>146000000</v>
      </c>
      <c r="F507" t="s">
        <v>3414</v>
      </c>
      <c r="G507">
        <v>2021</v>
      </c>
      <c r="H507" t="s">
        <v>3199</v>
      </c>
      <c r="I507" t="s">
        <v>3156</v>
      </c>
      <c r="J507" t="s">
        <v>3415</v>
      </c>
      <c r="K507" t="s">
        <v>564</v>
      </c>
    </row>
    <row r="508" spans="1:11" x14ac:dyDescent="0.25">
      <c r="A508" t="s">
        <v>3138</v>
      </c>
      <c r="B508" t="s">
        <v>3198</v>
      </c>
      <c r="C508">
        <v>100</v>
      </c>
      <c r="D508">
        <v>243300000</v>
      </c>
      <c r="E508">
        <v>194800000</v>
      </c>
      <c r="F508" t="s">
        <v>3414</v>
      </c>
      <c r="G508">
        <v>2021</v>
      </c>
      <c r="H508" t="s">
        <v>3199</v>
      </c>
      <c r="I508" t="s">
        <v>3156</v>
      </c>
      <c r="J508" t="s">
        <v>3415</v>
      </c>
      <c r="K508" t="s">
        <v>564</v>
      </c>
    </row>
    <row r="509" spans="1:11" x14ac:dyDescent="0.25">
      <c r="A509" t="s">
        <v>3138</v>
      </c>
      <c r="B509" t="s">
        <v>3198</v>
      </c>
      <c r="C509">
        <v>200</v>
      </c>
      <c r="D509">
        <v>306900000</v>
      </c>
      <c r="E509">
        <v>249700000</v>
      </c>
      <c r="F509" t="s">
        <v>3414</v>
      </c>
      <c r="G509">
        <v>2021</v>
      </c>
      <c r="H509" t="s">
        <v>3199</v>
      </c>
      <c r="I509" t="s">
        <v>3156</v>
      </c>
      <c r="J509" t="s">
        <v>3415</v>
      </c>
      <c r="K509" t="s">
        <v>564</v>
      </c>
    </row>
    <row r="510" spans="1:11" x14ac:dyDescent="0.25">
      <c r="A510" t="s">
        <v>3138</v>
      </c>
      <c r="B510" t="s">
        <v>3198</v>
      </c>
      <c r="C510">
        <v>250</v>
      </c>
      <c r="D510">
        <v>327700000</v>
      </c>
      <c r="E510">
        <v>269300000</v>
      </c>
      <c r="F510" t="s">
        <v>3414</v>
      </c>
      <c r="G510">
        <v>2021</v>
      </c>
      <c r="H510" t="s">
        <v>3199</v>
      </c>
      <c r="I510" t="s">
        <v>3156</v>
      </c>
      <c r="J510" t="s">
        <v>3415</v>
      </c>
      <c r="K510" t="s">
        <v>564</v>
      </c>
    </row>
    <row r="511" spans="1:11" x14ac:dyDescent="0.25">
      <c r="A511" t="s">
        <v>3138</v>
      </c>
      <c r="B511" t="s">
        <v>3198</v>
      </c>
      <c r="C511">
        <v>500</v>
      </c>
      <c r="D511">
        <v>402400000</v>
      </c>
      <c r="E511">
        <v>333300000</v>
      </c>
      <c r="F511" t="s">
        <v>3414</v>
      </c>
      <c r="G511">
        <v>2021</v>
      </c>
      <c r="H511" t="s">
        <v>3199</v>
      </c>
      <c r="I511" t="s">
        <v>3156</v>
      </c>
      <c r="J511" t="s">
        <v>3415</v>
      </c>
      <c r="K511" t="s">
        <v>564</v>
      </c>
    </row>
    <row r="512" spans="1:11" x14ac:dyDescent="0.25">
      <c r="A512" t="s">
        <v>3138</v>
      </c>
      <c r="B512" t="s">
        <v>3198</v>
      </c>
      <c r="C512">
        <v>1000</v>
      </c>
      <c r="D512">
        <v>489800000</v>
      </c>
      <c r="E512">
        <v>404700000</v>
      </c>
      <c r="F512" t="s">
        <v>3414</v>
      </c>
      <c r="G512">
        <v>2021</v>
      </c>
      <c r="H512" t="s">
        <v>3199</v>
      </c>
      <c r="I512" t="s">
        <v>3156</v>
      </c>
      <c r="J512" t="s">
        <v>3415</v>
      </c>
      <c r="K512" t="s">
        <v>564</v>
      </c>
    </row>
    <row r="513" spans="1:11" x14ac:dyDescent="0.25">
      <c r="A513" t="s">
        <v>3138</v>
      </c>
      <c r="B513" t="s">
        <v>3198</v>
      </c>
      <c r="C513">
        <v>2000</v>
      </c>
      <c r="D513">
        <v>585800000</v>
      </c>
      <c r="E513">
        <v>488600000</v>
      </c>
      <c r="F513" t="s">
        <v>3414</v>
      </c>
      <c r="G513">
        <v>2021</v>
      </c>
      <c r="H513" t="s">
        <v>3199</v>
      </c>
      <c r="I513" t="s">
        <v>3156</v>
      </c>
      <c r="J513" t="s">
        <v>3415</v>
      </c>
      <c r="K513" t="s">
        <v>564</v>
      </c>
    </row>
    <row r="514" spans="1:11" x14ac:dyDescent="0.25">
      <c r="A514" t="s">
        <v>3138</v>
      </c>
      <c r="B514" t="s">
        <v>3198</v>
      </c>
      <c r="C514">
        <v>5000</v>
      </c>
      <c r="D514">
        <v>698200000</v>
      </c>
      <c r="E514">
        <v>630600000</v>
      </c>
      <c r="F514" t="s">
        <v>3414</v>
      </c>
      <c r="G514">
        <v>2021</v>
      </c>
      <c r="H514" t="s">
        <v>3199</v>
      </c>
      <c r="I514" t="s">
        <v>3156</v>
      </c>
      <c r="J514" t="s">
        <v>3415</v>
      </c>
      <c r="K514" t="s">
        <v>564</v>
      </c>
    </row>
    <row r="515" spans="1:11" x14ac:dyDescent="0.25">
      <c r="A515" t="s">
        <v>3138</v>
      </c>
      <c r="B515" t="s">
        <v>3206</v>
      </c>
      <c r="C515">
        <v>2</v>
      </c>
      <c r="D515">
        <v>200000</v>
      </c>
      <c r="E515">
        <v>200000</v>
      </c>
      <c r="F515" t="s">
        <v>3544</v>
      </c>
      <c r="G515">
        <v>2021</v>
      </c>
      <c r="H515" t="s">
        <v>3207</v>
      </c>
      <c r="I515" t="s">
        <v>3156</v>
      </c>
      <c r="J515" t="s">
        <v>3545</v>
      </c>
      <c r="K515" t="s">
        <v>13</v>
      </c>
    </row>
    <row r="516" spans="1:11" x14ac:dyDescent="0.25">
      <c r="A516" t="s">
        <v>3138</v>
      </c>
      <c r="B516" t="s">
        <v>3206</v>
      </c>
      <c r="C516">
        <v>5</v>
      </c>
      <c r="D516">
        <v>1200000</v>
      </c>
      <c r="E516">
        <v>800000</v>
      </c>
      <c r="F516" t="s">
        <v>3544</v>
      </c>
      <c r="G516">
        <v>2021</v>
      </c>
      <c r="H516" t="s">
        <v>3207</v>
      </c>
      <c r="I516" t="s">
        <v>3156</v>
      </c>
      <c r="J516" t="s">
        <v>3545</v>
      </c>
      <c r="K516" t="s">
        <v>13</v>
      </c>
    </row>
    <row r="517" spans="1:11" x14ac:dyDescent="0.25">
      <c r="A517" t="s">
        <v>3138</v>
      </c>
      <c r="B517" t="s">
        <v>3206</v>
      </c>
      <c r="C517">
        <v>10</v>
      </c>
      <c r="D517">
        <v>2900000</v>
      </c>
      <c r="E517">
        <v>1800000</v>
      </c>
      <c r="F517" t="s">
        <v>3544</v>
      </c>
      <c r="G517">
        <v>2021</v>
      </c>
      <c r="H517" t="s">
        <v>3207</v>
      </c>
      <c r="I517" t="s">
        <v>3156</v>
      </c>
      <c r="J517" t="s">
        <v>3545</v>
      </c>
      <c r="K517" t="s">
        <v>13</v>
      </c>
    </row>
    <row r="518" spans="1:11" x14ac:dyDescent="0.25">
      <c r="A518" t="s">
        <v>3138</v>
      </c>
      <c r="B518" t="s">
        <v>3206</v>
      </c>
      <c r="C518">
        <v>25</v>
      </c>
      <c r="D518">
        <v>7200000</v>
      </c>
      <c r="E518">
        <v>4700000</v>
      </c>
      <c r="F518" t="s">
        <v>3544</v>
      </c>
      <c r="G518">
        <v>2021</v>
      </c>
      <c r="H518" t="s">
        <v>3207</v>
      </c>
      <c r="I518" t="s">
        <v>3156</v>
      </c>
      <c r="J518" t="s">
        <v>3545</v>
      </c>
      <c r="K518" t="s">
        <v>13</v>
      </c>
    </row>
    <row r="519" spans="1:11" x14ac:dyDescent="0.25">
      <c r="A519" t="s">
        <v>3138</v>
      </c>
      <c r="B519" t="s">
        <v>3206</v>
      </c>
      <c r="C519">
        <v>50</v>
      </c>
      <c r="D519">
        <v>13200000</v>
      </c>
      <c r="E519">
        <v>8200000</v>
      </c>
      <c r="F519" t="s">
        <v>3544</v>
      </c>
      <c r="G519">
        <v>2021</v>
      </c>
      <c r="H519" t="s">
        <v>3207</v>
      </c>
      <c r="I519" t="s">
        <v>3156</v>
      </c>
      <c r="J519" t="s">
        <v>3545</v>
      </c>
      <c r="K519" t="s">
        <v>13</v>
      </c>
    </row>
    <row r="520" spans="1:11" x14ac:dyDescent="0.25">
      <c r="A520" t="s">
        <v>3138</v>
      </c>
      <c r="B520" t="s">
        <v>3206</v>
      </c>
      <c r="C520">
        <v>100</v>
      </c>
      <c r="D520">
        <v>21600000</v>
      </c>
      <c r="E520">
        <v>14200000</v>
      </c>
      <c r="F520" t="s">
        <v>3544</v>
      </c>
      <c r="G520">
        <v>2021</v>
      </c>
      <c r="H520" t="s">
        <v>3207</v>
      </c>
      <c r="I520" t="s">
        <v>3156</v>
      </c>
      <c r="J520" t="s">
        <v>3545</v>
      </c>
      <c r="K520" t="s">
        <v>13</v>
      </c>
    </row>
    <row r="521" spans="1:11" x14ac:dyDescent="0.25">
      <c r="A521" t="s">
        <v>3138</v>
      </c>
      <c r="B521" t="s">
        <v>3206</v>
      </c>
      <c r="C521">
        <v>200</v>
      </c>
      <c r="D521">
        <v>34800000</v>
      </c>
      <c r="E521">
        <v>21900000</v>
      </c>
      <c r="F521" t="s">
        <v>3544</v>
      </c>
      <c r="G521">
        <v>2021</v>
      </c>
      <c r="H521" t="s">
        <v>3207</v>
      </c>
      <c r="I521" t="s">
        <v>3156</v>
      </c>
      <c r="J521" t="s">
        <v>3545</v>
      </c>
      <c r="K521" t="s">
        <v>13</v>
      </c>
    </row>
    <row r="522" spans="1:11" x14ac:dyDescent="0.25">
      <c r="A522" t="s">
        <v>3138</v>
      </c>
      <c r="B522" t="s">
        <v>3206</v>
      </c>
      <c r="C522">
        <v>250</v>
      </c>
      <c r="D522">
        <v>37800000</v>
      </c>
      <c r="E522">
        <v>24400000</v>
      </c>
      <c r="F522" t="s">
        <v>3544</v>
      </c>
      <c r="G522">
        <v>2021</v>
      </c>
      <c r="H522" t="s">
        <v>3207</v>
      </c>
      <c r="I522" t="s">
        <v>3156</v>
      </c>
      <c r="J522" t="s">
        <v>3545</v>
      </c>
      <c r="K522" t="s">
        <v>13</v>
      </c>
    </row>
    <row r="523" spans="1:11" x14ac:dyDescent="0.25">
      <c r="A523" t="s">
        <v>3138</v>
      </c>
      <c r="B523" t="s">
        <v>3206</v>
      </c>
      <c r="C523">
        <v>500</v>
      </c>
      <c r="D523">
        <v>50300000</v>
      </c>
      <c r="E523">
        <v>32800000</v>
      </c>
      <c r="F523" t="s">
        <v>3544</v>
      </c>
      <c r="G523">
        <v>2021</v>
      </c>
      <c r="H523" t="s">
        <v>3207</v>
      </c>
      <c r="I523" t="s">
        <v>3156</v>
      </c>
      <c r="J523" t="s">
        <v>3545</v>
      </c>
      <c r="K523" t="s">
        <v>13</v>
      </c>
    </row>
    <row r="524" spans="1:11" x14ac:dyDescent="0.25">
      <c r="A524" t="s">
        <v>3138</v>
      </c>
      <c r="B524" t="s">
        <v>3206</v>
      </c>
      <c r="C524">
        <v>1000</v>
      </c>
      <c r="D524">
        <v>68400000</v>
      </c>
      <c r="E524">
        <v>38800000</v>
      </c>
      <c r="F524" t="s">
        <v>3544</v>
      </c>
      <c r="G524">
        <v>2021</v>
      </c>
      <c r="H524" t="s">
        <v>3207</v>
      </c>
      <c r="I524" t="s">
        <v>3156</v>
      </c>
      <c r="J524" t="s">
        <v>3545</v>
      </c>
      <c r="K524" t="s">
        <v>13</v>
      </c>
    </row>
    <row r="525" spans="1:11" x14ac:dyDescent="0.25">
      <c r="A525" t="s">
        <v>3138</v>
      </c>
      <c r="B525" t="s">
        <v>3206</v>
      </c>
      <c r="C525">
        <v>2000</v>
      </c>
      <c r="D525">
        <v>76900000</v>
      </c>
      <c r="E525">
        <v>45400000</v>
      </c>
      <c r="F525" t="s">
        <v>3544</v>
      </c>
      <c r="G525">
        <v>2021</v>
      </c>
      <c r="H525" t="s">
        <v>3207</v>
      </c>
      <c r="I525" t="s">
        <v>3156</v>
      </c>
      <c r="J525" t="s">
        <v>3545</v>
      </c>
      <c r="K525" t="s">
        <v>13</v>
      </c>
    </row>
    <row r="526" spans="1:11" x14ac:dyDescent="0.25">
      <c r="A526" t="s">
        <v>3138</v>
      </c>
      <c r="B526" t="s">
        <v>3206</v>
      </c>
      <c r="C526">
        <v>5000</v>
      </c>
      <c r="D526">
        <v>100000000</v>
      </c>
      <c r="E526">
        <v>59200000</v>
      </c>
      <c r="F526" t="s">
        <v>3544</v>
      </c>
      <c r="G526">
        <v>2021</v>
      </c>
      <c r="H526" t="s">
        <v>3207</v>
      </c>
      <c r="I526" t="s">
        <v>3156</v>
      </c>
      <c r="J526" t="s">
        <v>3545</v>
      </c>
      <c r="K526" t="s">
        <v>13</v>
      </c>
    </row>
    <row r="527" spans="1:11" x14ac:dyDescent="0.25">
      <c r="A527" t="s">
        <v>3138</v>
      </c>
      <c r="B527" t="s">
        <v>3188</v>
      </c>
      <c r="C527">
        <v>2</v>
      </c>
      <c r="D527">
        <v>7500000</v>
      </c>
      <c r="E527">
        <v>6400000</v>
      </c>
      <c r="F527" t="s">
        <v>3384</v>
      </c>
      <c r="G527">
        <v>2020</v>
      </c>
      <c r="H527" t="s">
        <v>3189</v>
      </c>
      <c r="I527" t="s">
        <v>3154</v>
      </c>
      <c r="J527" t="s">
        <v>3385</v>
      </c>
      <c r="K527" t="s">
        <v>564</v>
      </c>
    </row>
    <row r="528" spans="1:11" x14ac:dyDescent="0.25">
      <c r="A528" t="s">
        <v>3138</v>
      </c>
      <c r="B528" t="s">
        <v>3188</v>
      </c>
      <c r="C528">
        <v>5</v>
      </c>
      <c r="D528">
        <v>66700000</v>
      </c>
      <c r="E528">
        <v>56400000</v>
      </c>
      <c r="F528" t="s">
        <v>3384</v>
      </c>
      <c r="G528">
        <v>2020</v>
      </c>
      <c r="H528" t="s">
        <v>3189</v>
      </c>
      <c r="I528" t="s">
        <v>3154</v>
      </c>
      <c r="J528" t="s">
        <v>3385</v>
      </c>
      <c r="K528" t="s">
        <v>564</v>
      </c>
    </row>
    <row r="529" spans="1:11" x14ac:dyDescent="0.25">
      <c r="A529" t="s">
        <v>3138</v>
      </c>
      <c r="B529" t="s">
        <v>3188</v>
      </c>
      <c r="C529">
        <v>10</v>
      </c>
      <c r="D529">
        <v>145600000</v>
      </c>
      <c r="E529">
        <v>125200000</v>
      </c>
      <c r="F529" t="s">
        <v>3384</v>
      </c>
      <c r="G529">
        <v>2020</v>
      </c>
      <c r="H529" t="s">
        <v>3189</v>
      </c>
      <c r="I529" t="s">
        <v>3154</v>
      </c>
      <c r="J529" t="s">
        <v>3385</v>
      </c>
      <c r="K529" t="s">
        <v>564</v>
      </c>
    </row>
    <row r="530" spans="1:11" x14ac:dyDescent="0.25">
      <c r="A530" t="s">
        <v>3138</v>
      </c>
      <c r="B530" t="s">
        <v>3188</v>
      </c>
      <c r="C530">
        <v>25</v>
      </c>
      <c r="D530">
        <v>276700000</v>
      </c>
      <c r="E530">
        <v>241700000</v>
      </c>
      <c r="F530" t="s">
        <v>3384</v>
      </c>
      <c r="G530">
        <v>2020</v>
      </c>
      <c r="H530" t="s">
        <v>3189</v>
      </c>
      <c r="I530" t="s">
        <v>3154</v>
      </c>
      <c r="J530" t="s">
        <v>3385</v>
      </c>
      <c r="K530" t="s">
        <v>564</v>
      </c>
    </row>
    <row r="531" spans="1:11" x14ac:dyDescent="0.25">
      <c r="A531" t="s">
        <v>3138</v>
      </c>
      <c r="B531" t="s">
        <v>3188</v>
      </c>
      <c r="C531">
        <v>50</v>
      </c>
      <c r="D531">
        <v>394100000</v>
      </c>
      <c r="E531">
        <v>347700000</v>
      </c>
      <c r="F531" t="s">
        <v>3384</v>
      </c>
      <c r="G531">
        <v>2020</v>
      </c>
      <c r="H531" t="s">
        <v>3189</v>
      </c>
      <c r="I531" t="s">
        <v>3154</v>
      </c>
      <c r="J531" t="s">
        <v>3385</v>
      </c>
      <c r="K531" t="s">
        <v>564</v>
      </c>
    </row>
    <row r="532" spans="1:11" x14ac:dyDescent="0.25">
      <c r="A532" t="s">
        <v>3138</v>
      </c>
      <c r="B532" t="s">
        <v>3188</v>
      </c>
      <c r="C532">
        <v>100</v>
      </c>
      <c r="D532">
        <v>529700000</v>
      </c>
      <c r="E532">
        <v>473900000</v>
      </c>
      <c r="F532" t="s">
        <v>3384</v>
      </c>
      <c r="G532">
        <v>2020</v>
      </c>
      <c r="H532" t="s">
        <v>3189</v>
      </c>
      <c r="I532" t="s">
        <v>3154</v>
      </c>
      <c r="J532" t="s">
        <v>3385</v>
      </c>
      <c r="K532" t="s">
        <v>564</v>
      </c>
    </row>
    <row r="533" spans="1:11" x14ac:dyDescent="0.25">
      <c r="A533" t="s">
        <v>3138</v>
      </c>
      <c r="B533" t="s">
        <v>3188</v>
      </c>
      <c r="C533">
        <v>200</v>
      </c>
      <c r="D533">
        <v>686300000</v>
      </c>
      <c r="E533">
        <v>622700000</v>
      </c>
      <c r="F533" t="s">
        <v>3384</v>
      </c>
      <c r="G533">
        <v>2020</v>
      </c>
      <c r="H533" t="s">
        <v>3189</v>
      </c>
      <c r="I533" t="s">
        <v>3154</v>
      </c>
      <c r="J533" t="s">
        <v>3385</v>
      </c>
      <c r="K533" t="s">
        <v>564</v>
      </c>
    </row>
    <row r="534" spans="1:11" x14ac:dyDescent="0.25">
      <c r="A534" t="s">
        <v>3138</v>
      </c>
      <c r="B534" t="s">
        <v>3188</v>
      </c>
      <c r="C534">
        <v>250</v>
      </c>
      <c r="D534">
        <v>742200000</v>
      </c>
      <c r="E534">
        <v>676500000</v>
      </c>
      <c r="F534" t="s">
        <v>3384</v>
      </c>
      <c r="G534">
        <v>2020</v>
      </c>
      <c r="H534" t="s">
        <v>3189</v>
      </c>
      <c r="I534" t="s">
        <v>3154</v>
      </c>
      <c r="J534" t="s">
        <v>3385</v>
      </c>
      <c r="K534" t="s">
        <v>564</v>
      </c>
    </row>
    <row r="535" spans="1:11" x14ac:dyDescent="0.25">
      <c r="A535" t="s">
        <v>3138</v>
      </c>
      <c r="B535" t="s">
        <v>3188</v>
      </c>
      <c r="C535">
        <v>500</v>
      </c>
      <c r="D535">
        <v>936700000</v>
      </c>
      <c r="E535">
        <v>867000000</v>
      </c>
      <c r="F535" t="s">
        <v>3384</v>
      </c>
      <c r="G535">
        <v>2020</v>
      </c>
      <c r="H535" t="s">
        <v>3189</v>
      </c>
      <c r="I535" t="s">
        <v>3154</v>
      </c>
      <c r="J535" t="s">
        <v>3385</v>
      </c>
      <c r="K535" t="s">
        <v>564</v>
      </c>
    </row>
    <row r="536" spans="1:11" x14ac:dyDescent="0.25">
      <c r="A536" t="s">
        <v>3138</v>
      </c>
      <c r="B536" t="s">
        <v>3188</v>
      </c>
      <c r="C536">
        <v>1000</v>
      </c>
      <c r="D536">
        <v>1165300000</v>
      </c>
      <c r="E536">
        <v>1094400000</v>
      </c>
      <c r="F536" t="s">
        <v>3384</v>
      </c>
      <c r="G536">
        <v>2020</v>
      </c>
      <c r="H536" t="s">
        <v>3189</v>
      </c>
      <c r="I536" t="s">
        <v>3154</v>
      </c>
      <c r="J536" t="s">
        <v>3385</v>
      </c>
      <c r="K536" t="s">
        <v>564</v>
      </c>
    </row>
    <row r="537" spans="1:11" x14ac:dyDescent="0.25">
      <c r="A537" t="s">
        <v>3138</v>
      </c>
      <c r="B537" t="s">
        <v>3188</v>
      </c>
      <c r="C537">
        <v>2000</v>
      </c>
      <c r="D537">
        <v>1426200000</v>
      </c>
      <c r="E537">
        <v>1355900000</v>
      </c>
      <c r="F537" t="s">
        <v>3384</v>
      </c>
      <c r="G537">
        <v>2020</v>
      </c>
      <c r="H537" t="s">
        <v>3189</v>
      </c>
      <c r="I537" t="s">
        <v>3154</v>
      </c>
      <c r="J537" t="s">
        <v>3385</v>
      </c>
      <c r="K537" t="s">
        <v>564</v>
      </c>
    </row>
    <row r="538" spans="1:11" x14ac:dyDescent="0.25">
      <c r="A538" t="s">
        <v>3138</v>
      </c>
      <c r="B538" t="s">
        <v>3188</v>
      </c>
      <c r="C538">
        <v>4000</v>
      </c>
      <c r="D538">
        <v>1714500000</v>
      </c>
      <c r="E538">
        <v>1645200000</v>
      </c>
      <c r="F538" t="s">
        <v>3384</v>
      </c>
      <c r="G538">
        <v>2020</v>
      </c>
      <c r="H538" t="s">
        <v>3189</v>
      </c>
      <c r="I538" t="s">
        <v>3154</v>
      </c>
      <c r="J538" t="s">
        <v>3385</v>
      </c>
      <c r="K538" t="s">
        <v>564</v>
      </c>
    </row>
    <row r="539" spans="1:11" x14ac:dyDescent="0.25">
      <c r="A539" t="s">
        <v>3138</v>
      </c>
      <c r="B539" t="s">
        <v>3171</v>
      </c>
      <c r="C539">
        <v>2</v>
      </c>
      <c r="D539">
        <v>37100000</v>
      </c>
      <c r="E539">
        <v>11700000</v>
      </c>
      <c r="F539" t="s">
        <v>3366</v>
      </c>
      <c r="G539">
        <v>2020</v>
      </c>
      <c r="H539" t="s">
        <v>3172</v>
      </c>
      <c r="I539" t="s">
        <v>3154</v>
      </c>
      <c r="J539" t="s">
        <v>3367</v>
      </c>
      <c r="K539" t="s">
        <v>564</v>
      </c>
    </row>
    <row r="540" spans="1:11" x14ac:dyDescent="0.25">
      <c r="A540" t="s">
        <v>3138</v>
      </c>
      <c r="B540" t="s">
        <v>3171</v>
      </c>
      <c r="C540">
        <v>5</v>
      </c>
      <c r="D540">
        <v>60700000</v>
      </c>
      <c r="E540">
        <v>24900000</v>
      </c>
      <c r="F540" t="s">
        <v>3366</v>
      </c>
      <c r="G540">
        <v>2020</v>
      </c>
      <c r="H540" t="s">
        <v>3172</v>
      </c>
      <c r="I540" t="s">
        <v>3154</v>
      </c>
      <c r="J540" t="s">
        <v>3367</v>
      </c>
      <c r="K540" t="s">
        <v>564</v>
      </c>
    </row>
    <row r="541" spans="1:11" x14ac:dyDescent="0.25">
      <c r="A541" t="s">
        <v>3138</v>
      </c>
      <c r="B541" t="s">
        <v>3171</v>
      </c>
      <c r="C541">
        <v>10</v>
      </c>
      <c r="D541">
        <v>78600000</v>
      </c>
      <c r="E541">
        <v>36900000</v>
      </c>
      <c r="F541" t="s">
        <v>3366</v>
      </c>
      <c r="G541">
        <v>2020</v>
      </c>
      <c r="H541" t="s">
        <v>3172</v>
      </c>
      <c r="I541" t="s">
        <v>3154</v>
      </c>
      <c r="J541" t="s">
        <v>3367</v>
      </c>
      <c r="K541" t="s">
        <v>564</v>
      </c>
    </row>
    <row r="542" spans="1:11" x14ac:dyDescent="0.25">
      <c r="A542" t="s">
        <v>3138</v>
      </c>
      <c r="B542" t="s">
        <v>3171</v>
      </c>
      <c r="C542">
        <v>25</v>
      </c>
      <c r="D542">
        <v>104400000</v>
      </c>
      <c r="E542">
        <v>56400000</v>
      </c>
      <c r="F542" t="s">
        <v>3366</v>
      </c>
      <c r="G542">
        <v>2020</v>
      </c>
      <c r="H542" t="s">
        <v>3172</v>
      </c>
      <c r="I542" t="s">
        <v>3154</v>
      </c>
      <c r="J542" t="s">
        <v>3367</v>
      </c>
      <c r="K542" t="s">
        <v>564</v>
      </c>
    </row>
    <row r="543" spans="1:11" x14ac:dyDescent="0.25">
      <c r="A543" t="s">
        <v>3138</v>
      </c>
      <c r="B543" t="s">
        <v>3171</v>
      </c>
      <c r="C543">
        <v>50</v>
      </c>
      <c r="D543">
        <v>126700000</v>
      </c>
      <c r="E543">
        <v>75300000</v>
      </c>
      <c r="F543" t="s">
        <v>3366</v>
      </c>
      <c r="G543">
        <v>2020</v>
      </c>
      <c r="H543" t="s">
        <v>3172</v>
      </c>
      <c r="I543" t="s">
        <v>3154</v>
      </c>
      <c r="J543" t="s">
        <v>3367</v>
      </c>
      <c r="K543" t="s">
        <v>564</v>
      </c>
    </row>
    <row r="544" spans="1:11" x14ac:dyDescent="0.25">
      <c r="A544" t="s">
        <v>3138</v>
      </c>
      <c r="B544" t="s">
        <v>3171</v>
      </c>
      <c r="C544">
        <v>100</v>
      </c>
      <c r="D544">
        <v>152700000</v>
      </c>
      <c r="E544">
        <v>99500000</v>
      </c>
      <c r="F544" t="s">
        <v>3366</v>
      </c>
      <c r="G544">
        <v>2020</v>
      </c>
      <c r="H544" t="s">
        <v>3172</v>
      </c>
      <c r="I544" t="s">
        <v>3154</v>
      </c>
      <c r="J544" t="s">
        <v>3367</v>
      </c>
      <c r="K544" t="s">
        <v>564</v>
      </c>
    </row>
    <row r="545" spans="1:11" x14ac:dyDescent="0.25">
      <c r="A545" t="s">
        <v>3138</v>
      </c>
      <c r="B545" t="s">
        <v>3171</v>
      </c>
      <c r="C545">
        <v>200</v>
      </c>
      <c r="D545">
        <v>184300000</v>
      </c>
      <c r="E545">
        <v>130900000</v>
      </c>
      <c r="F545" t="s">
        <v>3366</v>
      </c>
      <c r="G545">
        <v>2020</v>
      </c>
      <c r="H545" t="s">
        <v>3172</v>
      </c>
      <c r="I545" t="s">
        <v>3154</v>
      </c>
      <c r="J545" t="s">
        <v>3367</v>
      </c>
      <c r="K545" t="s">
        <v>564</v>
      </c>
    </row>
    <row r="546" spans="1:11" x14ac:dyDescent="0.25">
      <c r="A546" t="s">
        <v>3138</v>
      </c>
      <c r="B546" t="s">
        <v>3171</v>
      </c>
      <c r="C546">
        <v>250</v>
      </c>
      <c r="D546">
        <v>196000000</v>
      </c>
      <c r="E546">
        <v>142800000</v>
      </c>
      <c r="F546" t="s">
        <v>3366</v>
      </c>
      <c r="G546">
        <v>2020</v>
      </c>
      <c r="H546" t="s">
        <v>3172</v>
      </c>
      <c r="I546" t="s">
        <v>3154</v>
      </c>
      <c r="J546" t="s">
        <v>3367</v>
      </c>
      <c r="K546" t="s">
        <v>564</v>
      </c>
    </row>
    <row r="547" spans="1:11" x14ac:dyDescent="0.25">
      <c r="A547" t="s">
        <v>3138</v>
      </c>
      <c r="B547" t="s">
        <v>3171</v>
      </c>
      <c r="C547">
        <v>500</v>
      </c>
      <c r="D547">
        <v>238600000</v>
      </c>
      <c r="E547">
        <v>186300000</v>
      </c>
      <c r="F547" t="s">
        <v>3366</v>
      </c>
      <c r="G547">
        <v>2020</v>
      </c>
      <c r="H547" t="s">
        <v>3172</v>
      </c>
      <c r="I547" t="s">
        <v>3154</v>
      </c>
      <c r="J547" t="s">
        <v>3367</v>
      </c>
      <c r="K547" t="s">
        <v>564</v>
      </c>
    </row>
    <row r="548" spans="1:11" x14ac:dyDescent="0.25">
      <c r="A548" t="s">
        <v>3138</v>
      </c>
      <c r="B548" t="s">
        <v>3171</v>
      </c>
      <c r="C548">
        <v>1000</v>
      </c>
      <c r="D548">
        <v>292300000</v>
      </c>
      <c r="E548">
        <v>241200000</v>
      </c>
      <c r="F548" t="s">
        <v>3366</v>
      </c>
      <c r="G548">
        <v>2020</v>
      </c>
      <c r="H548" t="s">
        <v>3172</v>
      </c>
      <c r="I548" t="s">
        <v>3154</v>
      </c>
      <c r="J548" t="s">
        <v>3367</v>
      </c>
      <c r="K548" t="s">
        <v>564</v>
      </c>
    </row>
    <row r="549" spans="1:11" x14ac:dyDescent="0.25">
      <c r="A549" t="s">
        <v>3138</v>
      </c>
      <c r="B549" t="s">
        <v>3171</v>
      </c>
      <c r="C549">
        <v>2000</v>
      </c>
      <c r="D549">
        <v>359900000</v>
      </c>
      <c r="E549">
        <v>310000000</v>
      </c>
      <c r="F549" t="s">
        <v>3366</v>
      </c>
      <c r="G549">
        <v>2020</v>
      </c>
      <c r="H549" t="s">
        <v>3172</v>
      </c>
      <c r="I549" t="s">
        <v>3154</v>
      </c>
      <c r="J549" t="s">
        <v>3367</v>
      </c>
      <c r="K549" t="s">
        <v>564</v>
      </c>
    </row>
    <row r="550" spans="1:11" x14ac:dyDescent="0.25">
      <c r="A550" t="s">
        <v>3138</v>
      </c>
      <c r="B550" t="s">
        <v>3171</v>
      </c>
      <c r="C550">
        <v>4000</v>
      </c>
      <c r="D550">
        <v>444700000</v>
      </c>
      <c r="E550">
        <v>395900000</v>
      </c>
      <c r="F550" t="s">
        <v>3366</v>
      </c>
      <c r="G550">
        <v>2020</v>
      </c>
      <c r="H550" t="s">
        <v>3172</v>
      </c>
      <c r="I550" t="s">
        <v>3154</v>
      </c>
      <c r="J550" t="s">
        <v>3367</v>
      </c>
      <c r="K550" t="s">
        <v>564</v>
      </c>
    </row>
    <row r="551" spans="1:11" x14ac:dyDescent="0.25">
      <c r="A551" t="s">
        <v>3138</v>
      </c>
      <c r="B551" t="s">
        <v>3178</v>
      </c>
      <c r="C551">
        <v>2</v>
      </c>
      <c r="D551">
        <v>7900000</v>
      </c>
      <c r="E551">
        <v>5300000</v>
      </c>
      <c r="F551" t="s">
        <v>3374</v>
      </c>
      <c r="G551">
        <v>2020</v>
      </c>
      <c r="H551" t="s">
        <v>3179</v>
      </c>
      <c r="I551" t="s">
        <v>3154</v>
      </c>
      <c r="J551" t="s">
        <v>3375</v>
      </c>
      <c r="K551" t="s">
        <v>564</v>
      </c>
    </row>
    <row r="552" spans="1:11" x14ac:dyDescent="0.25">
      <c r="A552" t="s">
        <v>3138</v>
      </c>
      <c r="B552" t="s">
        <v>3178</v>
      </c>
      <c r="C552">
        <v>5</v>
      </c>
      <c r="D552">
        <v>32800000</v>
      </c>
      <c r="E552">
        <v>24600000</v>
      </c>
      <c r="F552" t="s">
        <v>3374</v>
      </c>
      <c r="G552">
        <v>2020</v>
      </c>
      <c r="H552" t="s">
        <v>3179</v>
      </c>
      <c r="I552" t="s">
        <v>3154</v>
      </c>
      <c r="J552" t="s">
        <v>3375</v>
      </c>
      <c r="K552" t="s">
        <v>564</v>
      </c>
    </row>
    <row r="553" spans="1:11" x14ac:dyDescent="0.25">
      <c r="A553" t="s">
        <v>3138</v>
      </c>
      <c r="B553" t="s">
        <v>3178</v>
      </c>
      <c r="C553">
        <v>10</v>
      </c>
      <c r="D553">
        <v>80500000</v>
      </c>
      <c r="E553">
        <v>67500000</v>
      </c>
      <c r="F553" t="s">
        <v>3374</v>
      </c>
      <c r="G553">
        <v>2020</v>
      </c>
      <c r="H553" t="s">
        <v>3179</v>
      </c>
      <c r="I553" t="s">
        <v>3154</v>
      </c>
      <c r="J553" t="s">
        <v>3375</v>
      </c>
      <c r="K553" t="s">
        <v>564</v>
      </c>
    </row>
    <row r="554" spans="1:11" x14ac:dyDescent="0.25">
      <c r="A554" t="s">
        <v>3138</v>
      </c>
      <c r="B554" t="s">
        <v>3178</v>
      </c>
      <c r="C554">
        <v>25</v>
      </c>
      <c r="D554">
        <v>209700000</v>
      </c>
      <c r="E554">
        <v>190400000</v>
      </c>
      <c r="F554" t="s">
        <v>3374</v>
      </c>
      <c r="G554">
        <v>2020</v>
      </c>
      <c r="H554" t="s">
        <v>3179</v>
      </c>
      <c r="I554" t="s">
        <v>3154</v>
      </c>
      <c r="J554" t="s">
        <v>3375</v>
      </c>
      <c r="K554" t="s">
        <v>564</v>
      </c>
    </row>
    <row r="555" spans="1:11" x14ac:dyDescent="0.25">
      <c r="A555" t="s">
        <v>3138</v>
      </c>
      <c r="B555" t="s">
        <v>3178</v>
      </c>
      <c r="C555">
        <v>50</v>
      </c>
      <c r="D555">
        <v>329300000</v>
      </c>
      <c r="E555">
        <v>304200000</v>
      </c>
      <c r="F555" t="s">
        <v>3374</v>
      </c>
      <c r="G555">
        <v>2020</v>
      </c>
      <c r="H555" t="s">
        <v>3179</v>
      </c>
      <c r="I555" t="s">
        <v>3154</v>
      </c>
      <c r="J555" t="s">
        <v>3375</v>
      </c>
      <c r="K555" t="s">
        <v>564</v>
      </c>
    </row>
    <row r="556" spans="1:11" x14ac:dyDescent="0.25">
      <c r="A556" t="s">
        <v>3138</v>
      </c>
      <c r="B556" t="s">
        <v>3178</v>
      </c>
      <c r="C556">
        <v>100</v>
      </c>
      <c r="D556">
        <v>466900000</v>
      </c>
      <c r="E556">
        <v>434000000</v>
      </c>
      <c r="F556" t="s">
        <v>3374</v>
      </c>
      <c r="G556">
        <v>2020</v>
      </c>
      <c r="H556" t="s">
        <v>3179</v>
      </c>
      <c r="I556" t="s">
        <v>3154</v>
      </c>
      <c r="J556" t="s">
        <v>3375</v>
      </c>
      <c r="K556" t="s">
        <v>564</v>
      </c>
    </row>
    <row r="557" spans="1:11" x14ac:dyDescent="0.25">
      <c r="A557" t="s">
        <v>3138</v>
      </c>
      <c r="B557" t="s">
        <v>3178</v>
      </c>
      <c r="C557">
        <v>200</v>
      </c>
      <c r="D557">
        <v>632200000</v>
      </c>
      <c r="E557">
        <v>594500000</v>
      </c>
      <c r="F557" t="s">
        <v>3374</v>
      </c>
      <c r="G557">
        <v>2020</v>
      </c>
      <c r="H557" t="s">
        <v>3179</v>
      </c>
      <c r="I557" t="s">
        <v>3154</v>
      </c>
      <c r="J557" t="s">
        <v>3375</v>
      </c>
      <c r="K557" t="s">
        <v>564</v>
      </c>
    </row>
    <row r="558" spans="1:11" x14ac:dyDescent="0.25">
      <c r="A558" t="s">
        <v>3138</v>
      </c>
      <c r="B558" t="s">
        <v>3178</v>
      </c>
      <c r="C558">
        <v>250</v>
      </c>
      <c r="D558">
        <v>688700000</v>
      </c>
      <c r="E558">
        <v>650000000</v>
      </c>
      <c r="F558" t="s">
        <v>3374</v>
      </c>
      <c r="G558">
        <v>2020</v>
      </c>
      <c r="H558" t="s">
        <v>3179</v>
      </c>
      <c r="I558" t="s">
        <v>3154</v>
      </c>
      <c r="J558" t="s">
        <v>3375</v>
      </c>
      <c r="K558" t="s">
        <v>564</v>
      </c>
    </row>
    <row r="559" spans="1:11" x14ac:dyDescent="0.25">
      <c r="A559" t="s">
        <v>3138</v>
      </c>
      <c r="B559" t="s">
        <v>3178</v>
      </c>
      <c r="C559">
        <v>500</v>
      </c>
      <c r="D559">
        <v>868200000</v>
      </c>
      <c r="E559">
        <v>825900000</v>
      </c>
      <c r="F559" t="s">
        <v>3374</v>
      </c>
      <c r="G559">
        <v>2020</v>
      </c>
      <c r="H559" t="s">
        <v>3179</v>
      </c>
      <c r="I559" t="s">
        <v>3154</v>
      </c>
      <c r="J559" t="s">
        <v>3375</v>
      </c>
      <c r="K559" t="s">
        <v>564</v>
      </c>
    </row>
    <row r="560" spans="1:11" x14ac:dyDescent="0.25">
      <c r="A560" t="s">
        <v>3138</v>
      </c>
      <c r="B560" t="s">
        <v>3178</v>
      </c>
      <c r="C560">
        <v>1000</v>
      </c>
      <c r="D560">
        <v>1052200000</v>
      </c>
      <c r="E560">
        <v>1005700000</v>
      </c>
      <c r="F560" t="s">
        <v>3374</v>
      </c>
      <c r="G560">
        <v>2020</v>
      </c>
      <c r="H560" t="s">
        <v>3179</v>
      </c>
      <c r="I560" t="s">
        <v>3154</v>
      </c>
      <c r="J560" t="s">
        <v>3375</v>
      </c>
      <c r="K560" t="s">
        <v>564</v>
      </c>
    </row>
    <row r="561" spans="1:11" x14ac:dyDescent="0.25">
      <c r="A561" t="s">
        <v>3138</v>
      </c>
      <c r="B561" t="s">
        <v>3178</v>
      </c>
      <c r="C561">
        <v>2000</v>
      </c>
      <c r="D561">
        <v>1241000000</v>
      </c>
      <c r="E561">
        <v>1190400000</v>
      </c>
      <c r="F561" t="s">
        <v>3374</v>
      </c>
      <c r="G561">
        <v>2020</v>
      </c>
      <c r="H561" t="s">
        <v>3179</v>
      </c>
      <c r="I561" t="s">
        <v>3154</v>
      </c>
      <c r="J561" t="s">
        <v>3375</v>
      </c>
      <c r="K561" t="s">
        <v>564</v>
      </c>
    </row>
    <row r="562" spans="1:11" x14ac:dyDescent="0.25">
      <c r="A562" t="s">
        <v>3138</v>
      </c>
      <c r="B562" t="s">
        <v>3178</v>
      </c>
      <c r="C562">
        <v>4000</v>
      </c>
      <c r="D562">
        <v>1438600000</v>
      </c>
      <c r="E562">
        <v>1383400000</v>
      </c>
      <c r="F562" t="s">
        <v>3374</v>
      </c>
      <c r="G562">
        <v>2020</v>
      </c>
      <c r="H562" t="s">
        <v>3179</v>
      </c>
      <c r="I562" t="s">
        <v>3154</v>
      </c>
      <c r="J562" t="s">
        <v>3375</v>
      </c>
      <c r="K562" t="s">
        <v>564</v>
      </c>
    </row>
    <row r="563" spans="1:11" x14ac:dyDescent="0.25">
      <c r="A563" t="s">
        <v>3138</v>
      </c>
      <c r="B563" t="s">
        <v>3203</v>
      </c>
      <c r="C563">
        <v>2</v>
      </c>
      <c r="D563">
        <v>100000</v>
      </c>
      <c r="E563">
        <v>100000</v>
      </c>
      <c r="F563" t="s">
        <v>3370</v>
      </c>
      <c r="G563">
        <v>2020</v>
      </c>
      <c r="H563" t="s">
        <v>3204</v>
      </c>
      <c r="I563" t="s">
        <v>3154</v>
      </c>
      <c r="J563" t="s">
        <v>3371</v>
      </c>
      <c r="K563" t="s">
        <v>481</v>
      </c>
    </row>
    <row r="564" spans="1:11" x14ac:dyDescent="0.25">
      <c r="A564" t="s">
        <v>3138</v>
      </c>
      <c r="B564" t="s">
        <v>3203</v>
      </c>
      <c r="C564">
        <v>5</v>
      </c>
      <c r="D564">
        <v>400000</v>
      </c>
      <c r="E564">
        <v>400000</v>
      </c>
      <c r="F564" t="s">
        <v>3370</v>
      </c>
      <c r="G564">
        <v>2020</v>
      </c>
      <c r="H564" t="s">
        <v>3204</v>
      </c>
      <c r="I564" t="s">
        <v>3154</v>
      </c>
      <c r="J564" t="s">
        <v>3371</v>
      </c>
      <c r="K564" t="s">
        <v>481</v>
      </c>
    </row>
    <row r="565" spans="1:11" x14ac:dyDescent="0.25">
      <c r="A565" t="s">
        <v>3138</v>
      </c>
      <c r="B565" t="s">
        <v>3203</v>
      </c>
      <c r="C565">
        <v>10</v>
      </c>
      <c r="D565">
        <v>2200000</v>
      </c>
      <c r="E565">
        <v>2100000</v>
      </c>
      <c r="F565" t="s">
        <v>3370</v>
      </c>
      <c r="G565">
        <v>2020</v>
      </c>
      <c r="H565" t="s">
        <v>3204</v>
      </c>
      <c r="I565" t="s">
        <v>3154</v>
      </c>
      <c r="J565" t="s">
        <v>3371</v>
      </c>
      <c r="K565" t="s">
        <v>481</v>
      </c>
    </row>
    <row r="566" spans="1:11" x14ac:dyDescent="0.25">
      <c r="A566" t="s">
        <v>3138</v>
      </c>
      <c r="B566" t="s">
        <v>3203</v>
      </c>
      <c r="C566">
        <v>25</v>
      </c>
      <c r="D566">
        <v>8300000</v>
      </c>
      <c r="E566">
        <v>7900000</v>
      </c>
      <c r="F566" t="s">
        <v>3370</v>
      </c>
      <c r="G566">
        <v>2020</v>
      </c>
      <c r="H566" t="s">
        <v>3204</v>
      </c>
      <c r="I566" t="s">
        <v>3154</v>
      </c>
      <c r="J566" t="s">
        <v>3371</v>
      </c>
      <c r="K566" t="s">
        <v>481</v>
      </c>
    </row>
    <row r="567" spans="1:11" x14ac:dyDescent="0.25">
      <c r="A567" t="s">
        <v>3138</v>
      </c>
      <c r="B567" t="s">
        <v>3203</v>
      </c>
      <c r="C567">
        <v>50</v>
      </c>
      <c r="D567">
        <v>14500000</v>
      </c>
      <c r="E567">
        <v>13900000</v>
      </c>
      <c r="F567" t="s">
        <v>3370</v>
      </c>
      <c r="G567">
        <v>2020</v>
      </c>
      <c r="H567" t="s">
        <v>3204</v>
      </c>
      <c r="I567" t="s">
        <v>3154</v>
      </c>
      <c r="J567" t="s">
        <v>3371</v>
      </c>
      <c r="K567" t="s">
        <v>481</v>
      </c>
    </row>
    <row r="568" spans="1:11" x14ac:dyDescent="0.25">
      <c r="A568" t="s">
        <v>3138</v>
      </c>
      <c r="B568" t="s">
        <v>3203</v>
      </c>
      <c r="C568">
        <v>100</v>
      </c>
      <c r="D568">
        <v>21400000</v>
      </c>
      <c r="E568">
        <v>20500000</v>
      </c>
      <c r="F568" t="s">
        <v>3370</v>
      </c>
      <c r="G568">
        <v>2020</v>
      </c>
      <c r="H568" t="s">
        <v>3204</v>
      </c>
      <c r="I568" t="s">
        <v>3154</v>
      </c>
      <c r="J568" t="s">
        <v>3371</v>
      </c>
      <c r="K568" t="s">
        <v>481</v>
      </c>
    </row>
    <row r="569" spans="1:11" x14ac:dyDescent="0.25">
      <c r="A569" t="s">
        <v>3138</v>
      </c>
      <c r="B569" t="s">
        <v>3203</v>
      </c>
      <c r="C569">
        <v>200</v>
      </c>
      <c r="D569">
        <v>30700000</v>
      </c>
      <c r="E569">
        <v>29400000</v>
      </c>
      <c r="F569" t="s">
        <v>3370</v>
      </c>
      <c r="G569">
        <v>2020</v>
      </c>
      <c r="H569" t="s">
        <v>3204</v>
      </c>
      <c r="I569" t="s">
        <v>3154</v>
      </c>
      <c r="J569" t="s">
        <v>3371</v>
      </c>
      <c r="K569" t="s">
        <v>481</v>
      </c>
    </row>
    <row r="570" spans="1:11" x14ac:dyDescent="0.25">
      <c r="A570" t="s">
        <v>3138</v>
      </c>
      <c r="B570" t="s">
        <v>3203</v>
      </c>
      <c r="C570">
        <v>250</v>
      </c>
      <c r="D570">
        <v>34600000</v>
      </c>
      <c r="E570">
        <v>33300000</v>
      </c>
      <c r="F570" t="s">
        <v>3370</v>
      </c>
      <c r="G570">
        <v>2020</v>
      </c>
      <c r="H570" t="s">
        <v>3204</v>
      </c>
      <c r="I570" t="s">
        <v>3154</v>
      </c>
      <c r="J570" t="s">
        <v>3371</v>
      </c>
      <c r="K570" t="s">
        <v>481</v>
      </c>
    </row>
    <row r="571" spans="1:11" x14ac:dyDescent="0.25">
      <c r="A571" t="s">
        <v>3138</v>
      </c>
      <c r="B571" t="s">
        <v>3203</v>
      </c>
      <c r="C571">
        <v>500</v>
      </c>
      <c r="D571">
        <v>48400000</v>
      </c>
      <c r="E571">
        <v>47100000</v>
      </c>
      <c r="F571" t="s">
        <v>3370</v>
      </c>
      <c r="G571">
        <v>2020</v>
      </c>
      <c r="H571" t="s">
        <v>3204</v>
      </c>
      <c r="I571" t="s">
        <v>3154</v>
      </c>
      <c r="J571" t="s">
        <v>3371</v>
      </c>
      <c r="K571" t="s">
        <v>481</v>
      </c>
    </row>
    <row r="572" spans="1:11" x14ac:dyDescent="0.25">
      <c r="A572" t="s">
        <v>3138</v>
      </c>
      <c r="B572" t="s">
        <v>3203</v>
      </c>
      <c r="C572">
        <v>1000</v>
      </c>
      <c r="D572">
        <v>63200000</v>
      </c>
      <c r="E572">
        <v>61800000</v>
      </c>
      <c r="F572" t="s">
        <v>3370</v>
      </c>
      <c r="G572">
        <v>2020</v>
      </c>
      <c r="H572" t="s">
        <v>3204</v>
      </c>
      <c r="I572" t="s">
        <v>3154</v>
      </c>
      <c r="J572" t="s">
        <v>3371</v>
      </c>
      <c r="K572" t="s">
        <v>481</v>
      </c>
    </row>
    <row r="573" spans="1:11" x14ac:dyDescent="0.25">
      <c r="A573" t="s">
        <v>3138</v>
      </c>
      <c r="B573" t="s">
        <v>3203</v>
      </c>
      <c r="C573">
        <v>2000</v>
      </c>
      <c r="D573">
        <v>77800000</v>
      </c>
      <c r="E573">
        <v>76300000</v>
      </c>
      <c r="F573" t="s">
        <v>3370</v>
      </c>
      <c r="G573">
        <v>2020</v>
      </c>
      <c r="H573" t="s">
        <v>3204</v>
      </c>
      <c r="I573" t="s">
        <v>3154</v>
      </c>
      <c r="J573" t="s">
        <v>3371</v>
      </c>
      <c r="K573" t="s">
        <v>481</v>
      </c>
    </row>
    <row r="574" spans="1:11" x14ac:dyDescent="0.25">
      <c r="A574" t="s">
        <v>3138</v>
      </c>
      <c r="B574" t="s">
        <v>3203</v>
      </c>
      <c r="C574">
        <v>4000</v>
      </c>
      <c r="D574">
        <v>92000000</v>
      </c>
      <c r="E574">
        <v>90400000</v>
      </c>
      <c r="F574" t="s">
        <v>3370</v>
      </c>
      <c r="G574">
        <v>2020</v>
      </c>
      <c r="H574" t="s">
        <v>3204</v>
      </c>
      <c r="I574" t="s">
        <v>3154</v>
      </c>
      <c r="J574" t="s">
        <v>3371</v>
      </c>
      <c r="K574" t="s">
        <v>481</v>
      </c>
    </row>
    <row r="575" spans="1:11" x14ac:dyDescent="0.25">
      <c r="A575" t="s">
        <v>3138</v>
      </c>
      <c r="B575" t="s">
        <v>3182</v>
      </c>
      <c r="C575">
        <v>2</v>
      </c>
      <c r="D575">
        <v>200000</v>
      </c>
      <c r="E575">
        <v>100000</v>
      </c>
      <c r="F575" t="s">
        <v>3380</v>
      </c>
      <c r="G575">
        <v>2020</v>
      </c>
      <c r="H575" t="s">
        <v>3183</v>
      </c>
      <c r="I575" t="s">
        <v>3154</v>
      </c>
      <c r="J575" t="s">
        <v>3381</v>
      </c>
      <c r="K575" t="s">
        <v>481</v>
      </c>
    </row>
    <row r="576" spans="1:11" x14ac:dyDescent="0.25">
      <c r="A576" t="s">
        <v>3138</v>
      </c>
      <c r="B576" t="s">
        <v>3182</v>
      </c>
      <c r="C576">
        <v>5</v>
      </c>
      <c r="D576">
        <v>3300000</v>
      </c>
      <c r="E576">
        <v>2900000</v>
      </c>
      <c r="F576" t="s">
        <v>3380</v>
      </c>
      <c r="G576">
        <v>2020</v>
      </c>
      <c r="H576" t="s">
        <v>3183</v>
      </c>
      <c r="I576" t="s">
        <v>3154</v>
      </c>
      <c r="J576" t="s">
        <v>3381</v>
      </c>
      <c r="K576" t="s">
        <v>481</v>
      </c>
    </row>
    <row r="577" spans="1:11" x14ac:dyDescent="0.25">
      <c r="A577" t="s">
        <v>3138</v>
      </c>
      <c r="B577" t="s">
        <v>3182</v>
      </c>
      <c r="C577">
        <v>10</v>
      </c>
      <c r="D577">
        <v>9800000</v>
      </c>
      <c r="E577">
        <v>8800000</v>
      </c>
      <c r="F577" t="s">
        <v>3380</v>
      </c>
      <c r="G577">
        <v>2020</v>
      </c>
      <c r="H577" t="s">
        <v>3183</v>
      </c>
      <c r="I577" t="s">
        <v>3154</v>
      </c>
      <c r="J577" t="s">
        <v>3381</v>
      </c>
      <c r="K577" t="s">
        <v>481</v>
      </c>
    </row>
    <row r="578" spans="1:11" x14ac:dyDescent="0.25">
      <c r="A578" t="s">
        <v>3138</v>
      </c>
      <c r="B578" t="s">
        <v>3182</v>
      </c>
      <c r="C578">
        <v>25</v>
      </c>
      <c r="D578">
        <v>28100000</v>
      </c>
      <c r="E578">
        <v>26100000</v>
      </c>
      <c r="F578" t="s">
        <v>3380</v>
      </c>
      <c r="G578">
        <v>2020</v>
      </c>
      <c r="H578" t="s">
        <v>3183</v>
      </c>
      <c r="I578" t="s">
        <v>3154</v>
      </c>
      <c r="J578" t="s">
        <v>3381</v>
      </c>
      <c r="K578" t="s">
        <v>481</v>
      </c>
    </row>
    <row r="579" spans="1:11" x14ac:dyDescent="0.25">
      <c r="A579" t="s">
        <v>3138</v>
      </c>
      <c r="B579" t="s">
        <v>3182</v>
      </c>
      <c r="C579">
        <v>50</v>
      </c>
      <c r="D579">
        <v>52500000</v>
      </c>
      <c r="E579">
        <v>49600000</v>
      </c>
      <c r="F579" t="s">
        <v>3380</v>
      </c>
      <c r="G579">
        <v>2020</v>
      </c>
      <c r="H579" t="s">
        <v>3183</v>
      </c>
      <c r="I579" t="s">
        <v>3154</v>
      </c>
      <c r="J579" t="s">
        <v>3381</v>
      </c>
      <c r="K579" t="s">
        <v>481</v>
      </c>
    </row>
    <row r="580" spans="1:11" x14ac:dyDescent="0.25">
      <c r="A580" t="s">
        <v>3138</v>
      </c>
      <c r="B580" t="s">
        <v>3182</v>
      </c>
      <c r="C580">
        <v>100</v>
      </c>
      <c r="D580">
        <v>88200000</v>
      </c>
      <c r="E580">
        <v>84500000</v>
      </c>
      <c r="F580" t="s">
        <v>3380</v>
      </c>
      <c r="G580">
        <v>2020</v>
      </c>
      <c r="H580" t="s">
        <v>3183</v>
      </c>
      <c r="I580" t="s">
        <v>3154</v>
      </c>
      <c r="J580" t="s">
        <v>3381</v>
      </c>
      <c r="K580" t="s">
        <v>481</v>
      </c>
    </row>
    <row r="581" spans="1:11" x14ac:dyDescent="0.25">
      <c r="A581" t="s">
        <v>3138</v>
      </c>
      <c r="B581" t="s">
        <v>3182</v>
      </c>
      <c r="C581">
        <v>200</v>
      </c>
      <c r="D581">
        <v>135600000</v>
      </c>
      <c r="E581">
        <v>131200000</v>
      </c>
      <c r="F581" t="s">
        <v>3380</v>
      </c>
      <c r="G581">
        <v>2020</v>
      </c>
      <c r="H581" t="s">
        <v>3183</v>
      </c>
      <c r="I581" t="s">
        <v>3154</v>
      </c>
      <c r="J581" t="s">
        <v>3381</v>
      </c>
      <c r="K581" t="s">
        <v>481</v>
      </c>
    </row>
    <row r="582" spans="1:11" x14ac:dyDescent="0.25">
      <c r="A582" t="s">
        <v>3138</v>
      </c>
      <c r="B582" t="s">
        <v>3182</v>
      </c>
      <c r="C582">
        <v>250</v>
      </c>
      <c r="D582">
        <v>153300000</v>
      </c>
      <c r="E582">
        <v>148600000</v>
      </c>
      <c r="F582" t="s">
        <v>3380</v>
      </c>
      <c r="G582">
        <v>2020</v>
      </c>
      <c r="H582" t="s">
        <v>3183</v>
      </c>
      <c r="I582" t="s">
        <v>3154</v>
      </c>
      <c r="J582" t="s">
        <v>3381</v>
      </c>
      <c r="K582" t="s">
        <v>481</v>
      </c>
    </row>
    <row r="583" spans="1:11" x14ac:dyDescent="0.25">
      <c r="A583" t="s">
        <v>3138</v>
      </c>
      <c r="B583" t="s">
        <v>3182</v>
      </c>
      <c r="C583">
        <v>500</v>
      </c>
      <c r="D583">
        <v>215900000</v>
      </c>
      <c r="E583">
        <v>210600000</v>
      </c>
      <c r="F583" t="s">
        <v>3380</v>
      </c>
      <c r="G583">
        <v>2020</v>
      </c>
      <c r="H583" t="s">
        <v>3183</v>
      </c>
      <c r="I583" t="s">
        <v>3154</v>
      </c>
      <c r="J583" t="s">
        <v>3381</v>
      </c>
      <c r="K583" t="s">
        <v>481</v>
      </c>
    </row>
    <row r="584" spans="1:11" x14ac:dyDescent="0.25">
      <c r="A584" t="s">
        <v>3138</v>
      </c>
      <c r="B584" t="s">
        <v>3182</v>
      </c>
      <c r="C584">
        <v>1000</v>
      </c>
      <c r="D584">
        <v>288700000</v>
      </c>
      <c r="E584">
        <v>283100000</v>
      </c>
      <c r="F584" t="s">
        <v>3380</v>
      </c>
      <c r="G584">
        <v>2020</v>
      </c>
      <c r="H584" t="s">
        <v>3183</v>
      </c>
      <c r="I584" t="s">
        <v>3154</v>
      </c>
      <c r="J584" t="s">
        <v>3381</v>
      </c>
      <c r="K584" t="s">
        <v>481</v>
      </c>
    </row>
    <row r="585" spans="1:11" x14ac:dyDescent="0.25">
      <c r="A585" t="s">
        <v>3138</v>
      </c>
      <c r="B585" t="s">
        <v>3182</v>
      </c>
      <c r="C585">
        <v>2000</v>
      </c>
      <c r="D585">
        <v>361100000</v>
      </c>
      <c r="E585">
        <v>355200000</v>
      </c>
      <c r="F585" t="s">
        <v>3380</v>
      </c>
      <c r="G585">
        <v>2020</v>
      </c>
      <c r="H585" t="s">
        <v>3183</v>
      </c>
      <c r="I585" t="s">
        <v>3154</v>
      </c>
      <c r="J585" t="s">
        <v>3381</v>
      </c>
      <c r="K585" t="s">
        <v>481</v>
      </c>
    </row>
    <row r="586" spans="1:11" x14ac:dyDescent="0.25">
      <c r="A586" t="s">
        <v>3138</v>
      </c>
      <c r="B586" t="s">
        <v>3182</v>
      </c>
      <c r="C586">
        <v>4000</v>
      </c>
      <c r="D586">
        <v>428100000</v>
      </c>
      <c r="E586">
        <v>421700000</v>
      </c>
      <c r="F586" t="s">
        <v>3380</v>
      </c>
      <c r="G586">
        <v>2020</v>
      </c>
      <c r="H586" t="s">
        <v>3183</v>
      </c>
      <c r="I586" t="s">
        <v>3154</v>
      </c>
      <c r="J586" t="s">
        <v>3381</v>
      </c>
      <c r="K586" t="s">
        <v>481</v>
      </c>
    </row>
    <row r="587" spans="1:11" x14ac:dyDescent="0.25">
      <c r="A587" t="s">
        <v>3138</v>
      </c>
      <c r="B587" t="s">
        <v>3200</v>
      </c>
      <c r="C587">
        <v>2</v>
      </c>
      <c r="D587">
        <v>1100000</v>
      </c>
      <c r="E587">
        <v>700000</v>
      </c>
      <c r="F587" t="s">
        <v>3372</v>
      </c>
      <c r="G587">
        <v>2020</v>
      </c>
      <c r="H587" t="s">
        <v>3201</v>
      </c>
      <c r="I587" t="s">
        <v>3154</v>
      </c>
      <c r="J587" t="s">
        <v>3373</v>
      </c>
      <c r="K587" t="s">
        <v>13</v>
      </c>
    </row>
    <row r="588" spans="1:11" x14ac:dyDescent="0.25">
      <c r="A588" t="s">
        <v>3138</v>
      </c>
      <c r="B588" t="s">
        <v>3200</v>
      </c>
      <c r="C588">
        <v>5</v>
      </c>
      <c r="D588">
        <v>4900000</v>
      </c>
      <c r="E588">
        <v>3800000</v>
      </c>
      <c r="F588" t="s">
        <v>3372</v>
      </c>
      <c r="G588">
        <v>2020</v>
      </c>
      <c r="H588" t="s">
        <v>3201</v>
      </c>
      <c r="I588" t="s">
        <v>3154</v>
      </c>
      <c r="J588" t="s">
        <v>3373</v>
      </c>
      <c r="K588" t="s">
        <v>13</v>
      </c>
    </row>
    <row r="589" spans="1:11" x14ac:dyDescent="0.25">
      <c r="A589" t="s">
        <v>3138</v>
      </c>
      <c r="B589" t="s">
        <v>3200</v>
      </c>
      <c r="C589">
        <v>10</v>
      </c>
      <c r="D589">
        <v>10600000</v>
      </c>
      <c r="E589">
        <v>8800000</v>
      </c>
      <c r="F589" t="s">
        <v>3372</v>
      </c>
      <c r="G589">
        <v>2020</v>
      </c>
      <c r="H589" t="s">
        <v>3201</v>
      </c>
      <c r="I589" t="s">
        <v>3154</v>
      </c>
      <c r="J589" t="s">
        <v>3373</v>
      </c>
      <c r="K589" t="s">
        <v>13</v>
      </c>
    </row>
    <row r="590" spans="1:11" x14ac:dyDescent="0.25">
      <c r="A590" t="s">
        <v>3138</v>
      </c>
      <c r="B590" t="s">
        <v>3200</v>
      </c>
      <c r="C590">
        <v>25</v>
      </c>
      <c r="D590">
        <v>22800000</v>
      </c>
      <c r="E590">
        <v>20200000</v>
      </c>
      <c r="F590" t="s">
        <v>3372</v>
      </c>
      <c r="G590">
        <v>2020</v>
      </c>
      <c r="H590" t="s">
        <v>3201</v>
      </c>
      <c r="I590" t="s">
        <v>3154</v>
      </c>
      <c r="J590" t="s">
        <v>3373</v>
      </c>
      <c r="K590" t="s">
        <v>13</v>
      </c>
    </row>
    <row r="591" spans="1:11" x14ac:dyDescent="0.25">
      <c r="A591" t="s">
        <v>3138</v>
      </c>
      <c r="B591" t="s">
        <v>3200</v>
      </c>
      <c r="C591">
        <v>50</v>
      </c>
      <c r="D591">
        <v>35100000</v>
      </c>
      <c r="E591">
        <v>31900000</v>
      </c>
      <c r="F591" t="s">
        <v>3372</v>
      </c>
      <c r="G591">
        <v>2020</v>
      </c>
      <c r="H591" t="s">
        <v>3201</v>
      </c>
      <c r="I591" t="s">
        <v>3154</v>
      </c>
      <c r="J591" t="s">
        <v>3373</v>
      </c>
      <c r="K591" t="s">
        <v>13</v>
      </c>
    </row>
    <row r="592" spans="1:11" x14ac:dyDescent="0.25">
      <c r="A592" t="s">
        <v>3138</v>
      </c>
      <c r="B592" t="s">
        <v>3200</v>
      </c>
      <c r="C592">
        <v>100</v>
      </c>
      <c r="D592">
        <v>50500000</v>
      </c>
      <c r="E592">
        <v>46600000</v>
      </c>
      <c r="F592" t="s">
        <v>3372</v>
      </c>
      <c r="G592">
        <v>2020</v>
      </c>
      <c r="H592" t="s">
        <v>3201</v>
      </c>
      <c r="I592" t="s">
        <v>3154</v>
      </c>
      <c r="J592" t="s">
        <v>3373</v>
      </c>
      <c r="K592" t="s">
        <v>13</v>
      </c>
    </row>
    <row r="593" spans="1:11" x14ac:dyDescent="0.25">
      <c r="A593" t="s">
        <v>3138</v>
      </c>
      <c r="B593" t="s">
        <v>3200</v>
      </c>
      <c r="C593">
        <v>200</v>
      </c>
      <c r="D593">
        <v>70300000</v>
      </c>
      <c r="E593">
        <v>65900000</v>
      </c>
      <c r="F593" t="s">
        <v>3372</v>
      </c>
      <c r="G593">
        <v>2020</v>
      </c>
      <c r="H593" t="s">
        <v>3201</v>
      </c>
      <c r="I593" t="s">
        <v>3154</v>
      </c>
      <c r="J593" t="s">
        <v>3373</v>
      </c>
      <c r="K593" t="s">
        <v>13</v>
      </c>
    </row>
    <row r="594" spans="1:11" x14ac:dyDescent="0.25">
      <c r="A594" t="s">
        <v>3138</v>
      </c>
      <c r="B594" t="s">
        <v>3200</v>
      </c>
      <c r="C594">
        <v>250</v>
      </c>
      <c r="D594">
        <v>78000000</v>
      </c>
      <c r="E594">
        <v>73500000</v>
      </c>
      <c r="F594" t="s">
        <v>3372</v>
      </c>
      <c r="G594">
        <v>2020</v>
      </c>
      <c r="H594" t="s">
        <v>3201</v>
      </c>
      <c r="I594" t="s">
        <v>3154</v>
      </c>
      <c r="J594" t="s">
        <v>3373</v>
      </c>
      <c r="K594" t="s">
        <v>13</v>
      </c>
    </row>
    <row r="595" spans="1:11" x14ac:dyDescent="0.25">
      <c r="A595" t="s">
        <v>3138</v>
      </c>
      <c r="B595" t="s">
        <v>3200</v>
      </c>
      <c r="C595">
        <v>500</v>
      </c>
      <c r="D595">
        <v>107400000</v>
      </c>
      <c r="E595">
        <v>102600000</v>
      </c>
      <c r="F595" t="s">
        <v>3372</v>
      </c>
      <c r="G595">
        <v>2020</v>
      </c>
      <c r="H595" t="s">
        <v>3201</v>
      </c>
      <c r="I595" t="s">
        <v>3154</v>
      </c>
      <c r="J595" t="s">
        <v>3373</v>
      </c>
      <c r="K595" t="s">
        <v>13</v>
      </c>
    </row>
    <row r="596" spans="1:11" x14ac:dyDescent="0.25">
      <c r="A596" t="s">
        <v>3138</v>
      </c>
      <c r="B596" t="s">
        <v>3200</v>
      </c>
      <c r="C596">
        <v>1000</v>
      </c>
      <c r="D596">
        <v>146100000</v>
      </c>
      <c r="E596">
        <v>141400000</v>
      </c>
      <c r="F596" t="s">
        <v>3372</v>
      </c>
      <c r="G596">
        <v>2020</v>
      </c>
      <c r="H596" t="s">
        <v>3201</v>
      </c>
      <c r="I596" t="s">
        <v>3154</v>
      </c>
      <c r="J596" t="s">
        <v>3373</v>
      </c>
      <c r="K596" t="s">
        <v>13</v>
      </c>
    </row>
    <row r="597" spans="1:11" x14ac:dyDescent="0.25">
      <c r="A597" t="s">
        <v>3138</v>
      </c>
      <c r="B597" t="s">
        <v>3200</v>
      </c>
      <c r="C597">
        <v>2000</v>
      </c>
      <c r="D597">
        <v>196200000</v>
      </c>
      <c r="E597">
        <v>191400000</v>
      </c>
      <c r="F597" t="s">
        <v>3372</v>
      </c>
      <c r="G597">
        <v>2020</v>
      </c>
      <c r="H597" t="s">
        <v>3201</v>
      </c>
      <c r="I597" t="s">
        <v>3154</v>
      </c>
      <c r="J597" t="s">
        <v>3373</v>
      </c>
      <c r="K597" t="s">
        <v>13</v>
      </c>
    </row>
    <row r="598" spans="1:11" x14ac:dyDescent="0.25">
      <c r="A598" t="s">
        <v>3138</v>
      </c>
      <c r="B598" t="s">
        <v>3200</v>
      </c>
      <c r="C598">
        <v>4000</v>
      </c>
      <c r="D598">
        <v>259500000</v>
      </c>
      <c r="E598">
        <v>254800000</v>
      </c>
      <c r="F598" t="s">
        <v>3372</v>
      </c>
      <c r="G598">
        <v>2020</v>
      </c>
      <c r="H598" t="s">
        <v>3201</v>
      </c>
      <c r="I598" t="s">
        <v>3154</v>
      </c>
      <c r="J598" t="s">
        <v>3373</v>
      </c>
      <c r="K598" t="s">
        <v>13</v>
      </c>
    </row>
    <row r="599" spans="1:11" x14ac:dyDescent="0.25">
      <c r="A599" t="s">
        <v>3138</v>
      </c>
      <c r="B599" t="s">
        <v>3185</v>
      </c>
      <c r="C599">
        <v>2</v>
      </c>
      <c r="D599">
        <v>3000000</v>
      </c>
      <c r="E599">
        <v>1400000</v>
      </c>
      <c r="F599" t="s">
        <v>3382</v>
      </c>
      <c r="G599">
        <v>2020</v>
      </c>
      <c r="H599" t="s">
        <v>3186</v>
      </c>
      <c r="I599" t="s">
        <v>3154</v>
      </c>
      <c r="J599" t="s">
        <v>3383</v>
      </c>
      <c r="K599" t="s">
        <v>13</v>
      </c>
    </row>
    <row r="600" spans="1:11" x14ac:dyDescent="0.25">
      <c r="A600" t="s">
        <v>3138</v>
      </c>
      <c r="B600" t="s">
        <v>3185</v>
      </c>
      <c r="C600">
        <v>5</v>
      </c>
      <c r="D600">
        <v>7100000</v>
      </c>
      <c r="E600">
        <v>4400000</v>
      </c>
      <c r="F600" t="s">
        <v>3382</v>
      </c>
      <c r="G600">
        <v>2020</v>
      </c>
      <c r="H600" t="s">
        <v>3186</v>
      </c>
      <c r="I600" t="s">
        <v>3154</v>
      </c>
      <c r="J600" t="s">
        <v>3383</v>
      </c>
      <c r="K600" t="s">
        <v>13</v>
      </c>
    </row>
    <row r="601" spans="1:11" x14ac:dyDescent="0.25">
      <c r="A601" t="s">
        <v>3138</v>
      </c>
      <c r="B601" t="s">
        <v>3185</v>
      </c>
      <c r="C601">
        <v>10</v>
      </c>
      <c r="D601">
        <v>11800000</v>
      </c>
      <c r="E601">
        <v>8400000</v>
      </c>
      <c r="F601" t="s">
        <v>3382</v>
      </c>
      <c r="G601">
        <v>2020</v>
      </c>
      <c r="H601" t="s">
        <v>3186</v>
      </c>
      <c r="I601" t="s">
        <v>3154</v>
      </c>
      <c r="J601" t="s">
        <v>3383</v>
      </c>
      <c r="K601" t="s">
        <v>13</v>
      </c>
    </row>
    <row r="602" spans="1:11" x14ac:dyDescent="0.25">
      <c r="A602" t="s">
        <v>3138</v>
      </c>
      <c r="B602" t="s">
        <v>3185</v>
      </c>
      <c r="C602">
        <v>25</v>
      </c>
      <c r="D602">
        <v>21500000</v>
      </c>
      <c r="E602">
        <v>17300000</v>
      </c>
      <c r="F602" t="s">
        <v>3382</v>
      </c>
      <c r="G602">
        <v>2020</v>
      </c>
      <c r="H602" t="s">
        <v>3186</v>
      </c>
      <c r="I602" t="s">
        <v>3154</v>
      </c>
      <c r="J602" t="s">
        <v>3383</v>
      </c>
      <c r="K602" t="s">
        <v>13</v>
      </c>
    </row>
    <row r="603" spans="1:11" x14ac:dyDescent="0.25">
      <c r="A603" t="s">
        <v>3138</v>
      </c>
      <c r="B603" t="s">
        <v>3185</v>
      </c>
      <c r="C603">
        <v>50</v>
      </c>
      <c r="D603">
        <v>33800000</v>
      </c>
      <c r="E603">
        <v>29200000</v>
      </c>
      <c r="F603" t="s">
        <v>3382</v>
      </c>
      <c r="G603">
        <v>2020</v>
      </c>
      <c r="H603" t="s">
        <v>3186</v>
      </c>
      <c r="I603" t="s">
        <v>3154</v>
      </c>
      <c r="J603" t="s">
        <v>3383</v>
      </c>
      <c r="K603" t="s">
        <v>13</v>
      </c>
    </row>
    <row r="604" spans="1:11" x14ac:dyDescent="0.25">
      <c r="A604" t="s">
        <v>3138</v>
      </c>
      <c r="B604" t="s">
        <v>3185</v>
      </c>
      <c r="C604">
        <v>100</v>
      </c>
      <c r="D604">
        <v>51700000</v>
      </c>
      <c r="E604">
        <v>46900000</v>
      </c>
      <c r="F604" t="s">
        <v>3382</v>
      </c>
      <c r="G604">
        <v>2020</v>
      </c>
      <c r="H604" t="s">
        <v>3186</v>
      </c>
      <c r="I604" t="s">
        <v>3154</v>
      </c>
      <c r="J604" t="s">
        <v>3383</v>
      </c>
      <c r="K604" t="s">
        <v>13</v>
      </c>
    </row>
    <row r="605" spans="1:11" x14ac:dyDescent="0.25">
      <c r="A605" t="s">
        <v>3138</v>
      </c>
      <c r="B605" t="s">
        <v>3185</v>
      </c>
      <c r="C605">
        <v>200</v>
      </c>
      <c r="D605">
        <v>74800000</v>
      </c>
      <c r="E605">
        <v>69700000</v>
      </c>
      <c r="F605" t="s">
        <v>3382</v>
      </c>
      <c r="G605">
        <v>2020</v>
      </c>
      <c r="H605" t="s">
        <v>3186</v>
      </c>
      <c r="I605" t="s">
        <v>3154</v>
      </c>
      <c r="J605" t="s">
        <v>3383</v>
      </c>
      <c r="K605" t="s">
        <v>13</v>
      </c>
    </row>
    <row r="606" spans="1:11" x14ac:dyDescent="0.25">
      <c r="A606" t="s">
        <v>3138</v>
      </c>
      <c r="B606" t="s">
        <v>3185</v>
      </c>
      <c r="C606">
        <v>250</v>
      </c>
      <c r="D606">
        <v>83000000</v>
      </c>
      <c r="E606">
        <v>77800000</v>
      </c>
      <c r="F606" t="s">
        <v>3382</v>
      </c>
      <c r="G606">
        <v>2020</v>
      </c>
      <c r="H606" t="s">
        <v>3186</v>
      </c>
      <c r="I606" t="s">
        <v>3154</v>
      </c>
      <c r="J606" t="s">
        <v>3383</v>
      </c>
      <c r="K606" t="s">
        <v>13</v>
      </c>
    </row>
    <row r="607" spans="1:11" x14ac:dyDescent="0.25">
      <c r="A607" t="s">
        <v>3138</v>
      </c>
      <c r="B607" t="s">
        <v>3185</v>
      </c>
      <c r="C607">
        <v>500</v>
      </c>
      <c r="D607">
        <v>109200000</v>
      </c>
      <c r="E607">
        <v>103600000</v>
      </c>
      <c r="F607" t="s">
        <v>3382</v>
      </c>
      <c r="G607">
        <v>2020</v>
      </c>
      <c r="H607" t="s">
        <v>3186</v>
      </c>
      <c r="I607" t="s">
        <v>3154</v>
      </c>
      <c r="J607" t="s">
        <v>3383</v>
      </c>
      <c r="K607" t="s">
        <v>13</v>
      </c>
    </row>
    <row r="608" spans="1:11" x14ac:dyDescent="0.25">
      <c r="A608" t="s">
        <v>3138</v>
      </c>
      <c r="B608" t="s">
        <v>3185</v>
      </c>
      <c r="C608">
        <v>1000</v>
      </c>
      <c r="D608">
        <v>135700000</v>
      </c>
      <c r="E608">
        <v>129700000</v>
      </c>
      <c r="F608" t="s">
        <v>3382</v>
      </c>
      <c r="G608">
        <v>2020</v>
      </c>
      <c r="H608" t="s">
        <v>3186</v>
      </c>
      <c r="I608" t="s">
        <v>3154</v>
      </c>
      <c r="J608" t="s">
        <v>3383</v>
      </c>
      <c r="K608" t="s">
        <v>13</v>
      </c>
    </row>
    <row r="609" spans="1:11" x14ac:dyDescent="0.25">
      <c r="A609" t="s">
        <v>3138</v>
      </c>
      <c r="B609" t="s">
        <v>3185</v>
      </c>
      <c r="C609">
        <v>2000</v>
      </c>
      <c r="D609">
        <v>162700000</v>
      </c>
      <c r="E609">
        <v>156200000</v>
      </c>
      <c r="F609" t="s">
        <v>3382</v>
      </c>
      <c r="G609">
        <v>2020</v>
      </c>
      <c r="H609" t="s">
        <v>3186</v>
      </c>
      <c r="I609" t="s">
        <v>3154</v>
      </c>
      <c r="J609" t="s">
        <v>3383</v>
      </c>
      <c r="K609" t="s">
        <v>13</v>
      </c>
    </row>
    <row r="610" spans="1:11" x14ac:dyDescent="0.25">
      <c r="A610" t="s">
        <v>3138</v>
      </c>
      <c r="B610" t="s">
        <v>3185</v>
      </c>
      <c r="C610">
        <v>4000</v>
      </c>
      <c r="D610">
        <v>190500000</v>
      </c>
      <c r="E610">
        <v>183600000</v>
      </c>
      <c r="F610" t="s">
        <v>3382</v>
      </c>
      <c r="G610">
        <v>2020</v>
      </c>
      <c r="H610" t="s">
        <v>3186</v>
      </c>
      <c r="I610" t="s">
        <v>3154</v>
      </c>
      <c r="J610" t="s">
        <v>3383</v>
      </c>
      <c r="K610" t="s">
        <v>13</v>
      </c>
    </row>
    <row r="611" spans="1:11" x14ac:dyDescent="0.25">
      <c r="A611" t="s">
        <v>3138</v>
      </c>
      <c r="B611" t="s">
        <v>3188</v>
      </c>
      <c r="C611">
        <v>2</v>
      </c>
      <c r="D611">
        <v>7900000</v>
      </c>
      <c r="E611">
        <v>6800000</v>
      </c>
      <c r="F611" t="s">
        <v>3472</v>
      </c>
      <c r="G611">
        <v>2022</v>
      </c>
      <c r="H611" t="s">
        <v>3189</v>
      </c>
      <c r="I611" t="s">
        <v>3158</v>
      </c>
      <c r="J611" t="s">
        <v>3473</v>
      </c>
      <c r="K611" t="s">
        <v>564</v>
      </c>
    </row>
    <row r="612" spans="1:11" x14ac:dyDescent="0.25">
      <c r="A612" t="s">
        <v>3138</v>
      </c>
      <c r="B612" t="s">
        <v>3188</v>
      </c>
      <c r="C612">
        <v>5</v>
      </c>
      <c r="D612">
        <v>62600000</v>
      </c>
      <c r="E612">
        <v>52400000</v>
      </c>
      <c r="F612" t="s">
        <v>3472</v>
      </c>
      <c r="G612">
        <v>2022</v>
      </c>
      <c r="H612" t="s">
        <v>3189</v>
      </c>
      <c r="I612" t="s">
        <v>3158</v>
      </c>
      <c r="J612" t="s">
        <v>3473</v>
      </c>
      <c r="K612" t="s">
        <v>564</v>
      </c>
    </row>
    <row r="613" spans="1:11" x14ac:dyDescent="0.25">
      <c r="A613" t="s">
        <v>3138</v>
      </c>
      <c r="B613" t="s">
        <v>3188</v>
      </c>
      <c r="C613">
        <v>10</v>
      </c>
      <c r="D613">
        <v>134300000</v>
      </c>
      <c r="E613">
        <v>114600000</v>
      </c>
      <c r="F613" t="s">
        <v>3472</v>
      </c>
      <c r="G613">
        <v>2022</v>
      </c>
      <c r="H613" t="s">
        <v>3189</v>
      </c>
      <c r="I613" t="s">
        <v>3158</v>
      </c>
      <c r="J613" t="s">
        <v>3473</v>
      </c>
      <c r="K613" t="s">
        <v>564</v>
      </c>
    </row>
    <row r="614" spans="1:11" x14ac:dyDescent="0.25">
      <c r="A614" t="s">
        <v>3138</v>
      </c>
      <c r="B614" t="s">
        <v>3188</v>
      </c>
      <c r="C614">
        <v>25</v>
      </c>
      <c r="D614">
        <v>257800000</v>
      </c>
      <c r="E614">
        <v>224200000</v>
      </c>
      <c r="F614" t="s">
        <v>3472</v>
      </c>
      <c r="G614">
        <v>2022</v>
      </c>
      <c r="H614" t="s">
        <v>3189</v>
      </c>
      <c r="I614" t="s">
        <v>3158</v>
      </c>
      <c r="J614" t="s">
        <v>3473</v>
      </c>
      <c r="K614" t="s">
        <v>564</v>
      </c>
    </row>
    <row r="615" spans="1:11" x14ac:dyDescent="0.25">
      <c r="A615" t="s">
        <v>3138</v>
      </c>
      <c r="B615" t="s">
        <v>3188</v>
      </c>
      <c r="C615">
        <v>50</v>
      </c>
      <c r="D615">
        <v>373200000</v>
      </c>
      <c r="E615">
        <v>329900000</v>
      </c>
      <c r="F615" t="s">
        <v>3472</v>
      </c>
      <c r="G615">
        <v>2022</v>
      </c>
      <c r="H615" t="s">
        <v>3189</v>
      </c>
      <c r="I615" t="s">
        <v>3158</v>
      </c>
      <c r="J615" t="s">
        <v>3473</v>
      </c>
      <c r="K615" t="s">
        <v>564</v>
      </c>
    </row>
    <row r="616" spans="1:11" x14ac:dyDescent="0.25">
      <c r="A616" t="s">
        <v>3138</v>
      </c>
      <c r="B616" t="s">
        <v>3188</v>
      </c>
      <c r="C616">
        <v>100</v>
      </c>
      <c r="D616">
        <v>509300000</v>
      </c>
      <c r="E616">
        <v>457600000</v>
      </c>
      <c r="F616" t="s">
        <v>3472</v>
      </c>
      <c r="G616">
        <v>2022</v>
      </c>
      <c r="H616" t="s">
        <v>3189</v>
      </c>
      <c r="I616" t="s">
        <v>3158</v>
      </c>
      <c r="J616" t="s">
        <v>3473</v>
      </c>
      <c r="K616" t="s">
        <v>564</v>
      </c>
    </row>
    <row r="617" spans="1:11" x14ac:dyDescent="0.25">
      <c r="A617" t="s">
        <v>3138</v>
      </c>
      <c r="B617" t="s">
        <v>3188</v>
      </c>
      <c r="C617">
        <v>200</v>
      </c>
      <c r="D617">
        <v>670300000</v>
      </c>
      <c r="E617">
        <v>612100000</v>
      </c>
      <c r="F617" t="s">
        <v>3472</v>
      </c>
      <c r="G617">
        <v>2022</v>
      </c>
      <c r="H617" t="s">
        <v>3189</v>
      </c>
      <c r="I617" t="s">
        <v>3158</v>
      </c>
      <c r="J617" t="s">
        <v>3473</v>
      </c>
      <c r="K617" t="s">
        <v>564</v>
      </c>
    </row>
    <row r="618" spans="1:11" x14ac:dyDescent="0.25">
      <c r="A618" t="s">
        <v>3138</v>
      </c>
      <c r="B618" t="s">
        <v>3188</v>
      </c>
      <c r="C618">
        <v>250</v>
      </c>
      <c r="D618">
        <v>728400000</v>
      </c>
      <c r="E618">
        <v>668500000</v>
      </c>
      <c r="F618" t="s">
        <v>3472</v>
      </c>
      <c r="G618">
        <v>2022</v>
      </c>
      <c r="H618" t="s">
        <v>3189</v>
      </c>
      <c r="I618" t="s">
        <v>3158</v>
      </c>
      <c r="J618" t="s">
        <v>3473</v>
      </c>
      <c r="K618" t="s">
        <v>564</v>
      </c>
    </row>
    <row r="619" spans="1:11" x14ac:dyDescent="0.25">
      <c r="A619" t="s">
        <v>3138</v>
      </c>
      <c r="B619" t="s">
        <v>3188</v>
      </c>
      <c r="C619">
        <v>500</v>
      </c>
      <c r="D619">
        <v>930800000</v>
      </c>
      <c r="E619">
        <v>867400000</v>
      </c>
      <c r="F619" t="s">
        <v>3472</v>
      </c>
      <c r="G619">
        <v>2022</v>
      </c>
      <c r="H619" t="s">
        <v>3189</v>
      </c>
      <c r="I619" t="s">
        <v>3158</v>
      </c>
      <c r="J619" t="s">
        <v>3473</v>
      </c>
      <c r="K619" t="s">
        <v>564</v>
      </c>
    </row>
    <row r="620" spans="1:11" x14ac:dyDescent="0.25">
      <c r="A620" t="s">
        <v>3138</v>
      </c>
      <c r="B620" t="s">
        <v>3188</v>
      </c>
      <c r="C620">
        <v>1000</v>
      </c>
      <c r="D620">
        <v>1168600000</v>
      </c>
      <c r="E620">
        <v>1104300000</v>
      </c>
      <c r="F620" t="s">
        <v>3472</v>
      </c>
      <c r="G620">
        <v>2022</v>
      </c>
      <c r="H620" t="s">
        <v>3189</v>
      </c>
      <c r="I620" t="s">
        <v>3158</v>
      </c>
      <c r="J620" t="s">
        <v>3473</v>
      </c>
      <c r="K620" t="s">
        <v>564</v>
      </c>
    </row>
    <row r="621" spans="1:11" x14ac:dyDescent="0.25">
      <c r="A621" t="s">
        <v>3138</v>
      </c>
      <c r="B621" t="s">
        <v>3188</v>
      </c>
      <c r="C621">
        <v>2000</v>
      </c>
      <c r="D621">
        <v>1439000000</v>
      </c>
      <c r="E621">
        <v>1374600000</v>
      </c>
      <c r="F621" t="s">
        <v>3472</v>
      </c>
      <c r="G621">
        <v>2022</v>
      </c>
      <c r="H621" t="s">
        <v>3189</v>
      </c>
      <c r="I621" t="s">
        <v>3158</v>
      </c>
      <c r="J621" t="s">
        <v>3473</v>
      </c>
      <c r="K621" t="s">
        <v>564</v>
      </c>
    </row>
    <row r="622" spans="1:11" x14ac:dyDescent="0.25">
      <c r="A622" t="s">
        <v>3138</v>
      </c>
      <c r="B622" t="s">
        <v>3188</v>
      </c>
      <c r="C622">
        <v>4000</v>
      </c>
      <c r="D622">
        <v>1734100000</v>
      </c>
      <c r="E622">
        <v>1669400000</v>
      </c>
      <c r="F622" t="s">
        <v>3472</v>
      </c>
      <c r="G622">
        <v>2022</v>
      </c>
      <c r="H622" t="s">
        <v>3189</v>
      </c>
      <c r="I622" t="s">
        <v>3158</v>
      </c>
      <c r="J622" t="s">
        <v>3473</v>
      </c>
      <c r="K622" t="s">
        <v>564</v>
      </c>
    </row>
    <row r="623" spans="1:11" x14ac:dyDescent="0.25">
      <c r="A623" t="s">
        <v>3138</v>
      </c>
      <c r="B623" t="s">
        <v>3171</v>
      </c>
      <c r="C623">
        <v>2</v>
      </c>
      <c r="D623">
        <v>0</v>
      </c>
      <c r="E623">
        <v>0</v>
      </c>
      <c r="F623" t="s">
        <v>3452</v>
      </c>
      <c r="G623">
        <v>2022</v>
      </c>
      <c r="H623" t="s">
        <v>3172</v>
      </c>
      <c r="I623" t="s">
        <v>3158</v>
      </c>
      <c r="J623" t="s">
        <v>3453</v>
      </c>
      <c r="K623" t="s">
        <v>564</v>
      </c>
    </row>
    <row r="624" spans="1:11" x14ac:dyDescent="0.25">
      <c r="A624" t="s">
        <v>3138</v>
      </c>
      <c r="B624" t="s">
        <v>3171</v>
      </c>
      <c r="C624">
        <v>5</v>
      </c>
      <c r="D624">
        <v>0</v>
      </c>
      <c r="E624">
        <v>0</v>
      </c>
      <c r="F624" t="s">
        <v>3452</v>
      </c>
      <c r="G624">
        <v>2022</v>
      </c>
      <c r="H624" t="s">
        <v>3172</v>
      </c>
      <c r="I624" t="s">
        <v>3158</v>
      </c>
      <c r="J624" t="s">
        <v>3453</v>
      </c>
      <c r="K624" t="s">
        <v>564</v>
      </c>
    </row>
    <row r="625" spans="1:11" x14ac:dyDescent="0.25">
      <c r="A625" t="s">
        <v>3138</v>
      </c>
      <c r="B625" t="s">
        <v>3171</v>
      </c>
      <c r="C625">
        <v>10</v>
      </c>
      <c r="D625">
        <v>100000</v>
      </c>
      <c r="E625">
        <v>100000</v>
      </c>
      <c r="F625" t="s">
        <v>3452</v>
      </c>
      <c r="G625">
        <v>2022</v>
      </c>
      <c r="H625" t="s">
        <v>3172</v>
      </c>
      <c r="I625" t="s">
        <v>3158</v>
      </c>
      <c r="J625" t="s">
        <v>3453</v>
      </c>
      <c r="K625" t="s">
        <v>564</v>
      </c>
    </row>
    <row r="626" spans="1:11" x14ac:dyDescent="0.25">
      <c r="A626" t="s">
        <v>3138</v>
      </c>
      <c r="B626" t="s">
        <v>3171</v>
      </c>
      <c r="C626">
        <v>25</v>
      </c>
      <c r="D626">
        <v>1400000</v>
      </c>
      <c r="E626">
        <v>1400000</v>
      </c>
      <c r="F626" t="s">
        <v>3452</v>
      </c>
      <c r="G626">
        <v>2022</v>
      </c>
      <c r="H626" t="s">
        <v>3172</v>
      </c>
      <c r="I626" t="s">
        <v>3158</v>
      </c>
      <c r="J626" t="s">
        <v>3453</v>
      </c>
      <c r="K626" t="s">
        <v>564</v>
      </c>
    </row>
    <row r="627" spans="1:11" x14ac:dyDescent="0.25">
      <c r="A627" t="s">
        <v>3138</v>
      </c>
      <c r="B627" t="s">
        <v>3171</v>
      </c>
      <c r="C627">
        <v>50</v>
      </c>
      <c r="D627">
        <v>7700000</v>
      </c>
      <c r="E627">
        <v>7700000</v>
      </c>
      <c r="F627" t="s">
        <v>3452</v>
      </c>
      <c r="G627">
        <v>2022</v>
      </c>
      <c r="H627" t="s">
        <v>3172</v>
      </c>
      <c r="I627" t="s">
        <v>3158</v>
      </c>
      <c r="J627" t="s">
        <v>3453</v>
      </c>
      <c r="K627" t="s">
        <v>564</v>
      </c>
    </row>
    <row r="628" spans="1:11" x14ac:dyDescent="0.25">
      <c r="A628" t="s">
        <v>3138</v>
      </c>
      <c r="B628" t="s">
        <v>3171</v>
      </c>
      <c r="C628">
        <v>100</v>
      </c>
      <c r="D628">
        <v>19200000</v>
      </c>
      <c r="E628">
        <v>19000000</v>
      </c>
      <c r="F628" t="s">
        <v>3452</v>
      </c>
      <c r="G628">
        <v>2022</v>
      </c>
      <c r="H628" t="s">
        <v>3172</v>
      </c>
      <c r="I628" t="s">
        <v>3158</v>
      </c>
      <c r="J628" t="s">
        <v>3453</v>
      </c>
      <c r="K628" t="s">
        <v>564</v>
      </c>
    </row>
    <row r="629" spans="1:11" x14ac:dyDescent="0.25">
      <c r="A629" t="s">
        <v>3138</v>
      </c>
      <c r="B629" t="s">
        <v>3171</v>
      </c>
      <c r="C629">
        <v>200</v>
      </c>
      <c r="D629">
        <v>34500000</v>
      </c>
      <c r="E629">
        <v>34200000</v>
      </c>
      <c r="F629" t="s">
        <v>3452</v>
      </c>
      <c r="G629">
        <v>2022</v>
      </c>
      <c r="H629" t="s">
        <v>3172</v>
      </c>
      <c r="I629" t="s">
        <v>3158</v>
      </c>
      <c r="J629" t="s">
        <v>3453</v>
      </c>
      <c r="K629" t="s">
        <v>564</v>
      </c>
    </row>
    <row r="630" spans="1:11" x14ac:dyDescent="0.25">
      <c r="A630" t="s">
        <v>3138</v>
      </c>
      <c r="B630" t="s">
        <v>3171</v>
      </c>
      <c r="C630">
        <v>250</v>
      </c>
      <c r="D630">
        <v>40000000</v>
      </c>
      <c r="E630">
        <v>39600000</v>
      </c>
      <c r="F630" t="s">
        <v>3452</v>
      </c>
      <c r="G630">
        <v>2022</v>
      </c>
      <c r="H630" t="s">
        <v>3172</v>
      </c>
      <c r="I630" t="s">
        <v>3158</v>
      </c>
      <c r="J630" t="s">
        <v>3453</v>
      </c>
      <c r="K630" t="s">
        <v>564</v>
      </c>
    </row>
    <row r="631" spans="1:11" x14ac:dyDescent="0.25">
      <c r="A631" t="s">
        <v>3138</v>
      </c>
      <c r="B631" t="s">
        <v>3171</v>
      </c>
      <c r="C631">
        <v>500</v>
      </c>
      <c r="D631">
        <v>59400000</v>
      </c>
      <c r="E631">
        <v>58800000</v>
      </c>
      <c r="F631" t="s">
        <v>3452</v>
      </c>
      <c r="G631">
        <v>2022</v>
      </c>
      <c r="H631" t="s">
        <v>3172</v>
      </c>
      <c r="I631" t="s">
        <v>3158</v>
      </c>
      <c r="J631" t="s">
        <v>3453</v>
      </c>
      <c r="K631" t="s">
        <v>564</v>
      </c>
    </row>
    <row r="632" spans="1:11" x14ac:dyDescent="0.25">
      <c r="A632" t="s">
        <v>3138</v>
      </c>
      <c r="B632" t="s">
        <v>3171</v>
      </c>
      <c r="C632">
        <v>1000</v>
      </c>
      <c r="D632">
        <v>83400000</v>
      </c>
      <c r="E632">
        <v>82600000</v>
      </c>
      <c r="F632" t="s">
        <v>3452</v>
      </c>
      <c r="G632">
        <v>2022</v>
      </c>
      <c r="H632" t="s">
        <v>3172</v>
      </c>
      <c r="I632" t="s">
        <v>3158</v>
      </c>
      <c r="J632" t="s">
        <v>3453</v>
      </c>
      <c r="K632" t="s">
        <v>564</v>
      </c>
    </row>
    <row r="633" spans="1:11" x14ac:dyDescent="0.25">
      <c r="A633" t="s">
        <v>3138</v>
      </c>
      <c r="B633" t="s">
        <v>3171</v>
      </c>
      <c r="C633">
        <v>2000</v>
      </c>
      <c r="D633">
        <v>111300000</v>
      </c>
      <c r="E633">
        <v>110500000</v>
      </c>
      <c r="F633" t="s">
        <v>3452</v>
      </c>
      <c r="G633">
        <v>2022</v>
      </c>
      <c r="H633" t="s">
        <v>3172</v>
      </c>
      <c r="I633" t="s">
        <v>3158</v>
      </c>
      <c r="J633" t="s">
        <v>3453</v>
      </c>
      <c r="K633" t="s">
        <v>564</v>
      </c>
    </row>
    <row r="634" spans="1:11" x14ac:dyDescent="0.25">
      <c r="A634" t="s">
        <v>3138</v>
      </c>
      <c r="B634" t="s">
        <v>3171</v>
      </c>
      <c r="C634">
        <v>4000</v>
      </c>
      <c r="D634">
        <v>139500000</v>
      </c>
      <c r="E634">
        <v>138600000</v>
      </c>
      <c r="F634" t="s">
        <v>3452</v>
      </c>
      <c r="G634">
        <v>2022</v>
      </c>
      <c r="H634" t="s">
        <v>3172</v>
      </c>
      <c r="I634" t="s">
        <v>3158</v>
      </c>
      <c r="J634" t="s">
        <v>3453</v>
      </c>
      <c r="K634" t="s">
        <v>564</v>
      </c>
    </row>
    <row r="635" spans="1:11" x14ac:dyDescent="0.25">
      <c r="A635" t="s">
        <v>3138</v>
      </c>
      <c r="B635" t="s">
        <v>3194</v>
      </c>
      <c r="C635">
        <v>2</v>
      </c>
      <c r="D635">
        <v>4400000</v>
      </c>
      <c r="E635">
        <v>1600000</v>
      </c>
      <c r="F635" t="s">
        <v>3476</v>
      </c>
      <c r="G635">
        <v>2022</v>
      </c>
      <c r="H635" t="s">
        <v>3195</v>
      </c>
      <c r="I635" t="s">
        <v>3158</v>
      </c>
      <c r="J635" t="s">
        <v>3477</v>
      </c>
      <c r="K635" t="s">
        <v>564</v>
      </c>
    </row>
    <row r="636" spans="1:11" x14ac:dyDescent="0.25">
      <c r="A636" t="s">
        <v>3138</v>
      </c>
      <c r="B636" t="s">
        <v>3194</v>
      </c>
      <c r="C636">
        <v>5</v>
      </c>
      <c r="D636">
        <v>7800000</v>
      </c>
      <c r="E636">
        <v>2900000</v>
      </c>
      <c r="F636" t="s">
        <v>3476</v>
      </c>
      <c r="G636">
        <v>2022</v>
      </c>
      <c r="H636" t="s">
        <v>3195</v>
      </c>
      <c r="I636" t="s">
        <v>3158</v>
      </c>
      <c r="J636" t="s">
        <v>3477</v>
      </c>
      <c r="K636" t="s">
        <v>564</v>
      </c>
    </row>
    <row r="637" spans="1:11" x14ac:dyDescent="0.25">
      <c r="A637" t="s">
        <v>3138</v>
      </c>
      <c r="B637" t="s">
        <v>3194</v>
      </c>
      <c r="C637">
        <v>10</v>
      </c>
      <c r="D637">
        <v>10500000</v>
      </c>
      <c r="E637">
        <v>3900000</v>
      </c>
      <c r="F637" t="s">
        <v>3476</v>
      </c>
      <c r="G637">
        <v>2022</v>
      </c>
      <c r="H637" t="s">
        <v>3195</v>
      </c>
      <c r="I637" t="s">
        <v>3158</v>
      </c>
      <c r="J637" t="s">
        <v>3477</v>
      </c>
      <c r="K637" t="s">
        <v>564</v>
      </c>
    </row>
    <row r="638" spans="1:11" x14ac:dyDescent="0.25">
      <c r="A638" t="s">
        <v>3138</v>
      </c>
      <c r="B638" t="s">
        <v>3194</v>
      </c>
      <c r="C638">
        <v>25</v>
      </c>
      <c r="D638">
        <v>14300000</v>
      </c>
      <c r="E638">
        <v>5600000</v>
      </c>
      <c r="F638" t="s">
        <v>3476</v>
      </c>
      <c r="G638">
        <v>2022</v>
      </c>
      <c r="H638" t="s">
        <v>3195</v>
      </c>
      <c r="I638" t="s">
        <v>3158</v>
      </c>
      <c r="J638" t="s">
        <v>3477</v>
      </c>
      <c r="K638" t="s">
        <v>564</v>
      </c>
    </row>
    <row r="639" spans="1:11" x14ac:dyDescent="0.25">
      <c r="A639" t="s">
        <v>3138</v>
      </c>
      <c r="B639" t="s">
        <v>3194</v>
      </c>
      <c r="C639">
        <v>50</v>
      </c>
      <c r="D639">
        <v>18300000</v>
      </c>
      <c r="E639">
        <v>7200000</v>
      </c>
      <c r="F639" t="s">
        <v>3476</v>
      </c>
      <c r="G639">
        <v>2022</v>
      </c>
      <c r="H639" t="s">
        <v>3195</v>
      </c>
      <c r="I639" t="s">
        <v>3158</v>
      </c>
      <c r="J639" t="s">
        <v>3477</v>
      </c>
      <c r="K639" t="s">
        <v>564</v>
      </c>
    </row>
    <row r="640" spans="1:11" x14ac:dyDescent="0.25">
      <c r="A640" t="s">
        <v>3138</v>
      </c>
      <c r="B640" t="s">
        <v>3194</v>
      </c>
      <c r="C640">
        <v>100</v>
      </c>
      <c r="D640">
        <v>23900000</v>
      </c>
      <c r="E640">
        <v>9700000</v>
      </c>
      <c r="F640" t="s">
        <v>3476</v>
      </c>
      <c r="G640">
        <v>2022</v>
      </c>
      <c r="H640" t="s">
        <v>3195</v>
      </c>
      <c r="I640" t="s">
        <v>3158</v>
      </c>
      <c r="J640" t="s">
        <v>3477</v>
      </c>
      <c r="K640" t="s">
        <v>564</v>
      </c>
    </row>
    <row r="641" spans="1:11" x14ac:dyDescent="0.25">
      <c r="A641" t="s">
        <v>3138</v>
      </c>
      <c r="B641" t="s">
        <v>3194</v>
      </c>
      <c r="C641">
        <v>200</v>
      </c>
      <c r="D641">
        <v>30300000</v>
      </c>
      <c r="E641">
        <v>12900000</v>
      </c>
      <c r="F641" t="s">
        <v>3476</v>
      </c>
      <c r="G641">
        <v>2022</v>
      </c>
      <c r="H641" t="s">
        <v>3195</v>
      </c>
      <c r="I641" t="s">
        <v>3158</v>
      </c>
      <c r="J641" t="s">
        <v>3477</v>
      </c>
      <c r="K641" t="s">
        <v>564</v>
      </c>
    </row>
    <row r="642" spans="1:11" x14ac:dyDescent="0.25">
      <c r="A642" t="s">
        <v>3138</v>
      </c>
      <c r="B642" t="s">
        <v>3194</v>
      </c>
      <c r="C642">
        <v>250</v>
      </c>
      <c r="D642">
        <v>32200000</v>
      </c>
      <c r="E642">
        <v>14400000</v>
      </c>
      <c r="F642" t="s">
        <v>3476</v>
      </c>
      <c r="G642">
        <v>2022</v>
      </c>
      <c r="H642" t="s">
        <v>3195</v>
      </c>
      <c r="I642" t="s">
        <v>3158</v>
      </c>
      <c r="J642" t="s">
        <v>3477</v>
      </c>
      <c r="K642" t="s">
        <v>564</v>
      </c>
    </row>
    <row r="643" spans="1:11" x14ac:dyDescent="0.25">
      <c r="A643" t="s">
        <v>3138</v>
      </c>
      <c r="B643" t="s">
        <v>3194</v>
      </c>
      <c r="C643">
        <v>500</v>
      </c>
      <c r="D643">
        <v>40600000</v>
      </c>
      <c r="E643">
        <v>19200000</v>
      </c>
      <c r="F643" t="s">
        <v>3476</v>
      </c>
      <c r="G643">
        <v>2022</v>
      </c>
      <c r="H643" t="s">
        <v>3195</v>
      </c>
      <c r="I643" t="s">
        <v>3158</v>
      </c>
      <c r="J643" t="s">
        <v>3477</v>
      </c>
      <c r="K643" t="s">
        <v>564</v>
      </c>
    </row>
    <row r="644" spans="1:11" x14ac:dyDescent="0.25">
      <c r="A644" t="s">
        <v>3138</v>
      </c>
      <c r="B644" t="s">
        <v>3194</v>
      </c>
      <c r="C644">
        <v>1000</v>
      </c>
      <c r="D644">
        <v>51200000</v>
      </c>
      <c r="E644">
        <v>24100000</v>
      </c>
      <c r="F644" t="s">
        <v>3476</v>
      </c>
      <c r="G644">
        <v>2022</v>
      </c>
      <c r="H644" t="s">
        <v>3195</v>
      </c>
      <c r="I644" t="s">
        <v>3158</v>
      </c>
      <c r="J644" t="s">
        <v>3477</v>
      </c>
      <c r="K644" t="s">
        <v>564</v>
      </c>
    </row>
    <row r="645" spans="1:11" x14ac:dyDescent="0.25">
      <c r="A645" t="s">
        <v>3138</v>
      </c>
      <c r="B645" t="s">
        <v>3194</v>
      </c>
      <c r="C645">
        <v>2000</v>
      </c>
      <c r="D645">
        <v>62700000</v>
      </c>
      <c r="E645">
        <v>29600000</v>
      </c>
      <c r="F645" t="s">
        <v>3476</v>
      </c>
      <c r="G645">
        <v>2022</v>
      </c>
      <c r="H645" t="s">
        <v>3195</v>
      </c>
      <c r="I645" t="s">
        <v>3158</v>
      </c>
      <c r="J645" t="s">
        <v>3477</v>
      </c>
      <c r="K645" t="s">
        <v>564</v>
      </c>
    </row>
    <row r="646" spans="1:11" x14ac:dyDescent="0.25">
      <c r="A646" t="s">
        <v>3138</v>
      </c>
      <c r="B646" t="s">
        <v>3194</v>
      </c>
      <c r="C646">
        <v>5000</v>
      </c>
      <c r="D646">
        <v>77400000</v>
      </c>
      <c r="E646">
        <v>36100000</v>
      </c>
      <c r="F646" t="s">
        <v>3476</v>
      </c>
      <c r="G646">
        <v>2022</v>
      </c>
      <c r="H646" t="s">
        <v>3195</v>
      </c>
      <c r="I646" t="s">
        <v>3158</v>
      </c>
      <c r="J646" t="s">
        <v>3477</v>
      </c>
      <c r="K646" t="s">
        <v>564</v>
      </c>
    </row>
    <row r="647" spans="1:11" x14ac:dyDescent="0.25">
      <c r="A647" t="s">
        <v>3138</v>
      </c>
      <c r="B647" t="s">
        <v>3171</v>
      </c>
      <c r="C647">
        <v>2</v>
      </c>
      <c r="D647">
        <v>26400000</v>
      </c>
      <c r="E647">
        <v>9800000</v>
      </c>
      <c r="F647" t="s">
        <v>3452</v>
      </c>
      <c r="G647">
        <v>2022</v>
      </c>
      <c r="H647" t="s">
        <v>3172</v>
      </c>
      <c r="I647" t="s">
        <v>3158</v>
      </c>
      <c r="J647" t="s">
        <v>3453</v>
      </c>
      <c r="K647" t="s">
        <v>564</v>
      </c>
    </row>
    <row r="648" spans="1:11" x14ac:dyDescent="0.25">
      <c r="A648" t="s">
        <v>3138</v>
      </c>
      <c r="B648" t="s">
        <v>3171</v>
      </c>
      <c r="C648">
        <v>5</v>
      </c>
      <c r="D648">
        <v>47000000</v>
      </c>
      <c r="E648">
        <v>21900000</v>
      </c>
      <c r="F648" t="s">
        <v>3452</v>
      </c>
      <c r="G648">
        <v>2022</v>
      </c>
      <c r="H648" t="s">
        <v>3172</v>
      </c>
      <c r="I648" t="s">
        <v>3158</v>
      </c>
      <c r="J648" t="s">
        <v>3453</v>
      </c>
      <c r="K648" t="s">
        <v>564</v>
      </c>
    </row>
    <row r="649" spans="1:11" x14ac:dyDescent="0.25">
      <c r="A649" t="s">
        <v>3138</v>
      </c>
      <c r="B649" t="s">
        <v>3171</v>
      </c>
      <c r="C649">
        <v>10</v>
      </c>
      <c r="D649">
        <v>63300000</v>
      </c>
      <c r="E649">
        <v>33400000</v>
      </c>
      <c r="F649" t="s">
        <v>3452</v>
      </c>
      <c r="G649">
        <v>2022</v>
      </c>
      <c r="H649" t="s">
        <v>3172</v>
      </c>
      <c r="I649" t="s">
        <v>3158</v>
      </c>
      <c r="J649" t="s">
        <v>3453</v>
      </c>
      <c r="K649" t="s">
        <v>564</v>
      </c>
    </row>
    <row r="650" spans="1:11" x14ac:dyDescent="0.25">
      <c r="A650" t="s">
        <v>3138</v>
      </c>
      <c r="B650" t="s">
        <v>3171</v>
      </c>
      <c r="C650">
        <v>25</v>
      </c>
      <c r="D650">
        <v>87400000</v>
      </c>
      <c r="E650">
        <v>52300000</v>
      </c>
      <c r="F650" t="s">
        <v>3452</v>
      </c>
      <c r="G650">
        <v>2022</v>
      </c>
      <c r="H650" t="s">
        <v>3172</v>
      </c>
      <c r="I650" t="s">
        <v>3158</v>
      </c>
      <c r="J650" t="s">
        <v>3453</v>
      </c>
      <c r="K650" t="s">
        <v>564</v>
      </c>
    </row>
    <row r="651" spans="1:11" x14ac:dyDescent="0.25">
      <c r="A651" t="s">
        <v>3138</v>
      </c>
      <c r="B651" t="s">
        <v>3171</v>
      </c>
      <c r="C651">
        <v>50</v>
      </c>
      <c r="D651">
        <v>108400000</v>
      </c>
      <c r="E651">
        <v>70500000</v>
      </c>
      <c r="F651" t="s">
        <v>3452</v>
      </c>
      <c r="G651">
        <v>2022</v>
      </c>
      <c r="H651" t="s">
        <v>3172</v>
      </c>
      <c r="I651" t="s">
        <v>3158</v>
      </c>
      <c r="J651" t="s">
        <v>3453</v>
      </c>
      <c r="K651" t="s">
        <v>564</v>
      </c>
    </row>
    <row r="652" spans="1:11" x14ac:dyDescent="0.25">
      <c r="A652" t="s">
        <v>3138</v>
      </c>
      <c r="B652" t="s">
        <v>3171</v>
      </c>
      <c r="C652">
        <v>100</v>
      </c>
      <c r="D652">
        <v>132900000</v>
      </c>
      <c r="E652">
        <v>93300000</v>
      </c>
      <c r="F652" t="s">
        <v>3452</v>
      </c>
      <c r="G652">
        <v>2022</v>
      </c>
      <c r="H652" t="s">
        <v>3172</v>
      </c>
      <c r="I652" t="s">
        <v>3158</v>
      </c>
      <c r="J652" t="s">
        <v>3453</v>
      </c>
      <c r="K652" t="s">
        <v>564</v>
      </c>
    </row>
    <row r="653" spans="1:11" x14ac:dyDescent="0.25">
      <c r="A653" t="s">
        <v>3138</v>
      </c>
      <c r="B653" t="s">
        <v>3171</v>
      </c>
      <c r="C653">
        <v>200</v>
      </c>
      <c r="D653">
        <v>162500000</v>
      </c>
      <c r="E653">
        <v>122300000</v>
      </c>
      <c r="F653" t="s">
        <v>3452</v>
      </c>
      <c r="G653">
        <v>2022</v>
      </c>
      <c r="H653" t="s">
        <v>3172</v>
      </c>
      <c r="I653" t="s">
        <v>3158</v>
      </c>
      <c r="J653" t="s">
        <v>3453</v>
      </c>
      <c r="K653" t="s">
        <v>564</v>
      </c>
    </row>
    <row r="654" spans="1:11" x14ac:dyDescent="0.25">
      <c r="A654" t="s">
        <v>3138</v>
      </c>
      <c r="B654" t="s">
        <v>3171</v>
      </c>
      <c r="C654">
        <v>250</v>
      </c>
      <c r="D654">
        <v>173500000</v>
      </c>
      <c r="E654">
        <v>133300000</v>
      </c>
      <c r="F654" t="s">
        <v>3452</v>
      </c>
      <c r="G654">
        <v>2022</v>
      </c>
      <c r="H654" t="s">
        <v>3172</v>
      </c>
      <c r="I654" t="s">
        <v>3158</v>
      </c>
      <c r="J654" t="s">
        <v>3453</v>
      </c>
      <c r="K654" t="s">
        <v>564</v>
      </c>
    </row>
    <row r="655" spans="1:11" x14ac:dyDescent="0.25">
      <c r="A655" t="s">
        <v>3138</v>
      </c>
      <c r="B655" t="s">
        <v>3171</v>
      </c>
      <c r="C655">
        <v>500</v>
      </c>
      <c r="D655">
        <v>213100000</v>
      </c>
      <c r="E655">
        <v>173500000</v>
      </c>
      <c r="F655" t="s">
        <v>3452</v>
      </c>
      <c r="G655">
        <v>2022</v>
      </c>
      <c r="H655" t="s">
        <v>3172</v>
      </c>
      <c r="I655" t="s">
        <v>3158</v>
      </c>
      <c r="J655" t="s">
        <v>3453</v>
      </c>
      <c r="K655" t="s">
        <v>564</v>
      </c>
    </row>
    <row r="656" spans="1:11" x14ac:dyDescent="0.25">
      <c r="A656" t="s">
        <v>3138</v>
      </c>
      <c r="B656" t="s">
        <v>3171</v>
      </c>
      <c r="C656">
        <v>1000</v>
      </c>
      <c r="D656">
        <v>262800000</v>
      </c>
      <c r="E656">
        <v>224200000</v>
      </c>
      <c r="F656" t="s">
        <v>3452</v>
      </c>
      <c r="G656">
        <v>2022</v>
      </c>
      <c r="H656" t="s">
        <v>3172</v>
      </c>
      <c r="I656" t="s">
        <v>3158</v>
      </c>
      <c r="J656" t="s">
        <v>3453</v>
      </c>
      <c r="K656" t="s">
        <v>564</v>
      </c>
    </row>
    <row r="657" spans="1:11" x14ac:dyDescent="0.25">
      <c r="A657" t="s">
        <v>3138</v>
      </c>
      <c r="B657" t="s">
        <v>3171</v>
      </c>
      <c r="C657">
        <v>2000</v>
      </c>
      <c r="D657">
        <v>324800000</v>
      </c>
      <c r="E657">
        <v>286900000</v>
      </c>
      <c r="F657" t="s">
        <v>3452</v>
      </c>
      <c r="G657">
        <v>2022</v>
      </c>
      <c r="H657" t="s">
        <v>3172</v>
      </c>
      <c r="I657" t="s">
        <v>3158</v>
      </c>
      <c r="J657" t="s">
        <v>3453</v>
      </c>
      <c r="K657" t="s">
        <v>564</v>
      </c>
    </row>
    <row r="658" spans="1:11" x14ac:dyDescent="0.25">
      <c r="A658" t="s">
        <v>3138</v>
      </c>
      <c r="B658" t="s">
        <v>3171</v>
      </c>
      <c r="C658">
        <v>5000</v>
      </c>
      <c r="D658">
        <v>429800000</v>
      </c>
      <c r="E658">
        <v>392900000</v>
      </c>
      <c r="F658" t="s">
        <v>3452</v>
      </c>
      <c r="G658">
        <v>2022</v>
      </c>
      <c r="H658" t="s">
        <v>3172</v>
      </c>
      <c r="I658" t="s">
        <v>3158</v>
      </c>
      <c r="J658" t="s">
        <v>3453</v>
      </c>
      <c r="K658" t="s">
        <v>564</v>
      </c>
    </row>
    <row r="659" spans="1:11" x14ac:dyDescent="0.25">
      <c r="A659" t="s">
        <v>3138</v>
      </c>
      <c r="B659" t="s">
        <v>3190</v>
      </c>
      <c r="C659">
        <v>2</v>
      </c>
      <c r="D659">
        <v>400000</v>
      </c>
      <c r="E659">
        <v>300000</v>
      </c>
      <c r="F659" t="s">
        <v>3474</v>
      </c>
      <c r="G659">
        <v>2022</v>
      </c>
      <c r="H659" t="s">
        <v>3191</v>
      </c>
      <c r="I659" t="s">
        <v>3158</v>
      </c>
      <c r="J659" t="s">
        <v>3475</v>
      </c>
      <c r="K659" t="s">
        <v>15</v>
      </c>
    </row>
    <row r="660" spans="1:11" x14ac:dyDescent="0.25">
      <c r="A660" t="s">
        <v>3138</v>
      </c>
      <c r="B660" t="s">
        <v>3190</v>
      </c>
      <c r="C660">
        <v>5</v>
      </c>
      <c r="D660">
        <v>1300000</v>
      </c>
      <c r="E660">
        <v>900000</v>
      </c>
      <c r="F660" t="s">
        <v>3474</v>
      </c>
      <c r="G660">
        <v>2022</v>
      </c>
      <c r="H660" t="s">
        <v>3191</v>
      </c>
      <c r="I660" t="s">
        <v>3158</v>
      </c>
      <c r="J660" t="s">
        <v>3475</v>
      </c>
      <c r="K660" t="s">
        <v>15</v>
      </c>
    </row>
    <row r="661" spans="1:11" x14ac:dyDescent="0.25">
      <c r="A661" t="s">
        <v>3138</v>
      </c>
      <c r="B661" t="s">
        <v>3190</v>
      </c>
      <c r="C661">
        <v>10</v>
      </c>
      <c r="D661">
        <v>2300000</v>
      </c>
      <c r="E661">
        <v>1800000</v>
      </c>
      <c r="F661" t="s">
        <v>3474</v>
      </c>
      <c r="G661">
        <v>2022</v>
      </c>
      <c r="H661" t="s">
        <v>3191</v>
      </c>
      <c r="I661" t="s">
        <v>3158</v>
      </c>
      <c r="J661" t="s">
        <v>3475</v>
      </c>
      <c r="K661" t="s">
        <v>15</v>
      </c>
    </row>
    <row r="662" spans="1:11" x14ac:dyDescent="0.25">
      <c r="A662" t="s">
        <v>3138</v>
      </c>
      <c r="B662" t="s">
        <v>3190</v>
      </c>
      <c r="C662">
        <v>25</v>
      </c>
      <c r="D662">
        <v>4300000</v>
      </c>
      <c r="E662">
        <v>3600000</v>
      </c>
      <c r="F662" t="s">
        <v>3474</v>
      </c>
      <c r="G662">
        <v>2022</v>
      </c>
      <c r="H662" t="s">
        <v>3191</v>
      </c>
      <c r="I662" t="s">
        <v>3158</v>
      </c>
      <c r="J662" t="s">
        <v>3475</v>
      </c>
      <c r="K662" t="s">
        <v>15</v>
      </c>
    </row>
    <row r="663" spans="1:11" x14ac:dyDescent="0.25">
      <c r="A663" t="s">
        <v>3138</v>
      </c>
      <c r="B663" t="s">
        <v>3190</v>
      </c>
      <c r="C663">
        <v>50</v>
      </c>
      <c r="D663">
        <v>6500000</v>
      </c>
      <c r="E663">
        <v>5600000</v>
      </c>
      <c r="F663" t="s">
        <v>3474</v>
      </c>
      <c r="G663">
        <v>2022</v>
      </c>
      <c r="H663" t="s">
        <v>3191</v>
      </c>
      <c r="I663" t="s">
        <v>3158</v>
      </c>
      <c r="J663" t="s">
        <v>3475</v>
      </c>
      <c r="K663" t="s">
        <v>15</v>
      </c>
    </row>
    <row r="664" spans="1:11" x14ac:dyDescent="0.25">
      <c r="A664" t="s">
        <v>3138</v>
      </c>
      <c r="B664" t="s">
        <v>3190</v>
      </c>
      <c r="C664">
        <v>100</v>
      </c>
      <c r="D664">
        <v>9400000</v>
      </c>
      <c r="E664">
        <v>8400000</v>
      </c>
      <c r="F664" t="s">
        <v>3474</v>
      </c>
      <c r="G664">
        <v>2022</v>
      </c>
      <c r="H664" t="s">
        <v>3191</v>
      </c>
      <c r="I664" t="s">
        <v>3158</v>
      </c>
      <c r="J664" t="s">
        <v>3475</v>
      </c>
      <c r="K664" t="s">
        <v>15</v>
      </c>
    </row>
    <row r="665" spans="1:11" x14ac:dyDescent="0.25">
      <c r="A665" t="s">
        <v>3138</v>
      </c>
      <c r="B665" t="s">
        <v>3190</v>
      </c>
      <c r="C665">
        <v>200</v>
      </c>
      <c r="D665">
        <v>13300000</v>
      </c>
      <c r="E665">
        <v>12300000</v>
      </c>
      <c r="F665" t="s">
        <v>3474</v>
      </c>
      <c r="G665">
        <v>2022</v>
      </c>
      <c r="H665" t="s">
        <v>3191</v>
      </c>
      <c r="I665" t="s">
        <v>3158</v>
      </c>
      <c r="J665" t="s">
        <v>3475</v>
      </c>
      <c r="K665" t="s">
        <v>15</v>
      </c>
    </row>
    <row r="666" spans="1:11" x14ac:dyDescent="0.25">
      <c r="A666" t="s">
        <v>3138</v>
      </c>
      <c r="B666" t="s">
        <v>3190</v>
      </c>
      <c r="C666">
        <v>250</v>
      </c>
      <c r="D666">
        <v>14900000</v>
      </c>
      <c r="E666">
        <v>13800000</v>
      </c>
      <c r="F666" t="s">
        <v>3474</v>
      </c>
      <c r="G666">
        <v>2022</v>
      </c>
      <c r="H666" t="s">
        <v>3191</v>
      </c>
      <c r="I666" t="s">
        <v>3158</v>
      </c>
      <c r="J666" t="s">
        <v>3475</v>
      </c>
      <c r="K666" t="s">
        <v>15</v>
      </c>
    </row>
    <row r="667" spans="1:11" x14ac:dyDescent="0.25">
      <c r="A667" t="s">
        <v>3138</v>
      </c>
      <c r="B667" t="s">
        <v>3190</v>
      </c>
      <c r="C667">
        <v>500</v>
      </c>
      <c r="D667">
        <v>20900000</v>
      </c>
      <c r="E667">
        <v>19800000</v>
      </c>
      <c r="F667" t="s">
        <v>3474</v>
      </c>
      <c r="G667">
        <v>2022</v>
      </c>
      <c r="H667" t="s">
        <v>3191</v>
      </c>
      <c r="I667" t="s">
        <v>3158</v>
      </c>
      <c r="J667" t="s">
        <v>3475</v>
      </c>
      <c r="K667" t="s">
        <v>15</v>
      </c>
    </row>
    <row r="668" spans="1:11" x14ac:dyDescent="0.25">
      <c r="A668" t="s">
        <v>3138</v>
      </c>
      <c r="B668" t="s">
        <v>3190</v>
      </c>
      <c r="C668">
        <v>1000</v>
      </c>
      <c r="D668">
        <v>29100000</v>
      </c>
      <c r="E668">
        <v>28000000</v>
      </c>
      <c r="F668" t="s">
        <v>3474</v>
      </c>
      <c r="G668">
        <v>2022</v>
      </c>
      <c r="H668" t="s">
        <v>3191</v>
      </c>
      <c r="I668" t="s">
        <v>3158</v>
      </c>
      <c r="J668" t="s">
        <v>3475</v>
      </c>
      <c r="K668" t="s">
        <v>15</v>
      </c>
    </row>
    <row r="669" spans="1:11" x14ac:dyDescent="0.25">
      <c r="A669" t="s">
        <v>3138</v>
      </c>
      <c r="B669" t="s">
        <v>3190</v>
      </c>
      <c r="C669">
        <v>2000</v>
      </c>
      <c r="D669">
        <v>39700000</v>
      </c>
      <c r="E669">
        <v>38700000</v>
      </c>
      <c r="F669" t="s">
        <v>3474</v>
      </c>
      <c r="G669">
        <v>2022</v>
      </c>
      <c r="H669" t="s">
        <v>3191</v>
      </c>
      <c r="I669" t="s">
        <v>3158</v>
      </c>
      <c r="J669" t="s">
        <v>3475</v>
      </c>
      <c r="K669" t="s">
        <v>15</v>
      </c>
    </row>
    <row r="670" spans="1:11" x14ac:dyDescent="0.25">
      <c r="A670" t="s">
        <v>3138</v>
      </c>
      <c r="B670" t="s">
        <v>3190</v>
      </c>
      <c r="C670">
        <v>5000</v>
      </c>
      <c r="D670">
        <v>57400000</v>
      </c>
      <c r="E670">
        <v>56300000</v>
      </c>
      <c r="F670" t="s">
        <v>3474</v>
      </c>
      <c r="G670">
        <v>2022</v>
      </c>
      <c r="H670" t="s">
        <v>3191</v>
      </c>
      <c r="I670" t="s">
        <v>3158</v>
      </c>
      <c r="J670" t="s">
        <v>3475</v>
      </c>
      <c r="K670" t="s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9054-C044-48E7-89E3-108B441A3C02}">
  <sheetPr filterMode="1"/>
  <dimension ref="A1:G491"/>
  <sheetViews>
    <sheetView topLeftCell="D1" workbookViewId="0">
      <selection activeCell="E59" sqref="E59"/>
    </sheetView>
  </sheetViews>
  <sheetFormatPr defaultRowHeight="15" x14ac:dyDescent="0.25"/>
  <cols>
    <col min="2" max="2" width="66.7109375" bestFit="1" customWidth="1"/>
    <col min="3" max="3" width="53.5703125" bestFit="1" customWidth="1"/>
    <col min="4" max="4" width="26.7109375" bestFit="1" customWidth="1"/>
    <col min="5" max="5" width="12" bestFit="1" customWidth="1"/>
    <col min="6" max="6" width="15.28515625" style="14" bestFit="1" customWidth="1"/>
    <col min="7" max="7" width="14.28515625" style="14" bestFit="1" customWidth="1"/>
  </cols>
  <sheetData>
    <row r="1" spans="1:7" x14ac:dyDescent="0.25">
      <c r="B1" t="s">
        <v>3549</v>
      </c>
      <c r="C1" t="s">
        <v>929</v>
      </c>
      <c r="D1" t="s">
        <v>3550</v>
      </c>
      <c r="E1" t="s">
        <v>3551</v>
      </c>
      <c r="F1" s="14" t="s">
        <v>3552</v>
      </c>
      <c r="G1" s="14" t="s">
        <v>3553</v>
      </c>
    </row>
    <row r="2" spans="1:7" hidden="1" x14ac:dyDescent="0.25">
      <c r="A2">
        <v>0</v>
      </c>
      <c r="B2" t="s">
        <v>3554</v>
      </c>
      <c r="C2" t="s">
        <v>1159</v>
      </c>
      <c r="D2" t="s">
        <v>1197</v>
      </c>
      <c r="E2" t="s">
        <v>3555</v>
      </c>
      <c r="F2" s="14">
        <v>1</v>
      </c>
      <c r="G2">
        <v>2267057.8936332902</v>
      </c>
    </row>
    <row r="3" spans="1:7" x14ac:dyDescent="0.25">
      <c r="A3">
        <v>1</v>
      </c>
      <c r="B3" t="s">
        <v>3556</v>
      </c>
      <c r="C3" t="s">
        <v>1159</v>
      </c>
      <c r="D3" t="s">
        <v>1197</v>
      </c>
      <c r="E3" t="s">
        <v>3557</v>
      </c>
      <c r="F3" s="14">
        <v>1</v>
      </c>
      <c r="G3">
        <v>1494418.92996985</v>
      </c>
    </row>
    <row r="4" spans="1:7" hidden="1" x14ac:dyDescent="0.25">
      <c r="A4">
        <v>2</v>
      </c>
      <c r="B4" t="s">
        <v>3558</v>
      </c>
      <c r="C4" t="s">
        <v>1132</v>
      </c>
      <c r="D4" t="s">
        <v>1153</v>
      </c>
      <c r="E4" t="s">
        <v>3559</v>
      </c>
      <c r="F4" s="14">
        <v>1</v>
      </c>
      <c r="G4">
        <v>27260560.535088301</v>
      </c>
    </row>
    <row r="5" spans="1:7" x14ac:dyDescent="0.25">
      <c r="A5">
        <v>3</v>
      </c>
      <c r="B5" t="s">
        <v>3560</v>
      </c>
      <c r="C5" t="s">
        <v>1132</v>
      </c>
      <c r="D5" t="s">
        <v>1153</v>
      </c>
      <c r="E5" t="s">
        <v>3561</v>
      </c>
      <c r="F5" s="14">
        <v>1</v>
      </c>
      <c r="G5">
        <v>10976654.7313937</v>
      </c>
    </row>
    <row r="6" spans="1:7" x14ac:dyDescent="0.25">
      <c r="A6">
        <v>4</v>
      </c>
      <c r="B6" t="s">
        <v>3562</v>
      </c>
      <c r="C6" t="s">
        <v>1132</v>
      </c>
      <c r="D6" t="s">
        <v>1151</v>
      </c>
      <c r="E6" t="s">
        <v>3561</v>
      </c>
      <c r="F6" s="14">
        <v>1</v>
      </c>
      <c r="G6" s="14">
        <v>680219.96600714605</v>
      </c>
    </row>
    <row r="7" spans="1:7" hidden="1" x14ac:dyDescent="0.25">
      <c r="A7">
        <v>5</v>
      </c>
      <c r="B7" t="s">
        <v>3563</v>
      </c>
      <c r="C7" t="s">
        <v>1132</v>
      </c>
      <c r="D7" t="s">
        <v>1151</v>
      </c>
      <c r="E7" t="s">
        <v>3559</v>
      </c>
      <c r="F7" s="14">
        <v>1</v>
      </c>
      <c r="G7" s="14">
        <v>1479564.03602752</v>
      </c>
    </row>
    <row r="8" spans="1:7" x14ac:dyDescent="0.25">
      <c r="A8">
        <v>6</v>
      </c>
      <c r="B8" t="s">
        <v>3564</v>
      </c>
      <c r="C8" t="s">
        <v>1116</v>
      </c>
      <c r="D8" t="s">
        <v>1115</v>
      </c>
      <c r="E8" t="s">
        <v>3565</v>
      </c>
      <c r="F8" s="14">
        <v>1</v>
      </c>
      <c r="G8" s="14">
        <v>5443552.9792440096</v>
      </c>
    </row>
    <row r="9" spans="1:7" hidden="1" x14ac:dyDescent="0.25">
      <c r="A9">
        <v>7</v>
      </c>
      <c r="B9" t="s">
        <v>3566</v>
      </c>
      <c r="C9" t="s">
        <v>1116</v>
      </c>
      <c r="D9" t="s">
        <v>1115</v>
      </c>
      <c r="E9" t="s">
        <v>3567</v>
      </c>
      <c r="F9" s="14">
        <v>1</v>
      </c>
      <c r="G9" s="14">
        <v>10359291.5715841</v>
      </c>
    </row>
    <row r="10" spans="1:7" x14ac:dyDescent="0.25">
      <c r="A10">
        <v>8</v>
      </c>
      <c r="B10" t="s">
        <v>3568</v>
      </c>
      <c r="C10" t="s">
        <v>1116</v>
      </c>
      <c r="D10" t="s">
        <v>1115</v>
      </c>
      <c r="E10" t="s">
        <v>3569</v>
      </c>
      <c r="F10" s="14">
        <v>1</v>
      </c>
      <c r="G10" s="14">
        <v>1114944.58611021</v>
      </c>
    </row>
    <row r="11" spans="1:7" hidden="1" x14ac:dyDescent="0.25">
      <c r="A11">
        <v>9</v>
      </c>
      <c r="B11" t="s">
        <v>3570</v>
      </c>
      <c r="C11" t="s">
        <v>1116</v>
      </c>
      <c r="D11" t="s">
        <v>1115</v>
      </c>
      <c r="E11" t="s">
        <v>3571</v>
      </c>
      <c r="F11" s="14">
        <v>1</v>
      </c>
      <c r="G11" s="14">
        <v>2121782.6110473499</v>
      </c>
    </row>
    <row r="12" spans="1:7" hidden="1" x14ac:dyDescent="0.25">
      <c r="A12">
        <v>10</v>
      </c>
      <c r="B12" t="s">
        <v>3572</v>
      </c>
      <c r="C12" t="s">
        <v>1253</v>
      </c>
      <c r="D12" t="s">
        <v>1286</v>
      </c>
      <c r="E12" t="s">
        <v>3573</v>
      </c>
      <c r="F12" s="14">
        <v>1</v>
      </c>
      <c r="G12" s="14">
        <v>297102.89910642197</v>
      </c>
    </row>
    <row r="13" spans="1:7" x14ac:dyDescent="0.25">
      <c r="A13">
        <v>11</v>
      </c>
      <c r="B13" t="s">
        <v>3574</v>
      </c>
      <c r="C13" t="s">
        <v>1253</v>
      </c>
      <c r="D13" t="s">
        <v>1286</v>
      </c>
      <c r="E13" t="s">
        <v>3575</v>
      </c>
      <c r="F13" s="14">
        <v>1</v>
      </c>
      <c r="G13" s="14">
        <v>139431.67628013401</v>
      </c>
    </row>
    <row r="14" spans="1:7" x14ac:dyDescent="0.25">
      <c r="A14">
        <v>12</v>
      </c>
      <c r="B14" t="s">
        <v>3576</v>
      </c>
      <c r="C14" t="s">
        <v>1002</v>
      </c>
      <c r="D14" t="s">
        <v>1001</v>
      </c>
      <c r="E14" t="s">
        <v>3577</v>
      </c>
      <c r="F14" s="14">
        <v>0</v>
      </c>
      <c r="G14" s="14">
        <v>2646241.03551772</v>
      </c>
    </row>
    <row r="15" spans="1:7" x14ac:dyDescent="0.25">
      <c r="A15">
        <v>13</v>
      </c>
      <c r="B15" t="s">
        <v>3578</v>
      </c>
      <c r="C15" t="s">
        <v>1002</v>
      </c>
      <c r="D15" t="s">
        <v>1001</v>
      </c>
      <c r="E15" t="s">
        <v>3577</v>
      </c>
      <c r="F15" s="14">
        <v>0</v>
      </c>
      <c r="G15" s="14">
        <v>455027.297254059</v>
      </c>
    </row>
    <row r="16" spans="1:7" hidden="1" x14ac:dyDescent="0.25">
      <c r="A16">
        <v>14</v>
      </c>
      <c r="B16" t="s">
        <v>3579</v>
      </c>
      <c r="C16" t="s">
        <v>1002</v>
      </c>
      <c r="D16" t="s">
        <v>1001</v>
      </c>
      <c r="E16" t="s">
        <v>3580</v>
      </c>
      <c r="F16" s="14">
        <v>1</v>
      </c>
      <c r="G16" s="14">
        <v>4924149.3667639503</v>
      </c>
    </row>
    <row r="17" spans="1:7" hidden="1" x14ac:dyDescent="0.25">
      <c r="A17">
        <v>15</v>
      </c>
      <c r="B17" t="s">
        <v>3581</v>
      </c>
      <c r="C17" t="s">
        <v>1002</v>
      </c>
      <c r="D17" t="s">
        <v>1001</v>
      </c>
      <c r="E17" t="s">
        <v>3580</v>
      </c>
      <c r="F17" s="14">
        <v>1</v>
      </c>
      <c r="G17" s="14">
        <v>1046876.82279848</v>
      </c>
    </row>
    <row r="18" spans="1:7" x14ac:dyDescent="0.25">
      <c r="A18">
        <v>16</v>
      </c>
      <c r="B18" t="s">
        <v>3582</v>
      </c>
      <c r="C18" t="s">
        <v>1186</v>
      </c>
      <c r="D18" t="s">
        <v>1185</v>
      </c>
      <c r="E18" t="s">
        <v>3557</v>
      </c>
      <c r="F18" s="14">
        <v>1</v>
      </c>
      <c r="G18">
        <v>306783.47048713203</v>
      </c>
    </row>
    <row r="19" spans="1:7" x14ac:dyDescent="0.25">
      <c r="A19">
        <v>17</v>
      </c>
      <c r="B19" t="s">
        <v>3583</v>
      </c>
      <c r="C19" t="s">
        <v>1186</v>
      </c>
      <c r="D19" t="s">
        <v>1185</v>
      </c>
      <c r="E19" t="s">
        <v>3584</v>
      </c>
      <c r="F19" s="14">
        <v>1</v>
      </c>
      <c r="G19">
        <v>4806274.3709650803</v>
      </c>
    </row>
    <row r="20" spans="1:7" hidden="1" x14ac:dyDescent="0.25">
      <c r="A20">
        <v>18</v>
      </c>
      <c r="B20" t="s">
        <v>3585</v>
      </c>
      <c r="C20" t="s">
        <v>1186</v>
      </c>
      <c r="D20" t="s">
        <v>1185</v>
      </c>
      <c r="E20" t="s">
        <v>3586</v>
      </c>
      <c r="F20" s="14">
        <v>1</v>
      </c>
      <c r="G20">
        <v>10256221.589242499</v>
      </c>
    </row>
    <row r="21" spans="1:7" hidden="1" x14ac:dyDescent="0.25">
      <c r="A21">
        <v>19</v>
      </c>
      <c r="B21" t="s">
        <v>3587</v>
      </c>
      <c r="C21" t="s">
        <v>1186</v>
      </c>
      <c r="D21" t="s">
        <v>1185</v>
      </c>
      <c r="E21" t="s">
        <v>3555</v>
      </c>
      <c r="F21" s="14">
        <v>1</v>
      </c>
      <c r="G21">
        <v>654652.44186654198</v>
      </c>
    </row>
    <row r="22" spans="1:7" hidden="1" x14ac:dyDescent="0.25">
      <c r="A22">
        <v>20</v>
      </c>
      <c r="B22" t="s">
        <v>3588</v>
      </c>
      <c r="C22" t="s">
        <v>962</v>
      </c>
      <c r="D22" t="s">
        <v>961</v>
      </c>
      <c r="E22" t="s">
        <v>3589</v>
      </c>
      <c r="F22" s="14">
        <v>0</v>
      </c>
      <c r="G22">
        <v>2112283.04810892</v>
      </c>
    </row>
    <row r="23" spans="1:7" x14ac:dyDescent="0.25">
      <c r="A23">
        <v>21</v>
      </c>
      <c r="B23" t="s">
        <v>3590</v>
      </c>
      <c r="C23" t="s">
        <v>962</v>
      </c>
      <c r="D23" t="s">
        <v>961</v>
      </c>
      <c r="E23" t="s">
        <v>3591</v>
      </c>
      <c r="F23" s="14">
        <v>0</v>
      </c>
      <c r="G23">
        <v>1099176.87403368</v>
      </c>
    </row>
    <row r="24" spans="1:7" hidden="1" x14ac:dyDescent="0.25">
      <c r="A24">
        <v>22</v>
      </c>
      <c r="B24" t="s">
        <v>3592</v>
      </c>
      <c r="C24" t="s">
        <v>1146</v>
      </c>
      <c r="D24" t="s">
        <v>1176</v>
      </c>
      <c r="E24" t="s">
        <v>3555</v>
      </c>
      <c r="F24" s="14">
        <v>1</v>
      </c>
      <c r="G24">
        <v>351300.37589205703</v>
      </c>
    </row>
    <row r="25" spans="1:7" x14ac:dyDescent="0.25">
      <c r="A25">
        <v>23</v>
      </c>
      <c r="B25" t="s">
        <v>3593</v>
      </c>
      <c r="C25" t="s">
        <v>1146</v>
      </c>
      <c r="D25" t="s">
        <v>1176</v>
      </c>
      <c r="E25" t="s">
        <v>3557</v>
      </c>
      <c r="F25" s="14">
        <v>1</v>
      </c>
      <c r="G25">
        <v>153435.236505587</v>
      </c>
    </row>
    <row r="26" spans="1:7" hidden="1" x14ac:dyDescent="0.25">
      <c r="A26">
        <v>24</v>
      </c>
      <c r="B26" t="s">
        <v>3594</v>
      </c>
      <c r="C26" t="s">
        <v>1157</v>
      </c>
      <c r="D26" t="s">
        <v>1156</v>
      </c>
      <c r="E26" t="s">
        <v>3559</v>
      </c>
      <c r="F26" s="14">
        <v>1</v>
      </c>
      <c r="G26">
        <v>2929370.1075642598</v>
      </c>
    </row>
    <row r="27" spans="1:7" x14ac:dyDescent="0.25">
      <c r="A27">
        <v>25</v>
      </c>
      <c r="B27" t="s">
        <v>3595</v>
      </c>
      <c r="C27" t="s">
        <v>1157</v>
      </c>
      <c r="D27" t="s">
        <v>1156</v>
      </c>
      <c r="E27" t="s">
        <v>3561</v>
      </c>
      <c r="F27" s="14">
        <v>1</v>
      </c>
      <c r="G27">
        <v>1166283.89998616</v>
      </c>
    </row>
    <row r="28" spans="1:7" hidden="1" x14ac:dyDescent="0.25">
      <c r="A28">
        <v>26</v>
      </c>
      <c r="B28" t="s">
        <v>3596</v>
      </c>
      <c r="C28" t="s">
        <v>1171</v>
      </c>
      <c r="D28" t="s">
        <v>1170</v>
      </c>
      <c r="E28" t="s">
        <v>3597</v>
      </c>
      <c r="F28" s="14">
        <v>0</v>
      </c>
      <c r="G28">
        <v>277607391.20325601</v>
      </c>
    </row>
    <row r="29" spans="1:7" x14ac:dyDescent="0.25">
      <c r="A29">
        <v>27</v>
      </c>
      <c r="B29" t="s">
        <v>3598</v>
      </c>
      <c r="C29" t="s">
        <v>1171</v>
      </c>
      <c r="D29" t="s">
        <v>1170</v>
      </c>
      <c r="E29" t="s">
        <v>3599</v>
      </c>
      <c r="F29" s="14">
        <v>0</v>
      </c>
      <c r="G29">
        <v>140316166.23848701</v>
      </c>
    </row>
    <row r="30" spans="1:7" x14ac:dyDescent="0.25">
      <c r="A30">
        <v>28</v>
      </c>
      <c r="B30" t="s">
        <v>3600</v>
      </c>
      <c r="C30" t="s">
        <v>1146</v>
      </c>
      <c r="D30" t="s">
        <v>1149</v>
      </c>
      <c r="E30" t="s">
        <v>3557</v>
      </c>
      <c r="F30" s="14">
        <v>1</v>
      </c>
      <c r="G30">
        <v>5302147.5094851498</v>
      </c>
    </row>
    <row r="31" spans="1:7" hidden="1" x14ac:dyDescent="0.25">
      <c r="A31">
        <v>29</v>
      </c>
      <c r="B31" t="s">
        <v>3601</v>
      </c>
      <c r="C31" t="s">
        <v>1146</v>
      </c>
      <c r="D31" t="s">
        <v>1149</v>
      </c>
      <c r="E31" t="s">
        <v>3555</v>
      </c>
      <c r="F31" s="14">
        <v>1</v>
      </c>
      <c r="G31">
        <v>9198588.8925270196</v>
      </c>
    </row>
    <row r="32" spans="1:7" x14ac:dyDescent="0.25">
      <c r="A32">
        <v>30</v>
      </c>
      <c r="B32" t="s">
        <v>3602</v>
      </c>
      <c r="C32" t="s">
        <v>1110</v>
      </c>
      <c r="D32" t="s">
        <v>1109</v>
      </c>
      <c r="E32" t="s">
        <v>3569</v>
      </c>
      <c r="F32" s="14">
        <v>1</v>
      </c>
      <c r="G32">
        <v>2543009.8012225302</v>
      </c>
    </row>
    <row r="33" spans="1:7" hidden="1" x14ac:dyDescent="0.25">
      <c r="A33">
        <v>31</v>
      </c>
      <c r="B33" t="s">
        <v>3603</v>
      </c>
      <c r="C33" t="s">
        <v>1110</v>
      </c>
      <c r="D33" t="s">
        <v>1109</v>
      </c>
      <c r="E33" t="s">
        <v>3571</v>
      </c>
      <c r="F33" s="14">
        <v>1</v>
      </c>
      <c r="G33">
        <v>5481888.1268603103</v>
      </c>
    </row>
    <row r="34" spans="1:7" x14ac:dyDescent="0.25">
      <c r="A34">
        <v>32</v>
      </c>
      <c r="B34" t="s">
        <v>3604</v>
      </c>
      <c r="C34" t="s">
        <v>1110</v>
      </c>
      <c r="D34" t="s">
        <v>1109</v>
      </c>
      <c r="E34" t="s">
        <v>3565</v>
      </c>
      <c r="F34" s="14">
        <v>1</v>
      </c>
      <c r="G34">
        <v>22887088.211002801</v>
      </c>
    </row>
    <row r="35" spans="1:7" hidden="1" x14ac:dyDescent="0.25">
      <c r="A35">
        <v>33</v>
      </c>
      <c r="B35" t="s">
        <v>3605</v>
      </c>
      <c r="C35" t="s">
        <v>1110</v>
      </c>
      <c r="D35" t="s">
        <v>1109</v>
      </c>
      <c r="E35" t="s">
        <v>3567</v>
      </c>
      <c r="F35" s="14">
        <v>1</v>
      </c>
      <c r="G35">
        <v>49336993.141742803</v>
      </c>
    </row>
    <row r="36" spans="1:7" x14ac:dyDescent="0.25">
      <c r="A36">
        <v>34</v>
      </c>
      <c r="B36" t="s">
        <v>3606</v>
      </c>
      <c r="C36" t="s">
        <v>1019</v>
      </c>
      <c r="D36" t="s">
        <v>1018</v>
      </c>
      <c r="E36" t="s">
        <v>3607</v>
      </c>
      <c r="F36" s="14">
        <v>1</v>
      </c>
      <c r="G36">
        <v>6815667.1740010502</v>
      </c>
    </row>
    <row r="37" spans="1:7" hidden="1" x14ac:dyDescent="0.25">
      <c r="A37">
        <v>35</v>
      </c>
      <c r="B37" t="s">
        <v>3608</v>
      </c>
      <c r="C37" t="s">
        <v>1019</v>
      </c>
      <c r="D37" t="s">
        <v>1018</v>
      </c>
      <c r="E37" t="s">
        <v>3609</v>
      </c>
      <c r="F37" s="14">
        <v>1</v>
      </c>
      <c r="G37">
        <v>12688623.5225274</v>
      </c>
    </row>
    <row r="38" spans="1:7" x14ac:dyDescent="0.25">
      <c r="A38">
        <v>36</v>
      </c>
      <c r="B38" t="s">
        <v>3610</v>
      </c>
      <c r="C38" t="s">
        <v>1006</v>
      </c>
      <c r="D38" t="s">
        <v>1007</v>
      </c>
      <c r="E38" t="s">
        <v>3611</v>
      </c>
      <c r="F38" s="14">
        <v>1</v>
      </c>
      <c r="G38">
        <v>192935.471993802</v>
      </c>
    </row>
    <row r="39" spans="1:7" hidden="1" x14ac:dyDescent="0.25">
      <c r="A39">
        <v>37</v>
      </c>
      <c r="B39" t="s">
        <v>3612</v>
      </c>
      <c r="C39" t="s">
        <v>1006</v>
      </c>
      <c r="D39" t="s">
        <v>1007</v>
      </c>
      <c r="E39" t="s">
        <v>3613</v>
      </c>
      <c r="F39" s="14">
        <v>1</v>
      </c>
      <c r="G39">
        <v>460273.61431408202</v>
      </c>
    </row>
    <row r="40" spans="1:7" hidden="1" x14ac:dyDescent="0.25">
      <c r="A40">
        <v>38</v>
      </c>
      <c r="B40" t="s">
        <v>3614</v>
      </c>
      <c r="C40" t="s">
        <v>1159</v>
      </c>
      <c r="D40" t="s">
        <v>1190</v>
      </c>
      <c r="E40" t="s">
        <v>3555</v>
      </c>
      <c r="F40" s="14">
        <v>1</v>
      </c>
      <c r="G40">
        <v>193274.43579156499</v>
      </c>
    </row>
    <row r="41" spans="1:7" x14ac:dyDescent="0.25">
      <c r="A41">
        <v>39</v>
      </c>
      <c r="B41" t="s">
        <v>3615</v>
      </c>
      <c r="C41" t="s">
        <v>1159</v>
      </c>
      <c r="D41" t="s">
        <v>1190</v>
      </c>
      <c r="E41" t="s">
        <v>3557</v>
      </c>
      <c r="F41" s="14">
        <v>1</v>
      </c>
      <c r="G41">
        <v>85236.669372502307</v>
      </c>
    </row>
    <row r="42" spans="1:7" hidden="1" x14ac:dyDescent="0.25">
      <c r="A42">
        <v>40</v>
      </c>
      <c r="B42" t="s">
        <v>3616</v>
      </c>
      <c r="C42" t="s">
        <v>1142</v>
      </c>
      <c r="D42" t="s">
        <v>1141</v>
      </c>
      <c r="E42" t="s">
        <v>3555</v>
      </c>
      <c r="F42" s="14">
        <v>1</v>
      </c>
      <c r="G42">
        <v>1122364.3240127</v>
      </c>
    </row>
    <row r="43" spans="1:7" x14ac:dyDescent="0.25">
      <c r="A43">
        <v>41</v>
      </c>
      <c r="B43" t="s">
        <v>3617</v>
      </c>
      <c r="C43" t="s">
        <v>1142</v>
      </c>
      <c r="D43" t="s">
        <v>1141</v>
      </c>
      <c r="E43" t="s">
        <v>3557</v>
      </c>
      <c r="F43" s="14">
        <v>1</v>
      </c>
      <c r="G43">
        <v>610533.68939860899</v>
      </c>
    </row>
    <row r="44" spans="1:7" x14ac:dyDescent="0.25">
      <c r="A44">
        <v>42</v>
      </c>
      <c r="B44" t="s">
        <v>3618</v>
      </c>
      <c r="C44" t="s">
        <v>964</v>
      </c>
      <c r="D44" t="s">
        <v>963</v>
      </c>
      <c r="E44" t="s">
        <v>3619</v>
      </c>
      <c r="F44" s="14">
        <v>0</v>
      </c>
      <c r="G44">
        <v>13420690.7463613</v>
      </c>
    </row>
    <row r="45" spans="1:7" hidden="1" x14ac:dyDescent="0.25">
      <c r="A45">
        <v>43</v>
      </c>
      <c r="B45" t="s">
        <v>3620</v>
      </c>
      <c r="C45" t="s">
        <v>964</v>
      </c>
      <c r="D45" t="s">
        <v>963</v>
      </c>
      <c r="E45" t="s">
        <v>3621</v>
      </c>
      <c r="F45" s="14">
        <v>1</v>
      </c>
      <c r="G45">
        <v>27743515.2711404</v>
      </c>
    </row>
    <row r="46" spans="1:7" x14ac:dyDescent="0.25">
      <c r="A46">
        <v>44</v>
      </c>
      <c r="B46" t="s">
        <v>3622</v>
      </c>
      <c r="C46" t="s">
        <v>1079</v>
      </c>
      <c r="D46" t="s">
        <v>1082</v>
      </c>
      <c r="E46" t="s">
        <v>3623</v>
      </c>
      <c r="F46" s="14">
        <v>1</v>
      </c>
      <c r="G46">
        <v>15538923.3900414</v>
      </c>
    </row>
    <row r="47" spans="1:7" hidden="1" x14ac:dyDescent="0.25">
      <c r="A47">
        <v>45</v>
      </c>
      <c r="B47" t="s">
        <v>3624</v>
      </c>
      <c r="C47" t="s">
        <v>1079</v>
      </c>
      <c r="D47" t="s">
        <v>1082</v>
      </c>
      <c r="E47" t="s">
        <v>3625</v>
      </c>
      <c r="F47" s="14">
        <v>1</v>
      </c>
      <c r="G47">
        <v>29483656.421490099</v>
      </c>
    </row>
    <row r="48" spans="1:7" x14ac:dyDescent="0.25">
      <c r="A48">
        <v>46</v>
      </c>
      <c r="B48" t="s">
        <v>3626</v>
      </c>
      <c r="C48" t="s">
        <v>1112</v>
      </c>
      <c r="D48" t="s">
        <v>1111</v>
      </c>
      <c r="E48" t="s">
        <v>3627</v>
      </c>
      <c r="F48" s="14">
        <v>1</v>
      </c>
      <c r="G48">
        <v>43683068.9581673</v>
      </c>
    </row>
    <row r="49" spans="1:7" hidden="1" x14ac:dyDescent="0.25">
      <c r="A49">
        <v>47</v>
      </c>
      <c r="B49" t="s">
        <v>3628</v>
      </c>
      <c r="C49" t="s">
        <v>1112</v>
      </c>
      <c r="D49" t="s">
        <v>1111</v>
      </c>
      <c r="E49" t="s">
        <v>3629</v>
      </c>
      <c r="F49" s="14">
        <v>1</v>
      </c>
      <c r="G49">
        <v>96143097.5378647</v>
      </c>
    </row>
    <row r="50" spans="1:7" x14ac:dyDescent="0.25">
      <c r="A50">
        <v>48</v>
      </c>
      <c r="B50" t="s">
        <v>3630</v>
      </c>
      <c r="C50" t="s">
        <v>1274</v>
      </c>
      <c r="D50" t="s">
        <v>1273</v>
      </c>
      <c r="E50" t="s">
        <v>3631</v>
      </c>
      <c r="F50" s="14">
        <v>1</v>
      </c>
      <c r="G50">
        <v>87643.023965794404</v>
      </c>
    </row>
    <row r="51" spans="1:7" hidden="1" x14ac:dyDescent="0.25">
      <c r="A51">
        <v>49</v>
      </c>
      <c r="B51" t="s">
        <v>3632</v>
      </c>
      <c r="C51" t="s">
        <v>1274</v>
      </c>
      <c r="D51" t="s">
        <v>1273</v>
      </c>
      <c r="E51" t="s">
        <v>3633</v>
      </c>
      <c r="F51" s="14">
        <v>1</v>
      </c>
      <c r="G51">
        <v>193107.63084936299</v>
      </c>
    </row>
    <row r="52" spans="1:7" x14ac:dyDescent="0.25">
      <c r="A52">
        <v>50</v>
      </c>
      <c r="B52" t="s">
        <v>3634</v>
      </c>
      <c r="C52" t="s">
        <v>1077</v>
      </c>
      <c r="D52" t="s">
        <v>1092</v>
      </c>
      <c r="E52" t="s">
        <v>3623</v>
      </c>
      <c r="F52" s="14">
        <v>1</v>
      </c>
      <c r="G52">
        <v>3638718.2440522299</v>
      </c>
    </row>
    <row r="53" spans="1:7" hidden="1" x14ac:dyDescent="0.25">
      <c r="A53">
        <v>51</v>
      </c>
      <c r="B53" t="s">
        <v>3635</v>
      </c>
      <c r="C53" t="s">
        <v>1077</v>
      </c>
      <c r="D53" t="s">
        <v>1092</v>
      </c>
      <c r="E53" t="s">
        <v>3625</v>
      </c>
      <c r="F53" s="14">
        <v>1</v>
      </c>
      <c r="G53">
        <v>7351363.3606120301</v>
      </c>
    </row>
    <row r="54" spans="1:7" hidden="1" x14ac:dyDescent="0.25">
      <c r="A54">
        <v>52</v>
      </c>
      <c r="B54" t="s">
        <v>3636</v>
      </c>
      <c r="C54" t="s">
        <v>1213</v>
      </c>
      <c r="D54" t="s">
        <v>1212</v>
      </c>
      <c r="E54" t="s">
        <v>3637</v>
      </c>
      <c r="F54" s="14">
        <v>1</v>
      </c>
      <c r="G54">
        <v>3171587.4467944698</v>
      </c>
    </row>
    <row r="55" spans="1:7" hidden="1" x14ac:dyDescent="0.25">
      <c r="A55">
        <v>53</v>
      </c>
      <c r="B55" t="s">
        <v>3638</v>
      </c>
      <c r="C55" t="s">
        <v>1213</v>
      </c>
      <c r="D55" t="s">
        <v>1212</v>
      </c>
      <c r="E55" t="s">
        <v>3637</v>
      </c>
      <c r="F55" s="14">
        <v>1</v>
      </c>
      <c r="G55">
        <v>2134020.2682777299</v>
      </c>
    </row>
    <row r="56" spans="1:7" hidden="1" x14ac:dyDescent="0.25">
      <c r="A56">
        <v>54</v>
      </c>
      <c r="B56" t="s">
        <v>3639</v>
      </c>
      <c r="C56" t="s">
        <v>1213</v>
      </c>
      <c r="D56" t="s">
        <v>1212</v>
      </c>
      <c r="E56" t="s">
        <v>3637</v>
      </c>
      <c r="F56" s="14">
        <v>1</v>
      </c>
      <c r="G56">
        <v>4625288.4924002597</v>
      </c>
    </row>
    <row r="57" spans="1:7" x14ac:dyDescent="0.25">
      <c r="A57">
        <v>55</v>
      </c>
      <c r="B57" t="s">
        <v>3640</v>
      </c>
      <c r="C57" t="s">
        <v>1213</v>
      </c>
      <c r="D57" t="s">
        <v>1212</v>
      </c>
      <c r="E57" t="s">
        <v>3641</v>
      </c>
      <c r="F57" s="14">
        <v>1</v>
      </c>
      <c r="G57">
        <v>1965686.4990198901</v>
      </c>
    </row>
    <row r="58" spans="1:7" x14ac:dyDescent="0.25">
      <c r="A58">
        <v>56</v>
      </c>
      <c r="B58" t="s">
        <v>3642</v>
      </c>
      <c r="C58" t="s">
        <v>1213</v>
      </c>
      <c r="D58" t="s">
        <v>1212</v>
      </c>
      <c r="E58" t="s">
        <v>3641</v>
      </c>
      <c r="F58" s="14">
        <v>1</v>
      </c>
      <c r="G58">
        <v>1356191.0806839101</v>
      </c>
    </row>
    <row r="59" spans="1:7" x14ac:dyDescent="0.25">
      <c r="A59">
        <v>57</v>
      </c>
      <c r="B59" t="s">
        <v>3643</v>
      </c>
      <c r="C59" t="s">
        <v>1213</v>
      </c>
      <c r="D59" t="s">
        <v>1212</v>
      </c>
      <c r="E59" t="s">
        <v>3641</v>
      </c>
      <c r="F59" s="14">
        <v>1</v>
      </c>
      <c r="G59">
        <v>2602181.5944081699</v>
      </c>
    </row>
    <row r="60" spans="1:7" hidden="1" x14ac:dyDescent="0.25">
      <c r="A60">
        <v>58</v>
      </c>
      <c r="B60" t="s">
        <v>3644</v>
      </c>
      <c r="C60" t="s">
        <v>959</v>
      </c>
      <c r="D60" t="s">
        <v>958</v>
      </c>
      <c r="E60" t="s">
        <v>3645</v>
      </c>
      <c r="F60" s="14">
        <v>0</v>
      </c>
      <c r="G60">
        <v>15895923.8806643</v>
      </c>
    </row>
    <row r="61" spans="1:7" x14ac:dyDescent="0.25">
      <c r="A61">
        <v>59</v>
      </c>
      <c r="B61" t="s">
        <v>3646</v>
      </c>
      <c r="C61" t="s">
        <v>959</v>
      </c>
      <c r="D61" t="s">
        <v>958</v>
      </c>
      <c r="E61" t="s">
        <v>3647</v>
      </c>
      <c r="F61" s="14">
        <v>0</v>
      </c>
      <c r="G61">
        <v>6703933.2638778798</v>
      </c>
    </row>
    <row r="62" spans="1:7" hidden="1" x14ac:dyDescent="0.25">
      <c r="A62">
        <v>60</v>
      </c>
      <c r="B62" t="s">
        <v>3648</v>
      </c>
      <c r="C62" t="s">
        <v>1223</v>
      </c>
      <c r="D62" t="s">
        <v>1224</v>
      </c>
      <c r="E62" t="s">
        <v>3649</v>
      </c>
      <c r="F62" s="14">
        <v>1</v>
      </c>
      <c r="G62">
        <v>3608442.8009768301</v>
      </c>
    </row>
    <row r="63" spans="1:7" x14ac:dyDescent="0.25">
      <c r="A63">
        <v>61</v>
      </c>
      <c r="B63" t="s">
        <v>3650</v>
      </c>
      <c r="C63" t="s">
        <v>1223</v>
      </c>
      <c r="D63" t="s">
        <v>1224</v>
      </c>
      <c r="E63" t="s">
        <v>3651</v>
      </c>
      <c r="F63" s="14">
        <v>1</v>
      </c>
      <c r="G63">
        <v>1726647.6038462799</v>
      </c>
    </row>
    <row r="64" spans="1:7" hidden="1" x14ac:dyDescent="0.25">
      <c r="A64">
        <v>62</v>
      </c>
      <c r="B64" t="s">
        <v>3652</v>
      </c>
      <c r="C64" t="s">
        <v>1000</v>
      </c>
      <c r="D64" t="s">
        <v>999</v>
      </c>
      <c r="E64" t="s">
        <v>3653</v>
      </c>
      <c r="F64" s="14">
        <v>0</v>
      </c>
      <c r="G64">
        <v>7911738.0194383096</v>
      </c>
    </row>
    <row r="65" spans="1:7" x14ac:dyDescent="0.25">
      <c r="A65">
        <v>63</v>
      </c>
      <c r="B65" t="s">
        <v>3654</v>
      </c>
      <c r="C65" t="s">
        <v>1000</v>
      </c>
      <c r="D65" t="s">
        <v>999</v>
      </c>
      <c r="E65" t="s">
        <v>3655</v>
      </c>
      <c r="F65" s="14">
        <v>0</v>
      </c>
      <c r="G65">
        <v>4002616.22594235</v>
      </c>
    </row>
    <row r="66" spans="1:7" hidden="1" x14ac:dyDescent="0.25">
      <c r="A66">
        <v>64</v>
      </c>
      <c r="B66" t="s">
        <v>3656</v>
      </c>
      <c r="C66" t="s">
        <v>1004</v>
      </c>
      <c r="D66" t="s">
        <v>1003</v>
      </c>
      <c r="E66" t="s">
        <v>3657</v>
      </c>
      <c r="F66" s="14">
        <v>0</v>
      </c>
      <c r="G66">
        <v>3332718.81675871</v>
      </c>
    </row>
    <row r="67" spans="1:7" x14ac:dyDescent="0.25">
      <c r="A67">
        <v>65</v>
      </c>
      <c r="B67" t="s">
        <v>3658</v>
      </c>
      <c r="C67" t="s">
        <v>1004</v>
      </c>
      <c r="D67" t="s">
        <v>1003</v>
      </c>
      <c r="E67" t="s">
        <v>3659</v>
      </c>
      <c r="F67" s="14">
        <v>0</v>
      </c>
      <c r="G67">
        <v>1633180.6016281301</v>
      </c>
    </row>
    <row r="68" spans="1:7" x14ac:dyDescent="0.25">
      <c r="A68">
        <v>66</v>
      </c>
      <c r="B68" t="s">
        <v>3660</v>
      </c>
      <c r="C68" t="s">
        <v>1249</v>
      </c>
      <c r="D68" t="s">
        <v>1255</v>
      </c>
      <c r="E68" t="s">
        <v>3575</v>
      </c>
      <c r="F68" s="14">
        <v>1</v>
      </c>
      <c r="G68">
        <v>7725015.5305120097</v>
      </c>
    </row>
    <row r="69" spans="1:7" hidden="1" x14ac:dyDescent="0.25">
      <c r="A69">
        <v>67</v>
      </c>
      <c r="B69" t="s">
        <v>3661</v>
      </c>
      <c r="C69" t="s">
        <v>1249</v>
      </c>
      <c r="D69" t="s">
        <v>1255</v>
      </c>
      <c r="E69" t="s">
        <v>3573</v>
      </c>
      <c r="F69" s="14">
        <v>1</v>
      </c>
      <c r="G69">
        <v>14868110.992685201</v>
      </c>
    </row>
    <row r="70" spans="1:7" hidden="1" x14ac:dyDescent="0.25">
      <c r="A70">
        <v>68</v>
      </c>
      <c r="B70" t="s">
        <v>3662</v>
      </c>
      <c r="C70" t="s">
        <v>1130</v>
      </c>
      <c r="D70" t="s">
        <v>1129</v>
      </c>
      <c r="E70" t="s">
        <v>3625</v>
      </c>
      <c r="F70" s="14">
        <v>1</v>
      </c>
      <c r="G70">
        <v>11496992.094299</v>
      </c>
    </row>
    <row r="71" spans="1:7" x14ac:dyDescent="0.25">
      <c r="A71">
        <v>69</v>
      </c>
      <c r="B71" t="s">
        <v>3663</v>
      </c>
      <c r="C71" t="s">
        <v>1130</v>
      </c>
      <c r="D71" t="s">
        <v>1129</v>
      </c>
      <c r="E71" t="s">
        <v>3623</v>
      </c>
      <c r="F71" s="14">
        <v>1</v>
      </c>
      <c r="G71">
        <v>6976105.9606526</v>
      </c>
    </row>
    <row r="72" spans="1:7" x14ac:dyDescent="0.25">
      <c r="A72">
        <v>70</v>
      </c>
      <c r="B72" t="s">
        <v>3664</v>
      </c>
      <c r="C72" t="s">
        <v>1036</v>
      </c>
      <c r="D72" t="s">
        <v>1035</v>
      </c>
      <c r="E72" t="s">
        <v>3665</v>
      </c>
      <c r="F72" s="14">
        <v>1</v>
      </c>
      <c r="G72">
        <v>75477391.797584295</v>
      </c>
    </row>
    <row r="73" spans="1:7" hidden="1" x14ac:dyDescent="0.25">
      <c r="A73">
        <v>71</v>
      </c>
      <c r="B73" t="s">
        <v>3666</v>
      </c>
      <c r="C73" t="s">
        <v>1036</v>
      </c>
      <c r="D73" t="s">
        <v>1035</v>
      </c>
      <c r="E73" t="s">
        <v>3667</v>
      </c>
      <c r="F73" s="14">
        <v>1</v>
      </c>
      <c r="G73">
        <v>143646951.29225701</v>
      </c>
    </row>
    <row r="74" spans="1:7" x14ac:dyDescent="0.25">
      <c r="A74">
        <v>72</v>
      </c>
      <c r="B74" t="s">
        <v>3668</v>
      </c>
      <c r="C74" t="s">
        <v>1175</v>
      </c>
      <c r="D74" t="s">
        <v>1174</v>
      </c>
      <c r="E74" t="s">
        <v>3669</v>
      </c>
      <c r="F74" s="14">
        <v>0</v>
      </c>
      <c r="G74">
        <v>187309.58175536501</v>
      </c>
    </row>
    <row r="75" spans="1:7" hidden="1" x14ac:dyDescent="0.25">
      <c r="A75">
        <v>73</v>
      </c>
      <c r="B75" t="s">
        <v>3670</v>
      </c>
      <c r="C75" t="s">
        <v>1175</v>
      </c>
      <c r="D75" t="s">
        <v>1174</v>
      </c>
      <c r="E75" t="s">
        <v>3671</v>
      </c>
      <c r="F75" s="14">
        <v>0</v>
      </c>
      <c r="G75">
        <v>415653.19499398</v>
      </c>
    </row>
    <row r="76" spans="1:7" hidden="1" x14ac:dyDescent="0.25">
      <c r="A76">
        <v>74</v>
      </c>
      <c r="B76" t="s">
        <v>3672</v>
      </c>
      <c r="C76" t="s">
        <v>1144</v>
      </c>
      <c r="D76" t="s">
        <v>1143</v>
      </c>
      <c r="E76" t="s">
        <v>3673</v>
      </c>
      <c r="F76" s="14">
        <v>1</v>
      </c>
      <c r="G76">
        <v>72077.035544895596</v>
      </c>
    </row>
    <row r="77" spans="1:7" x14ac:dyDescent="0.25">
      <c r="A77">
        <v>75</v>
      </c>
      <c r="B77" t="s">
        <v>3674</v>
      </c>
      <c r="C77" t="s">
        <v>1144</v>
      </c>
      <c r="D77" t="s">
        <v>1143</v>
      </c>
      <c r="E77" t="s">
        <v>3675</v>
      </c>
      <c r="F77" s="14">
        <v>1</v>
      </c>
      <c r="G77">
        <v>37955.933281718397</v>
      </c>
    </row>
    <row r="78" spans="1:7" x14ac:dyDescent="0.25">
      <c r="A78">
        <v>76</v>
      </c>
      <c r="B78" t="s">
        <v>3676</v>
      </c>
      <c r="C78" t="s">
        <v>1118</v>
      </c>
      <c r="D78" t="s">
        <v>1117</v>
      </c>
      <c r="E78" t="s">
        <v>3565</v>
      </c>
      <c r="F78" s="14">
        <v>1</v>
      </c>
      <c r="G78">
        <v>16488953.6725004</v>
      </c>
    </row>
    <row r="79" spans="1:7" hidden="1" x14ac:dyDescent="0.25">
      <c r="A79">
        <v>77</v>
      </c>
      <c r="B79" t="s">
        <v>3677</v>
      </c>
      <c r="C79" t="s">
        <v>1118</v>
      </c>
      <c r="D79" t="s">
        <v>1117</v>
      </c>
      <c r="E79" t="s">
        <v>3567</v>
      </c>
      <c r="F79" s="14">
        <v>1</v>
      </c>
      <c r="G79">
        <v>28910868.510570999</v>
      </c>
    </row>
    <row r="80" spans="1:7" x14ac:dyDescent="0.25">
      <c r="A80">
        <v>78</v>
      </c>
      <c r="B80" t="s">
        <v>3678</v>
      </c>
      <c r="C80" t="s">
        <v>980</v>
      </c>
      <c r="D80" t="s">
        <v>979</v>
      </c>
      <c r="E80" t="s">
        <v>3679</v>
      </c>
      <c r="F80" s="14">
        <v>1</v>
      </c>
      <c r="G80">
        <v>792136.82839391904</v>
      </c>
    </row>
    <row r="81" spans="1:7" hidden="1" x14ac:dyDescent="0.25">
      <c r="A81">
        <v>79</v>
      </c>
      <c r="B81" t="s">
        <v>3680</v>
      </c>
      <c r="C81" t="s">
        <v>980</v>
      </c>
      <c r="D81" t="s">
        <v>979</v>
      </c>
      <c r="E81" t="s">
        <v>3681</v>
      </c>
      <c r="F81" s="14">
        <v>1</v>
      </c>
      <c r="G81">
        <v>2076081.4279917099</v>
      </c>
    </row>
    <row r="82" spans="1:7" x14ac:dyDescent="0.25">
      <c r="A82">
        <v>80</v>
      </c>
      <c r="B82" t="s">
        <v>3682</v>
      </c>
      <c r="C82" t="s">
        <v>997</v>
      </c>
      <c r="D82" t="s">
        <v>996</v>
      </c>
      <c r="E82" t="s">
        <v>3577</v>
      </c>
      <c r="F82" s="14">
        <v>0</v>
      </c>
      <c r="G82">
        <v>985809.48855359002</v>
      </c>
    </row>
    <row r="83" spans="1:7" x14ac:dyDescent="0.25">
      <c r="A83">
        <v>81</v>
      </c>
      <c r="B83" t="s">
        <v>3683</v>
      </c>
      <c r="C83" t="s">
        <v>997</v>
      </c>
      <c r="D83" t="s">
        <v>996</v>
      </c>
      <c r="E83" t="s">
        <v>3684</v>
      </c>
      <c r="F83" s="14">
        <v>0</v>
      </c>
      <c r="G83">
        <v>20118.5609908896</v>
      </c>
    </row>
    <row r="84" spans="1:7" hidden="1" x14ac:dyDescent="0.25">
      <c r="A84">
        <v>82</v>
      </c>
      <c r="B84" t="s">
        <v>3685</v>
      </c>
      <c r="C84" t="s">
        <v>997</v>
      </c>
      <c r="D84" t="s">
        <v>996</v>
      </c>
      <c r="E84" t="s">
        <v>3686</v>
      </c>
      <c r="F84" s="14">
        <v>0</v>
      </c>
      <c r="G84">
        <v>34314.022750130498</v>
      </c>
    </row>
    <row r="85" spans="1:7" hidden="1" x14ac:dyDescent="0.25">
      <c r="A85">
        <v>83</v>
      </c>
      <c r="B85" t="s">
        <v>3687</v>
      </c>
      <c r="C85" t="s">
        <v>997</v>
      </c>
      <c r="D85" t="s">
        <v>996</v>
      </c>
      <c r="E85" t="s">
        <v>3580</v>
      </c>
      <c r="F85" s="14">
        <v>1</v>
      </c>
      <c r="G85">
        <v>1681387.11475639</v>
      </c>
    </row>
    <row r="86" spans="1:7" x14ac:dyDescent="0.25">
      <c r="A86">
        <v>84</v>
      </c>
      <c r="B86" t="s">
        <v>3688</v>
      </c>
      <c r="C86" t="s">
        <v>966</v>
      </c>
      <c r="D86" t="s">
        <v>988</v>
      </c>
      <c r="E86" t="s">
        <v>3619</v>
      </c>
      <c r="F86" s="14">
        <v>0</v>
      </c>
      <c r="G86">
        <v>1298012.23696999</v>
      </c>
    </row>
    <row r="87" spans="1:7" hidden="1" x14ac:dyDescent="0.25">
      <c r="A87">
        <v>85</v>
      </c>
      <c r="B87" t="s">
        <v>3689</v>
      </c>
      <c r="C87" t="s">
        <v>966</v>
      </c>
      <c r="D87" t="s">
        <v>988</v>
      </c>
      <c r="E87" t="s">
        <v>3621</v>
      </c>
      <c r="F87" s="14">
        <v>1</v>
      </c>
      <c r="G87">
        <v>2270269.1193386498</v>
      </c>
    </row>
    <row r="88" spans="1:7" x14ac:dyDescent="0.25">
      <c r="A88">
        <v>86</v>
      </c>
      <c r="B88" t="s">
        <v>3690</v>
      </c>
      <c r="C88" t="s">
        <v>985</v>
      </c>
      <c r="D88" t="s">
        <v>984</v>
      </c>
      <c r="E88" t="s">
        <v>3691</v>
      </c>
      <c r="F88" s="14">
        <v>1</v>
      </c>
      <c r="G88">
        <v>58304634.9038167</v>
      </c>
    </row>
    <row r="89" spans="1:7" hidden="1" x14ac:dyDescent="0.25">
      <c r="A89">
        <v>87</v>
      </c>
      <c r="B89" t="s">
        <v>3692</v>
      </c>
      <c r="C89" t="s">
        <v>985</v>
      </c>
      <c r="D89" t="s">
        <v>984</v>
      </c>
      <c r="E89" t="s">
        <v>3693</v>
      </c>
      <c r="F89" s="14">
        <v>1</v>
      </c>
      <c r="G89">
        <v>116405118.947822</v>
      </c>
    </row>
    <row r="90" spans="1:7" x14ac:dyDescent="0.25">
      <c r="A90">
        <v>88</v>
      </c>
      <c r="B90" t="s">
        <v>3694</v>
      </c>
      <c r="C90" t="s">
        <v>1134</v>
      </c>
      <c r="D90" t="s">
        <v>1148</v>
      </c>
      <c r="E90" t="s">
        <v>3561</v>
      </c>
      <c r="F90" s="14">
        <v>1</v>
      </c>
      <c r="G90">
        <v>7109069.2703932896</v>
      </c>
    </row>
    <row r="91" spans="1:7" hidden="1" x14ac:dyDescent="0.25">
      <c r="A91">
        <v>89</v>
      </c>
      <c r="B91" t="s">
        <v>3695</v>
      </c>
      <c r="C91" t="s">
        <v>1134</v>
      </c>
      <c r="D91" t="s">
        <v>1148</v>
      </c>
      <c r="E91" t="s">
        <v>3559</v>
      </c>
      <c r="F91" s="14">
        <v>1</v>
      </c>
      <c r="G91">
        <v>10642772.4729561</v>
      </c>
    </row>
    <row r="92" spans="1:7" x14ac:dyDescent="0.25">
      <c r="A92">
        <v>90</v>
      </c>
      <c r="B92" t="s">
        <v>3696</v>
      </c>
      <c r="C92" t="s">
        <v>1267</v>
      </c>
      <c r="D92" t="s">
        <v>1266</v>
      </c>
      <c r="E92" t="s">
        <v>3697</v>
      </c>
      <c r="F92" s="14">
        <v>1</v>
      </c>
      <c r="G92">
        <v>364732.53972936998</v>
      </c>
    </row>
    <row r="93" spans="1:7" hidden="1" x14ac:dyDescent="0.25">
      <c r="A93">
        <v>91</v>
      </c>
      <c r="B93" t="s">
        <v>3698</v>
      </c>
      <c r="C93" t="s">
        <v>1267</v>
      </c>
      <c r="D93" t="s">
        <v>1266</v>
      </c>
      <c r="E93" t="s">
        <v>3699</v>
      </c>
      <c r="F93" s="14">
        <v>1</v>
      </c>
      <c r="G93">
        <v>890151.55471948104</v>
      </c>
    </row>
    <row r="94" spans="1:7" hidden="1" x14ac:dyDescent="0.25">
      <c r="A94">
        <v>92</v>
      </c>
      <c r="B94" t="s">
        <v>3700</v>
      </c>
      <c r="C94" t="s">
        <v>1104</v>
      </c>
      <c r="D94" t="s">
        <v>1103</v>
      </c>
      <c r="E94" t="s">
        <v>3701</v>
      </c>
      <c r="F94" s="14">
        <v>1</v>
      </c>
      <c r="G94">
        <v>531828.01004029403</v>
      </c>
    </row>
    <row r="95" spans="1:7" x14ac:dyDescent="0.25">
      <c r="A95">
        <v>93</v>
      </c>
      <c r="B95" t="s">
        <v>3702</v>
      </c>
      <c r="C95" t="s">
        <v>1104</v>
      </c>
      <c r="D95" t="s">
        <v>1103</v>
      </c>
      <c r="E95" t="s">
        <v>3703</v>
      </c>
      <c r="F95" s="14">
        <v>0</v>
      </c>
      <c r="G95">
        <v>261122.861081471</v>
      </c>
    </row>
    <row r="96" spans="1:7" hidden="1" x14ac:dyDescent="0.25">
      <c r="A96">
        <v>94</v>
      </c>
      <c r="B96" t="s">
        <v>3704</v>
      </c>
      <c r="C96" t="s">
        <v>1058</v>
      </c>
      <c r="D96" t="s">
        <v>1057</v>
      </c>
      <c r="E96" t="s">
        <v>3705</v>
      </c>
      <c r="F96" s="14">
        <v>1</v>
      </c>
      <c r="G96">
        <v>29756996.644166999</v>
      </c>
    </row>
    <row r="97" spans="1:7" hidden="1" x14ac:dyDescent="0.25">
      <c r="A97">
        <v>95</v>
      </c>
      <c r="B97" t="s">
        <v>3706</v>
      </c>
      <c r="C97" t="s">
        <v>1058</v>
      </c>
      <c r="D97" t="s">
        <v>1057</v>
      </c>
      <c r="E97" t="s">
        <v>3707</v>
      </c>
      <c r="F97" s="14">
        <v>0</v>
      </c>
      <c r="G97">
        <v>1566157.7181140501</v>
      </c>
    </row>
    <row r="98" spans="1:7" x14ac:dyDescent="0.25">
      <c r="A98">
        <v>96</v>
      </c>
      <c r="B98" t="s">
        <v>3708</v>
      </c>
      <c r="C98" t="s">
        <v>1058</v>
      </c>
      <c r="D98" t="s">
        <v>1057</v>
      </c>
      <c r="E98" t="s">
        <v>3709</v>
      </c>
      <c r="F98" s="14">
        <v>0</v>
      </c>
      <c r="G98">
        <v>671555.35506306903</v>
      </c>
    </row>
    <row r="99" spans="1:7" x14ac:dyDescent="0.25">
      <c r="A99">
        <v>97</v>
      </c>
      <c r="B99" t="s">
        <v>3710</v>
      </c>
      <c r="C99" t="s">
        <v>1058</v>
      </c>
      <c r="D99" t="s">
        <v>1057</v>
      </c>
      <c r="E99" t="s">
        <v>3711</v>
      </c>
      <c r="F99" s="14">
        <v>1</v>
      </c>
      <c r="G99">
        <v>6039490.28610148</v>
      </c>
    </row>
    <row r="100" spans="1:7" hidden="1" x14ac:dyDescent="0.25">
      <c r="A100">
        <v>98</v>
      </c>
      <c r="B100" t="s">
        <v>3712</v>
      </c>
      <c r="C100" t="s">
        <v>1058</v>
      </c>
      <c r="D100" t="s">
        <v>1057</v>
      </c>
      <c r="E100" t="s">
        <v>3713</v>
      </c>
      <c r="F100" s="14">
        <v>0</v>
      </c>
      <c r="G100">
        <v>730423.98062924296</v>
      </c>
    </row>
    <row r="101" spans="1:7" hidden="1" x14ac:dyDescent="0.25">
      <c r="A101">
        <v>99</v>
      </c>
      <c r="B101" t="s">
        <v>3714</v>
      </c>
      <c r="C101" t="s">
        <v>1058</v>
      </c>
      <c r="D101" t="s">
        <v>1057</v>
      </c>
      <c r="E101" t="s">
        <v>3715</v>
      </c>
      <c r="F101" s="14">
        <v>1</v>
      </c>
      <c r="G101">
        <v>13878055.631955599</v>
      </c>
    </row>
    <row r="102" spans="1:7" x14ac:dyDescent="0.25">
      <c r="A102">
        <v>100</v>
      </c>
      <c r="B102" t="s">
        <v>3716</v>
      </c>
      <c r="C102" t="s">
        <v>1058</v>
      </c>
      <c r="D102" t="s">
        <v>1057</v>
      </c>
      <c r="E102" t="s">
        <v>3717</v>
      </c>
      <c r="F102" s="14">
        <v>0</v>
      </c>
      <c r="G102">
        <v>12759551.7461983</v>
      </c>
    </row>
    <row r="103" spans="1:7" x14ac:dyDescent="0.25">
      <c r="A103">
        <v>101</v>
      </c>
      <c r="B103" t="s">
        <v>3718</v>
      </c>
      <c r="C103" t="s">
        <v>1058</v>
      </c>
      <c r="D103" t="s">
        <v>1057</v>
      </c>
      <c r="E103" t="s">
        <v>3719</v>
      </c>
      <c r="F103" s="14">
        <v>0</v>
      </c>
      <c r="G103">
        <v>317867.90979481401</v>
      </c>
    </row>
    <row r="104" spans="1:7" x14ac:dyDescent="0.25">
      <c r="A104">
        <v>102</v>
      </c>
      <c r="B104" t="s">
        <v>3720</v>
      </c>
      <c r="C104" t="s">
        <v>1047</v>
      </c>
      <c r="D104" t="s">
        <v>1046</v>
      </c>
      <c r="E104" t="s">
        <v>3721</v>
      </c>
      <c r="F104" s="14">
        <v>1</v>
      </c>
      <c r="G104">
        <v>5430151.7829338899</v>
      </c>
    </row>
    <row r="105" spans="1:7" hidden="1" x14ac:dyDescent="0.25">
      <c r="A105">
        <v>103</v>
      </c>
      <c r="B105" t="s">
        <v>3722</v>
      </c>
      <c r="C105" t="s">
        <v>1047</v>
      </c>
      <c r="D105" t="s">
        <v>1046</v>
      </c>
      <c r="E105" t="s">
        <v>3723</v>
      </c>
      <c r="F105" s="14">
        <v>1</v>
      </c>
      <c r="G105">
        <v>10054354.613634</v>
      </c>
    </row>
    <row r="106" spans="1:7" x14ac:dyDescent="0.25">
      <c r="A106">
        <v>104</v>
      </c>
      <c r="B106" t="s">
        <v>3724</v>
      </c>
      <c r="C106" t="s">
        <v>1169</v>
      </c>
      <c r="D106" t="s">
        <v>1168</v>
      </c>
      <c r="E106" t="s">
        <v>3725</v>
      </c>
      <c r="F106" s="14">
        <v>1</v>
      </c>
      <c r="G106">
        <v>1294181.3467665699</v>
      </c>
    </row>
    <row r="107" spans="1:7" hidden="1" x14ac:dyDescent="0.25">
      <c r="A107">
        <v>105</v>
      </c>
      <c r="B107" t="s">
        <v>3726</v>
      </c>
      <c r="C107" t="s">
        <v>1169</v>
      </c>
      <c r="D107" t="s">
        <v>1168</v>
      </c>
      <c r="E107" t="s">
        <v>3727</v>
      </c>
      <c r="F107" s="14">
        <v>1</v>
      </c>
      <c r="G107">
        <v>2266924.18227281</v>
      </c>
    </row>
    <row r="108" spans="1:7" x14ac:dyDescent="0.25">
      <c r="A108">
        <v>106</v>
      </c>
      <c r="B108" t="s">
        <v>3728</v>
      </c>
      <c r="C108" t="s">
        <v>1106</v>
      </c>
      <c r="D108" t="s">
        <v>1105</v>
      </c>
      <c r="E108" t="s">
        <v>3565</v>
      </c>
      <c r="F108" s="14">
        <v>1</v>
      </c>
      <c r="G108">
        <v>11622033.5157141</v>
      </c>
    </row>
    <row r="109" spans="1:7" hidden="1" x14ac:dyDescent="0.25">
      <c r="A109">
        <v>107</v>
      </c>
      <c r="B109" t="s">
        <v>3729</v>
      </c>
      <c r="C109" t="s">
        <v>1106</v>
      </c>
      <c r="D109" t="s">
        <v>1105</v>
      </c>
      <c r="E109" t="s">
        <v>3567</v>
      </c>
      <c r="F109" s="14">
        <v>1</v>
      </c>
      <c r="G109">
        <v>23914009.6762027</v>
      </c>
    </row>
    <row r="110" spans="1:7" hidden="1" x14ac:dyDescent="0.25">
      <c r="A110">
        <v>108</v>
      </c>
      <c r="B110" t="s">
        <v>3730</v>
      </c>
      <c r="C110" t="s">
        <v>1106</v>
      </c>
      <c r="D110" t="s">
        <v>1105</v>
      </c>
      <c r="E110" t="s">
        <v>3571</v>
      </c>
      <c r="F110" s="14">
        <v>1</v>
      </c>
      <c r="G110">
        <v>1258632.08822119</v>
      </c>
    </row>
    <row r="111" spans="1:7" x14ac:dyDescent="0.25">
      <c r="A111">
        <v>109</v>
      </c>
      <c r="B111" t="s">
        <v>3731</v>
      </c>
      <c r="C111" t="s">
        <v>1106</v>
      </c>
      <c r="D111" t="s">
        <v>1105</v>
      </c>
      <c r="E111" t="s">
        <v>3569</v>
      </c>
      <c r="F111" s="14">
        <v>1</v>
      </c>
      <c r="G111">
        <v>611685.97451127204</v>
      </c>
    </row>
    <row r="112" spans="1:7" hidden="1" x14ac:dyDescent="0.25">
      <c r="A112">
        <v>110</v>
      </c>
      <c r="B112" t="s">
        <v>3732</v>
      </c>
      <c r="C112" t="s">
        <v>1017</v>
      </c>
      <c r="D112" t="s">
        <v>1016</v>
      </c>
      <c r="E112" t="s">
        <v>3667</v>
      </c>
      <c r="F112" s="14">
        <v>1</v>
      </c>
      <c r="G112">
        <v>9090796.7676650807</v>
      </c>
    </row>
    <row r="113" spans="1:7" x14ac:dyDescent="0.25">
      <c r="A113">
        <v>111</v>
      </c>
      <c r="B113" t="s">
        <v>3733</v>
      </c>
      <c r="C113" t="s">
        <v>1017</v>
      </c>
      <c r="D113" t="s">
        <v>1016</v>
      </c>
      <c r="E113" t="s">
        <v>3665</v>
      </c>
      <c r="F113" s="14">
        <v>1</v>
      </c>
      <c r="G113">
        <v>4107502.9861025801</v>
      </c>
    </row>
    <row r="114" spans="1:7" hidden="1" x14ac:dyDescent="0.25">
      <c r="A114">
        <v>112</v>
      </c>
      <c r="B114" t="s">
        <v>3734</v>
      </c>
      <c r="C114" t="s">
        <v>1232</v>
      </c>
      <c r="D114" t="s">
        <v>1231</v>
      </c>
      <c r="E114" t="s">
        <v>3735</v>
      </c>
      <c r="F114" s="14">
        <v>1</v>
      </c>
      <c r="G114">
        <v>8203123.1881716</v>
      </c>
    </row>
    <row r="115" spans="1:7" x14ac:dyDescent="0.25">
      <c r="A115">
        <v>113</v>
      </c>
      <c r="B115" t="s">
        <v>3736</v>
      </c>
      <c r="C115" t="s">
        <v>1232</v>
      </c>
      <c r="D115" t="s">
        <v>1231</v>
      </c>
      <c r="E115" t="s">
        <v>3737</v>
      </c>
      <c r="F115" s="14">
        <v>1</v>
      </c>
      <c r="G115">
        <v>3666737.7815547502</v>
      </c>
    </row>
    <row r="116" spans="1:7" x14ac:dyDescent="0.25">
      <c r="A116">
        <v>114</v>
      </c>
      <c r="B116" t="s">
        <v>3738</v>
      </c>
      <c r="C116" t="s">
        <v>1165</v>
      </c>
      <c r="D116" t="s">
        <v>1164</v>
      </c>
      <c r="E116" t="s">
        <v>3739</v>
      </c>
      <c r="F116" s="14">
        <v>0</v>
      </c>
      <c r="G116">
        <v>333805.69541599602</v>
      </c>
    </row>
    <row r="117" spans="1:7" hidden="1" x14ac:dyDescent="0.25">
      <c r="A117">
        <v>115</v>
      </c>
      <c r="B117" t="s">
        <v>3740</v>
      </c>
      <c r="C117" t="s">
        <v>1165</v>
      </c>
      <c r="D117" t="s">
        <v>1164</v>
      </c>
      <c r="E117" t="s">
        <v>3741</v>
      </c>
      <c r="F117" s="14">
        <v>0</v>
      </c>
      <c r="G117">
        <v>666915.59280749096</v>
      </c>
    </row>
    <row r="118" spans="1:7" x14ac:dyDescent="0.25">
      <c r="A118">
        <v>116</v>
      </c>
      <c r="B118" t="s">
        <v>3742</v>
      </c>
      <c r="C118" t="s">
        <v>1251</v>
      </c>
      <c r="D118" t="s">
        <v>1268</v>
      </c>
      <c r="E118" t="s">
        <v>3575</v>
      </c>
      <c r="F118" s="14">
        <v>1</v>
      </c>
      <c r="G118">
        <v>3391879.3589102798</v>
      </c>
    </row>
    <row r="119" spans="1:7" hidden="1" x14ac:dyDescent="0.25">
      <c r="A119">
        <v>117</v>
      </c>
      <c r="B119" t="s">
        <v>3743</v>
      </c>
      <c r="C119" t="s">
        <v>1251</v>
      </c>
      <c r="D119" t="s">
        <v>1268</v>
      </c>
      <c r="E119" t="s">
        <v>3573</v>
      </c>
      <c r="F119" s="14">
        <v>1</v>
      </c>
      <c r="G119">
        <v>5918156.1090539796</v>
      </c>
    </row>
    <row r="120" spans="1:7" x14ac:dyDescent="0.25">
      <c r="A120">
        <v>118</v>
      </c>
      <c r="B120" t="s">
        <v>3744</v>
      </c>
      <c r="C120" t="s">
        <v>1167</v>
      </c>
      <c r="D120" t="s">
        <v>1166</v>
      </c>
      <c r="E120" t="s">
        <v>3584</v>
      </c>
      <c r="F120" s="14">
        <v>1</v>
      </c>
      <c r="G120">
        <v>3161565.57562932</v>
      </c>
    </row>
    <row r="121" spans="1:7" x14ac:dyDescent="0.25">
      <c r="A121">
        <v>119</v>
      </c>
      <c r="B121" t="s">
        <v>3745</v>
      </c>
      <c r="C121" t="s">
        <v>1167</v>
      </c>
      <c r="D121" t="s">
        <v>1166</v>
      </c>
      <c r="E121" t="s">
        <v>3557</v>
      </c>
      <c r="F121" s="14">
        <v>1</v>
      </c>
      <c r="G121">
        <v>944363.74336979701</v>
      </c>
    </row>
    <row r="122" spans="1:7" hidden="1" x14ac:dyDescent="0.25">
      <c r="A122">
        <v>120</v>
      </c>
      <c r="B122" t="s">
        <v>3746</v>
      </c>
      <c r="C122" t="s">
        <v>1167</v>
      </c>
      <c r="D122" t="s">
        <v>1166</v>
      </c>
      <c r="E122" t="s">
        <v>3555</v>
      </c>
      <c r="F122" s="14">
        <v>1</v>
      </c>
      <c r="G122">
        <v>1754585.98767004</v>
      </c>
    </row>
    <row r="123" spans="1:7" hidden="1" x14ac:dyDescent="0.25">
      <c r="A123">
        <v>121</v>
      </c>
      <c r="B123" t="s">
        <v>3747</v>
      </c>
      <c r="C123" t="s">
        <v>1167</v>
      </c>
      <c r="D123" t="s">
        <v>1166</v>
      </c>
      <c r="E123" t="s">
        <v>3586</v>
      </c>
      <c r="F123" s="14">
        <v>1</v>
      </c>
      <c r="G123">
        <v>5874048.7413301496</v>
      </c>
    </row>
    <row r="124" spans="1:7" hidden="1" x14ac:dyDescent="0.25">
      <c r="A124">
        <v>122</v>
      </c>
      <c r="B124" t="s">
        <v>3748</v>
      </c>
      <c r="C124" t="s">
        <v>1217</v>
      </c>
      <c r="D124" t="s">
        <v>1216</v>
      </c>
      <c r="E124" t="s">
        <v>3649</v>
      </c>
      <c r="F124" s="14">
        <v>1</v>
      </c>
      <c r="G124">
        <v>6452643.7912111497</v>
      </c>
    </row>
    <row r="125" spans="1:7" x14ac:dyDescent="0.25">
      <c r="A125">
        <v>123</v>
      </c>
      <c r="B125" t="s">
        <v>3749</v>
      </c>
      <c r="C125" t="s">
        <v>1217</v>
      </c>
      <c r="D125" t="s">
        <v>1216</v>
      </c>
      <c r="E125" t="s">
        <v>3651</v>
      </c>
      <c r="F125" s="14">
        <v>1</v>
      </c>
      <c r="G125">
        <v>3554650.7084040702</v>
      </c>
    </row>
    <row r="126" spans="1:7" x14ac:dyDescent="0.25">
      <c r="A126">
        <v>124</v>
      </c>
      <c r="B126" t="s">
        <v>3750</v>
      </c>
      <c r="C126" t="s">
        <v>995</v>
      </c>
      <c r="D126" t="s">
        <v>994</v>
      </c>
      <c r="E126" t="s">
        <v>3679</v>
      </c>
      <c r="F126" s="14">
        <v>1</v>
      </c>
      <c r="G126">
        <v>3365078.9999489798</v>
      </c>
    </row>
    <row r="127" spans="1:7" hidden="1" x14ac:dyDescent="0.25">
      <c r="A127">
        <v>125</v>
      </c>
      <c r="B127" t="s">
        <v>3751</v>
      </c>
      <c r="C127" t="s">
        <v>995</v>
      </c>
      <c r="D127" t="s">
        <v>994</v>
      </c>
      <c r="E127" t="s">
        <v>3681</v>
      </c>
      <c r="F127" s="14">
        <v>1</v>
      </c>
      <c r="G127">
        <v>6729518.9466456501</v>
      </c>
    </row>
    <row r="128" spans="1:7" hidden="1" x14ac:dyDescent="0.25">
      <c r="A128">
        <v>126</v>
      </c>
      <c r="B128" t="s">
        <v>3752</v>
      </c>
      <c r="C128" t="s">
        <v>1207</v>
      </c>
      <c r="D128" t="s">
        <v>1206</v>
      </c>
      <c r="E128" t="s">
        <v>3753</v>
      </c>
      <c r="F128" s="14">
        <v>1</v>
      </c>
      <c r="G128">
        <v>2933010.31075696</v>
      </c>
    </row>
    <row r="129" spans="1:7" x14ac:dyDescent="0.25">
      <c r="A129">
        <v>127</v>
      </c>
      <c r="B129" t="s">
        <v>3754</v>
      </c>
      <c r="C129" t="s">
        <v>1207</v>
      </c>
      <c r="D129" t="s">
        <v>1206</v>
      </c>
      <c r="E129" t="s">
        <v>3755</v>
      </c>
      <c r="F129" s="14">
        <v>1</v>
      </c>
      <c r="G129">
        <v>1330919.2779208201</v>
      </c>
    </row>
    <row r="130" spans="1:7" x14ac:dyDescent="0.25">
      <c r="A130">
        <v>128</v>
      </c>
      <c r="B130" t="s">
        <v>3756</v>
      </c>
      <c r="C130" t="s">
        <v>1087</v>
      </c>
      <c r="D130" t="s">
        <v>1086</v>
      </c>
      <c r="E130" t="s">
        <v>3757</v>
      </c>
      <c r="F130" s="14">
        <v>0</v>
      </c>
      <c r="G130">
        <v>4827736.1589992596</v>
      </c>
    </row>
    <row r="131" spans="1:7" hidden="1" x14ac:dyDescent="0.25">
      <c r="A131">
        <v>129</v>
      </c>
      <c r="B131" t="s">
        <v>3758</v>
      </c>
      <c r="C131" t="s">
        <v>1087</v>
      </c>
      <c r="D131" t="s">
        <v>1086</v>
      </c>
      <c r="E131" t="s">
        <v>3759</v>
      </c>
      <c r="F131" s="14">
        <v>0</v>
      </c>
      <c r="G131">
        <v>11676229.855422501</v>
      </c>
    </row>
    <row r="132" spans="1:7" x14ac:dyDescent="0.25">
      <c r="A132">
        <v>130</v>
      </c>
      <c r="B132" t="s">
        <v>3760</v>
      </c>
      <c r="C132" t="s">
        <v>947</v>
      </c>
      <c r="D132" t="s">
        <v>954</v>
      </c>
      <c r="E132" t="s">
        <v>3761</v>
      </c>
      <c r="F132" s="14">
        <v>0</v>
      </c>
      <c r="G132">
        <v>4212789.0761278402</v>
      </c>
    </row>
    <row r="133" spans="1:7" hidden="1" x14ac:dyDescent="0.25">
      <c r="A133">
        <v>131</v>
      </c>
      <c r="B133" t="s">
        <v>3762</v>
      </c>
      <c r="C133" t="s">
        <v>947</v>
      </c>
      <c r="D133" t="s">
        <v>954</v>
      </c>
      <c r="E133" t="s">
        <v>3763</v>
      </c>
      <c r="F133" s="14">
        <v>1</v>
      </c>
      <c r="G133">
        <v>9561752.5968990307</v>
      </c>
    </row>
    <row r="134" spans="1:7" hidden="1" x14ac:dyDescent="0.25">
      <c r="A134">
        <v>132</v>
      </c>
      <c r="B134" t="s">
        <v>3764</v>
      </c>
      <c r="C134" t="s">
        <v>1182</v>
      </c>
      <c r="D134" t="s">
        <v>1181</v>
      </c>
      <c r="E134" t="s">
        <v>3727</v>
      </c>
      <c r="F134" s="14">
        <v>1</v>
      </c>
      <c r="G134">
        <v>9785607.9552594908</v>
      </c>
    </row>
    <row r="135" spans="1:7" x14ac:dyDescent="0.25">
      <c r="A135">
        <v>133</v>
      </c>
      <c r="B135" t="s">
        <v>3765</v>
      </c>
      <c r="C135" t="s">
        <v>1182</v>
      </c>
      <c r="D135" t="s">
        <v>1181</v>
      </c>
      <c r="E135" t="s">
        <v>3725</v>
      </c>
      <c r="F135" s="14">
        <v>1</v>
      </c>
      <c r="G135">
        <v>5837210.2753075603</v>
      </c>
    </row>
    <row r="136" spans="1:7" hidden="1" x14ac:dyDescent="0.25">
      <c r="A136">
        <v>134</v>
      </c>
      <c r="B136" t="s">
        <v>3766</v>
      </c>
      <c r="C136" t="s">
        <v>1184</v>
      </c>
      <c r="D136" t="s">
        <v>1183</v>
      </c>
      <c r="E136" t="s">
        <v>3555</v>
      </c>
      <c r="F136" s="14">
        <v>1</v>
      </c>
      <c r="G136">
        <v>618074.99010282999</v>
      </c>
    </row>
    <row r="137" spans="1:7" x14ac:dyDescent="0.25">
      <c r="A137">
        <v>135</v>
      </c>
      <c r="B137" t="s">
        <v>3767</v>
      </c>
      <c r="C137" t="s">
        <v>1184</v>
      </c>
      <c r="D137" t="s">
        <v>1183</v>
      </c>
      <c r="E137" t="s">
        <v>3584</v>
      </c>
      <c r="F137" s="14">
        <v>1</v>
      </c>
      <c r="G137">
        <v>2139365.2376417802</v>
      </c>
    </row>
    <row r="138" spans="1:7" x14ac:dyDescent="0.25">
      <c r="A138">
        <v>136</v>
      </c>
      <c r="B138" t="s">
        <v>3768</v>
      </c>
      <c r="C138" t="s">
        <v>1184</v>
      </c>
      <c r="D138" t="s">
        <v>1183</v>
      </c>
      <c r="E138" t="s">
        <v>3557</v>
      </c>
      <c r="F138" s="14">
        <v>1</v>
      </c>
      <c r="G138">
        <v>348268.75961610401</v>
      </c>
    </row>
    <row r="139" spans="1:7" hidden="1" x14ac:dyDescent="0.25">
      <c r="A139">
        <v>137</v>
      </c>
      <c r="B139" t="s">
        <v>3769</v>
      </c>
      <c r="C139" t="s">
        <v>1184</v>
      </c>
      <c r="D139" t="s">
        <v>1183</v>
      </c>
      <c r="E139" t="s">
        <v>3586</v>
      </c>
      <c r="F139" s="14">
        <v>1</v>
      </c>
      <c r="G139">
        <v>3796746.3677745298</v>
      </c>
    </row>
    <row r="140" spans="1:7" x14ac:dyDescent="0.25">
      <c r="A140">
        <v>138</v>
      </c>
      <c r="B140" t="s">
        <v>3770</v>
      </c>
      <c r="C140" t="s">
        <v>1077</v>
      </c>
      <c r="D140" t="s">
        <v>1076</v>
      </c>
      <c r="E140" t="s">
        <v>3623</v>
      </c>
      <c r="F140" s="14">
        <v>1</v>
      </c>
      <c r="G140">
        <v>5402392.4217266198</v>
      </c>
    </row>
    <row r="141" spans="1:7" hidden="1" x14ac:dyDescent="0.25">
      <c r="A141">
        <v>139</v>
      </c>
      <c r="B141" t="s">
        <v>3771</v>
      </c>
      <c r="C141" t="s">
        <v>1077</v>
      </c>
      <c r="D141" t="s">
        <v>1076</v>
      </c>
      <c r="E141" t="s">
        <v>3625</v>
      </c>
      <c r="F141" s="14">
        <v>1</v>
      </c>
      <c r="G141">
        <v>9940577.8140233308</v>
      </c>
    </row>
    <row r="142" spans="1:7" x14ac:dyDescent="0.25">
      <c r="A142">
        <v>140</v>
      </c>
      <c r="B142" t="s">
        <v>3772</v>
      </c>
      <c r="C142" t="s">
        <v>1132</v>
      </c>
      <c r="D142" t="s">
        <v>1203</v>
      </c>
      <c r="E142" t="s">
        <v>3561</v>
      </c>
      <c r="F142" s="14">
        <v>1</v>
      </c>
      <c r="G142">
        <v>9522215.1212198995</v>
      </c>
    </row>
    <row r="143" spans="1:7" hidden="1" x14ac:dyDescent="0.25">
      <c r="A143">
        <v>141</v>
      </c>
      <c r="B143" t="s">
        <v>3773</v>
      </c>
      <c r="C143" t="s">
        <v>1132</v>
      </c>
      <c r="D143" t="s">
        <v>1203</v>
      </c>
      <c r="E143" t="s">
        <v>3559</v>
      </c>
      <c r="F143" s="14">
        <v>1</v>
      </c>
      <c r="G143">
        <v>14364663.758730801</v>
      </c>
    </row>
    <row r="144" spans="1:7" hidden="1" x14ac:dyDescent="0.25">
      <c r="A144">
        <v>142</v>
      </c>
      <c r="B144" t="s">
        <v>3774</v>
      </c>
      <c r="C144" t="s">
        <v>1006</v>
      </c>
      <c r="D144" t="s">
        <v>1005</v>
      </c>
      <c r="E144" t="s">
        <v>3613</v>
      </c>
      <c r="F144" s="14">
        <v>1</v>
      </c>
      <c r="G144">
        <v>8780181.3451826908</v>
      </c>
    </row>
    <row r="145" spans="1:7" x14ac:dyDescent="0.25">
      <c r="A145">
        <v>143</v>
      </c>
      <c r="B145" t="s">
        <v>3775</v>
      </c>
      <c r="C145" t="s">
        <v>1006</v>
      </c>
      <c r="D145" t="s">
        <v>1005</v>
      </c>
      <c r="E145" t="s">
        <v>3611</v>
      </c>
      <c r="F145" s="14">
        <v>1</v>
      </c>
      <c r="G145">
        <v>4730328.3069914896</v>
      </c>
    </row>
    <row r="146" spans="1:7" hidden="1" x14ac:dyDescent="0.25">
      <c r="A146">
        <v>144</v>
      </c>
      <c r="B146" t="s">
        <v>3776</v>
      </c>
      <c r="C146" t="s">
        <v>991</v>
      </c>
      <c r="D146" t="s">
        <v>990</v>
      </c>
      <c r="E146" t="s">
        <v>3777</v>
      </c>
      <c r="F146" s="14">
        <v>0</v>
      </c>
      <c r="G146">
        <v>1158441.9734094799</v>
      </c>
    </row>
    <row r="147" spans="1:7" x14ac:dyDescent="0.25">
      <c r="A147">
        <v>145</v>
      </c>
      <c r="B147" t="s">
        <v>3778</v>
      </c>
      <c r="C147" t="s">
        <v>991</v>
      </c>
      <c r="D147" t="s">
        <v>990</v>
      </c>
      <c r="E147" t="s">
        <v>3779</v>
      </c>
      <c r="F147" s="14">
        <v>1</v>
      </c>
      <c r="G147">
        <v>503207.06561138999</v>
      </c>
    </row>
    <row r="148" spans="1:7" x14ac:dyDescent="0.25">
      <c r="A148">
        <v>146</v>
      </c>
      <c r="B148" t="s">
        <v>3780</v>
      </c>
      <c r="C148" t="s">
        <v>1100</v>
      </c>
      <c r="D148" t="s">
        <v>1099</v>
      </c>
      <c r="E148" t="s">
        <v>3781</v>
      </c>
      <c r="F148" s="14">
        <v>0</v>
      </c>
      <c r="G148">
        <v>132901.82901938699</v>
      </c>
    </row>
    <row r="149" spans="1:7" hidden="1" x14ac:dyDescent="0.25">
      <c r="A149">
        <v>147</v>
      </c>
      <c r="B149" t="s">
        <v>3782</v>
      </c>
      <c r="C149" t="s">
        <v>1100</v>
      </c>
      <c r="D149" t="s">
        <v>1099</v>
      </c>
      <c r="E149" t="s">
        <v>3783</v>
      </c>
      <c r="F149" s="14">
        <v>1</v>
      </c>
      <c r="G149">
        <v>243772.715384082</v>
      </c>
    </row>
    <row r="150" spans="1:7" hidden="1" x14ac:dyDescent="0.25">
      <c r="A150">
        <v>148</v>
      </c>
      <c r="B150" t="s">
        <v>3784</v>
      </c>
      <c r="C150" t="s">
        <v>1021</v>
      </c>
      <c r="D150" t="s">
        <v>1020</v>
      </c>
      <c r="E150" t="s">
        <v>3785</v>
      </c>
      <c r="F150" s="14">
        <v>0</v>
      </c>
      <c r="G150">
        <v>2337670.9194521499</v>
      </c>
    </row>
    <row r="151" spans="1:7" x14ac:dyDescent="0.25">
      <c r="A151">
        <v>149</v>
      </c>
      <c r="B151" t="s">
        <v>3786</v>
      </c>
      <c r="C151" t="s">
        <v>1021</v>
      </c>
      <c r="D151" t="s">
        <v>1020</v>
      </c>
      <c r="E151" t="s">
        <v>3787</v>
      </c>
      <c r="F151" s="14">
        <v>0</v>
      </c>
      <c r="G151">
        <v>916100.05982695799</v>
      </c>
    </row>
    <row r="152" spans="1:7" hidden="1" x14ac:dyDescent="0.25">
      <c r="A152">
        <v>150</v>
      </c>
      <c r="B152" t="s">
        <v>3788</v>
      </c>
      <c r="C152" t="s">
        <v>1045</v>
      </c>
      <c r="D152" t="s">
        <v>1050</v>
      </c>
      <c r="E152" t="s">
        <v>3723</v>
      </c>
      <c r="F152" s="14">
        <v>1</v>
      </c>
      <c r="G152">
        <v>12046374.8908759</v>
      </c>
    </row>
    <row r="153" spans="1:7" x14ac:dyDescent="0.25">
      <c r="A153">
        <v>151</v>
      </c>
      <c r="B153" t="s">
        <v>3789</v>
      </c>
      <c r="C153" t="s">
        <v>1045</v>
      </c>
      <c r="D153" t="s">
        <v>1050</v>
      </c>
      <c r="E153" t="s">
        <v>3721</v>
      </c>
      <c r="F153" s="14">
        <v>1</v>
      </c>
      <c r="G153">
        <v>4556905.5815774798</v>
      </c>
    </row>
    <row r="154" spans="1:7" hidden="1" x14ac:dyDescent="0.25">
      <c r="A154">
        <v>152</v>
      </c>
      <c r="B154" t="s">
        <v>3790</v>
      </c>
      <c r="C154" t="s">
        <v>1137</v>
      </c>
      <c r="D154" t="s">
        <v>1136</v>
      </c>
      <c r="E154" t="s">
        <v>3791</v>
      </c>
      <c r="F154" s="14">
        <v>1</v>
      </c>
      <c r="G154">
        <v>842356.64883111895</v>
      </c>
    </row>
    <row r="155" spans="1:7" x14ac:dyDescent="0.25">
      <c r="A155">
        <v>153</v>
      </c>
      <c r="B155" t="s">
        <v>3792</v>
      </c>
      <c r="C155" t="s">
        <v>1137</v>
      </c>
      <c r="D155" t="s">
        <v>1136</v>
      </c>
      <c r="E155" t="s">
        <v>3793</v>
      </c>
      <c r="F155" s="14">
        <v>1</v>
      </c>
      <c r="G155">
        <v>356634.18709647801</v>
      </c>
    </row>
    <row r="156" spans="1:7" x14ac:dyDescent="0.25">
      <c r="A156">
        <v>154</v>
      </c>
      <c r="B156" t="s">
        <v>3794</v>
      </c>
      <c r="C156" t="s">
        <v>962</v>
      </c>
      <c r="D156" t="s">
        <v>983</v>
      </c>
      <c r="E156" t="s">
        <v>3591</v>
      </c>
      <c r="F156" s="14">
        <v>0</v>
      </c>
      <c r="G156">
        <v>1805442.0043240699</v>
      </c>
    </row>
    <row r="157" spans="1:7" hidden="1" x14ac:dyDescent="0.25">
      <c r="A157">
        <v>155</v>
      </c>
      <c r="B157" t="s">
        <v>3795</v>
      </c>
      <c r="C157" t="s">
        <v>962</v>
      </c>
      <c r="D157" t="s">
        <v>983</v>
      </c>
      <c r="E157" t="s">
        <v>3589</v>
      </c>
      <c r="F157" s="14">
        <v>0</v>
      </c>
      <c r="G157">
        <v>4904893.4232971696</v>
      </c>
    </row>
    <row r="158" spans="1:7" x14ac:dyDescent="0.25">
      <c r="A158">
        <v>156</v>
      </c>
      <c r="B158" t="s">
        <v>3796</v>
      </c>
      <c r="C158" t="s">
        <v>1027</v>
      </c>
      <c r="D158" t="s">
        <v>1026</v>
      </c>
      <c r="E158" t="s">
        <v>3797</v>
      </c>
      <c r="F158" s="14">
        <v>0</v>
      </c>
      <c r="G158">
        <v>1433921.2385251301</v>
      </c>
    </row>
    <row r="159" spans="1:7" hidden="1" x14ac:dyDescent="0.25">
      <c r="A159">
        <v>157</v>
      </c>
      <c r="B159" t="s">
        <v>3798</v>
      </c>
      <c r="C159" t="s">
        <v>1027</v>
      </c>
      <c r="D159" t="s">
        <v>1026</v>
      </c>
      <c r="E159" t="s">
        <v>3799</v>
      </c>
      <c r="F159" s="14">
        <v>1</v>
      </c>
      <c r="G159">
        <v>2944289.8026248901</v>
      </c>
    </row>
    <row r="160" spans="1:7" x14ac:dyDescent="0.25">
      <c r="A160">
        <v>158</v>
      </c>
      <c r="B160" t="s">
        <v>3800</v>
      </c>
      <c r="C160" t="s">
        <v>1122</v>
      </c>
      <c r="D160" t="s">
        <v>1121</v>
      </c>
      <c r="E160" t="s">
        <v>3623</v>
      </c>
      <c r="F160" s="14">
        <v>1</v>
      </c>
      <c r="G160">
        <v>1351812.9792182201</v>
      </c>
    </row>
    <row r="161" spans="1:7" hidden="1" x14ac:dyDescent="0.25">
      <c r="A161">
        <v>159</v>
      </c>
      <c r="B161" t="s">
        <v>3801</v>
      </c>
      <c r="C161" t="s">
        <v>1122</v>
      </c>
      <c r="D161" t="s">
        <v>1121</v>
      </c>
      <c r="E161" t="s">
        <v>3625</v>
      </c>
      <c r="F161" s="14">
        <v>1</v>
      </c>
      <c r="G161">
        <v>3131392.6719350801</v>
      </c>
    </row>
    <row r="162" spans="1:7" x14ac:dyDescent="0.25">
      <c r="A162">
        <v>160</v>
      </c>
      <c r="B162" t="s">
        <v>3802</v>
      </c>
      <c r="C162" t="s">
        <v>1211</v>
      </c>
      <c r="D162" t="s">
        <v>1210</v>
      </c>
      <c r="E162" t="s">
        <v>3803</v>
      </c>
      <c r="F162" s="14">
        <v>0</v>
      </c>
      <c r="G162">
        <v>45081.324184243102</v>
      </c>
    </row>
    <row r="163" spans="1:7" hidden="1" x14ac:dyDescent="0.25">
      <c r="A163">
        <v>161</v>
      </c>
      <c r="B163" t="s">
        <v>3804</v>
      </c>
      <c r="C163" t="s">
        <v>1211</v>
      </c>
      <c r="D163" t="s">
        <v>1210</v>
      </c>
      <c r="E163" t="s">
        <v>3805</v>
      </c>
      <c r="F163" s="14">
        <v>0</v>
      </c>
      <c r="G163">
        <v>94572.475575210294</v>
      </c>
    </row>
    <row r="164" spans="1:7" hidden="1" x14ac:dyDescent="0.25">
      <c r="A164">
        <v>162</v>
      </c>
      <c r="B164" t="s">
        <v>3806</v>
      </c>
      <c r="C164" t="s">
        <v>1034</v>
      </c>
      <c r="D164" t="s">
        <v>1033</v>
      </c>
      <c r="E164" t="s">
        <v>3580</v>
      </c>
      <c r="F164" s="14">
        <v>1</v>
      </c>
      <c r="G164">
        <v>9761548.4065653495</v>
      </c>
    </row>
    <row r="165" spans="1:7" x14ac:dyDescent="0.25">
      <c r="A165">
        <v>163</v>
      </c>
      <c r="B165" t="s">
        <v>3807</v>
      </c>
      <c r="C165" t="s">
        <v>1034</v>
      </c>
      <c r="D165" t="s">
        <v>1033</v>
      </c>
      <c r="E165" t="s">
        <v>3577</v>
      </c>
      <c r="F165" s="14">
        <v>0</v>
      </c>
      <c r="G165">
        <v>5070578.6507470198</v>
      </c>
    </row>
    <row r="166" spans="1:7" hidden="1" x14ac:dyDescent="0.25">
      <c r="A166">
        <v>164</v>
      </c>
      <c r="B166" t="s">
        <v>3808</v>
      </c>
      <c r="C166" t="s">
        <v>1126</v>
      </c>
      <c r="D166" t="s">
        <v>1125</v>
      </c>
      <c r="E166" t="s">
        <v>3625</v>
      </c>
      <c r="F166" s="14">
        <v>1</v>
      </c>
      <c r="G166">
        <v>54869825.867312603</v>
      </c>
    </row>
    <row r="167" spans="1:7" x14ac:dyDescent="0.25">
      <c r="A167">
        <v>165</v>
      </c>
      <c r="B167" t="s">
        <v>3809</v>
      </c>
      <c r="C167" t="s">
        <v>1126</v>
      </c>
      <c r="D167" t="s">
        <v>1125</v>
      </c>
      <c r="E167" t="s">
        <v>3623</v>
      </c>
      <c r="F167" s="14">
        <v>1</v>
      </c>
      <c r="G167">
        <v>30920365.7516862</v>
      </c>
    </row>
    <row r="168" spans="1:7" x14ac:dyDescent="0.25">
      <c r="A168">
        <v>166</v>
      </c>
      <c r="B168" t="s">
        <v>3810</v>
      </c>
      <c r="C168" t="s">
        <v>1251</v>
      </c>
      <c r="D168" t="s">
        <v>1259</v>
      </c>
      <c r="E168" t="s">
        <v>3575</v>
      </c>
      <c r="F168" s="14">
        <v>1</v>
      </c>
      <c r="G168">
        <v>4082284.7601130898</v>
      </c>
    </row>
    <row r="169" spans="1:7" hidden="1" x14ac:dyDescent="0.25">
      <c r="A169">
        <v>167</v>
      </c>
      <c r="B169" t="s">
        <v>3811</v>
      </c>
      <c r="C169" t="s">
        <v>1251</v>
      </c>
      <c r="D169" t="s">
        <v>1259</v>
      </c>
      <c r="E169" t="s">
        <v>3573</v>
      </c>
      <c r="F169" s="14">
        <v>1</v>
      </c>
      <c r="G169">
        <v>7574348.4298554603</v>
      </c>
    </row>
    <row r="170" spans="1:7" hidden="1" x14ac:dyDescent="0.25">
      <c r="A170">
        <v>168</v>
      </c>
      <c r="B170" t="s">
        <v>3812</v>
      </c>
      <c r="C170" t="s">
        <v>1096</v>
      </c>
      <c r="D170" t="s">
        <v>1095</v>
      </c>
      <c r="E170" t="s">
        <v>3813</v>
      </c>
      <c r="F170" s="14">
        <v>1</v>
      </c>
      <c r="G170">
        <v>500325.96892074298</v>
      </c>
    </row>
    <row r="171" spans="1:7" hidden="1" x14ac:dyDescent="0.25">
      <c r="A171">
        <v>169</v>
      </c>
      <c r="B171" t="s">
        <v>3814</v>
      </c>
      <c r="C171" t="s">
        <v>1096</v>
      </c>
      <c r="D171" t="s">
        <v>1095</v>
      </c>
      <c r="E171" t="s">
        <v>3567</v>
      </c>
      <c r="F171" s="14">
        <v>1</v>
      </c>
      <c r="G171">
        <v>41946748.904798999</v>
      </c>
    </row>
    <row r="172" spans="1:7" x14ac:dyDescent="0.25">
      <c r="A172">
        <v>170</v>
      </c>
      <c r="B172" t="s">
        <v>3815</v>
      </c>
      <c r="C172" t="s">
        <v>1096</v>
      </c>
      <c r="D172" t="s">
        <v>1095</v>
      </c>
      <c r="E172" t="s">
        <v>3565</v>
      </c>
      <c r="F172" s="14">
        <v>1</v>
      </c>
      <c r="G172">
        <v>20935278.942710601</v>
      </c>
    </row>
    <row r="173" spans="1:7" x14ac:dyDescent="0.25">
      <c r="A173">
        <v>171</v>
      </c>
      <c r="B173" t="s">
        <v>3816</v>
      </c>
      <c r="C173" t="s">
        <v>1096</v>
      </c>
      <c r="D173" t="s">
        <v>1095</v>
      </c>
      <c r="E173" t="s">
        <v>3817</v>
      </c>
      <c r="F173" s="14">
        <v>0</v>
      </c>
      <c r="G173">
        <v>258764.99275300399</v>
      </c>
    </row>
    <row r="174" spans="1:7" x14ac:dyDescent="0.25">
      <c r="A174">
        <v>172</v>
      </c>
      <c r="B174" t="s">
        <v>3818</v>
      </c>
      <c r="C174" t="s">
        <v>987</v>
      </c>
      <c r="D174" t="s">
        <v>986</v>
      </c>
      <c r="E174" t="s">
        <v>3691</v>
      </c>
      <c r="F174" s="14">
        <v>1</v>
      </c>
      <c r="G174">
        <v>9762460.5666900799</v>
      </c>
    </row>
    <row r="175" spans="1:7" hidden="1" x14ac:dyDescent="0.25">
      <c r="A175">
        <v>173</v>
      </c>
      <c r="B175" t="s">
        <v>3819</v>
      </c>
      <c r="C175" t="s">
        <v>987</v>
      </c>
      <c r="D175" t="s">
        <v>986</v>
      </c>
      <c r="E175" t="s">
        <v>3693</v>
      </c>
      <c r="F175" s="14">
        <v>1</v>
      </c>
      <c r="G175">
        <v>20409829.8604775</v>
      </c>
    </row>
    <row r="176" spans="1:7" hidden="1" x14ac:dyDescent="0.25">
      <c r="A176">
        <v>174</v>
      </c>
      <c r="B176" t="s">
        <v>3820</v>
      </c>
      <c r="C176" t="s">
        <v>1195</v>
      </c>
      <c r="D176" t="s">
        <v>1194</v>
      </c>
      <c r="E176" t="s">
        <v>3586</v>
      </c>
      <c r="F176" s="14">
        <v>1</v>
      </c>
      <c r="G176">
        <v>6548401.22089577</v>
      </c>
    </row>
    <row r="177" spans="1:7" x14ac:dyDescent="0.25">
      <c r="A177">
        <v>175</v>
      </c>
      <c r="B177" t="s">
        <v>3821</v>
      </c>
      <c r="C177" t="s">
        <v>1195</v>
      </c>
      <c r="D177" t="s">
        <v>1194</v>
      </c>
      <c r="E177" t="s">
        <v>3584</v>
      </c>
      <c r="F177" s="14">
        <v>1</v>
      </c>
      <c r="G177">
        <v>3231577.4860768099</v>
      </c>
    </row>
    <row r="178" spans="1:7" hidden="1" x14ac:dyDescent="0.25">
      <c r="A178">
        <v>176</v>
      </c>
      <c r="B178" t="s">
        <v>3822</v>
      </c>
      <c r="C178" t="s">
        <v>1023</v>
      </c>
      <c r="D178" t="s">
        <v>1022</v>
      </c>
      <c r="E178" t="s">
        <v>3785</v>
      </c>
      <c r="F178" s="14">
        <v>0</v>
      </c>
      <c r="G178">
        <v>16763128.782672601</v>
      </c>
    </row>
    <row r="179" spans="1:7" x14ac:dyDescent="0.25">
      <c r="A179">
        <v>177</v>
      </c>
      <c r="B179" t="s">
        <v>3823</v>
      </c>
      <c r="C179" t="s">
        <v>1023</v>
      </c>
      <c r="D179" t="s">
        <v>1022</v>
      </c>
      <c r="E179" t="s">
        <v>3787</v>
      </c>
      <c r="F179" s="14">
        <v>0</v>
      </c>
      <c r="G179">
        <v>7678449.1977655496</v>
      </c>
    </row>
    <row r="180" spans="1:7" hidden="1" x14ac:dyDescent="0.25">
      <c r="A180">
        <v>178</v>
      </c>
      <c r="B180" t="s">
        <v>3824</v>
      </c>
      <c r="C180" t="s">
        <v>1023</v>
      </c>
      <c r="D180" t="s">
        <v>1022</v>
      </c>
      <c r="E180" t="s">
        <v>3825</v>
      </c>
      <c r="F180" s="14">
        <v>1</v>
      </c>
      <c r="G180">
        <v>112184015.699424</v>
      </c>
    </row>
    <row r="181" spans="1:7" x14ac:dyDescent="0.25">
      <c r="A181">
        <v>179</v>
      </c>
      <c r="B181" t="s">
        <v>3826</v>
      </c>
      <c r="C181" t="s">
        <v>1023</v>
      </c>
      <c r="D181" t="s">
        <v>1022</v>
      </c>
      <c r="E181" t="s">
        <v>3827</v>
      </c>
      <c r="F181" s="14">
        <v>1</v>
      </c>
      <c r="G181">
        <v>51386544.631200202</v>
      </c>
    </row>
    <row r="182" spans="1:7" x14ac:dyDescent="0.25">
      <c r="A182">
        <v>180</v>
      </c>
      <c r="B182" t="s">
        <v>3828</v>
      </c>
      <c r="C182" t="s">
        <v>1223</v>
      </c>
      <c r="D182" t="s">
        <v>1244</v>
      </c>
      <c r="E182" t="s">
        <v>3651</v>
      </c>
      <c r="F182" s="14">
        <v>1</v>
      </c>
      <c r="G182">
        <v>1124164.3827438799</v>
      </c>
    </row>
    <row r="183" spans="1:7" hidden="1" x14ac:dyDescent="0.25">
      <c r="A183">
        <v>181</v>
      </c>
      <c r="B183" t="s">
        <v>3829</v>
      </c>
      <c r="C183" t="s">
        <v>1223</v>
      </c>
      <c r="D183" t="s">
        <v>1244</v>
      </c>
      <c r="E183" t="s">
        <v>3649</v>
      </c>
      <c r="F183" s="14">
        <v>1</v>
      </c>
      <c r="G183">
        <v>1840438.6069328701</v>
      </c>
    </row>
    <row r="184" spans="1:7" hidden="1" x14ac:dyDescent="0.25">
      <c r="A184">
        <v>182</v>
      </c>
      <c r="B184" t="s">
        <v>3830</v>
      </c>
      <c r="C184" t="s">
        <v>1134</v>
      </c>
      <c r="D184" t="s">
        <v>1133</v>
      </c>
      <c r="E184" t="s">
        <v>3559</v>
      </c>
      <c r="F184" s="14">
        <v>1</v>
      </c>
      <c r="G184">
        <v>991294.17627840699</v>
      </c>
    </row>
    <row r="185" spans="1:7" x14ac:dyDescent="0.25">
      <c r="A185">
        <v>183</v>
      </c>
      <c r="B185" t="s">
        <v>3831</v>
      </c>
      <c r="C185" t="s">
        <v>1134</v>
      </c>
      <c r="D185" t="s">
        <v>1133</v>
      </c>
      <c r="E185" t="s">
        <v>3561</v>
      </c>
      <c r="F185" s="14">
        <v>1</v>
      </c>
      <c r="G185">
        <v>393287.65711758402</v>
      </c>
    </row>
    <row r="186" spans="1:7" x14ac:dyDescent="0.25">
      <c r="A186">
        <v>184</v>
      </c>
      <c r="B186" t="s">
        <v>3832</v>
      </c>
      <c r="C186" t="s">
        <v>1217</v>
      </c>
      <c r="D186" t="s">
        <v>1241</v>
      </c>
      <c r="E186" t="s">
        <v>3651</v>
      </c>
      <c r="F186" s="14">
        <v>1</v>
      </c>
      <c r="G186">
        <v>1044720.05755823</v>
      </c>
    </row>
    <row r="187" spans="1:7" hidden="1" x14ac:dyDescent="0.25">
      <c r="A187">
        <v>185</v>
      </c>
      <c r="B187" t="s">
        <v>3833</v>
      </c>
      <c r="C187" t="s">
        <v>1217</v>
      </c>
      <c r="D187" t="s">
        <v>1241</v>
      </c>
      <c r="E187" t="s">
        <v>3649</v>
      </c>
      <c r="F187" s="14">
        <v>1</v>
      </c>
      <c r="G187">
        <v>1952300.7254200999</v>
      </c>
    </row>
    <row r="188" spans="1:7" x14ac:dyDescent="0.25">
      <c r="A188">
        <v>186</v>
      </c>
      <c r="B188" t="s">
        <v>3834</v>
      </c>
      <c r="C188" t="s">
        <v>1077</v>
      </c>
      <c r="D188" t="s">
        <v>1127</v>
      </c>
      <c r="E188" t="s">
        <v>3623</v>
      </c>
      <c r="F188" s="14">
        <v>1</v>
      </c>
      <c r="G188">
        <v>10563117.252708299</v>
      </c>
    </row>
    <row r="189" spans="1:7" hidden="1" x14ac:dyDescent="0.25">
      <c r="A189">
        <v>187</v>
      </c>
      <c r="B189" t="s">
        <v>3835</v>
      </c>
      <c r="C189" t="s">
        <v>1077</v>
      </c>
      <c r="D189" t="s">
        <v>1127</v>
      </c>
      <c r="E189" t="s">
        <v>3625</v>
      </c>
      <c r="F189" s="14">
        <v>1</v>
      </c>
      <c r="G189">
        <v>26911154.300235</v>
      </c>
    </row>
    <row r="190" spans="1:7" hidden="1" x14ac:dyDescent="0.25">
      <c r="A190">
        <v>188</v>
      </c>
      <c r="B190" t="s">
        <v>3836</v>
      </c>
      <c r="C190" t="s">
        <v>1098</v>
      </c>
      <c r="D190" t="s">
        <v>1097</v>
      </c>
      <c r="E190" t="s">
        <v>3567</v>
      </c>
      <c r="F190" s="14">
        <v>1</v>
      </c>
      <c r="G190">
        <v>9161976.8697183598</v>
      </c>
    </row>
    <row r="191" spans="1:7" x14ac:dyDescent="0.25">
      <c r="A191">
        <v>189</v>
      </c>
      <c r="B191" t="s">
        <v>3837</v>
      </c>
      <c r="C191" t="s">
        <v>1098</v>
      </c>
      <c r="D191" t="s">
        <v>1097</v>
      </c>
      <c r="E191" t="s">
        <v>3569</v>
      </c>
      <c r="F191" s="14">
        <v>1</v>
      </c>
      <c r="G191">
        <v>104767.448181517</v>
      </c>
    </row>
    <row r="192" spans="1:7" x14ac:dyDescent="0.25">
      <c r="A192">
        <v>190</v>
      </c>
      <c r="B192" t="s">
        <v>3838</v>
      </c>
      <c r="C192" t="s">
        <v>1098</v>
      </c>
      <c r="D192" t="s">
        <v>1097</v>
      </c>
      <c r="E192" t="s">
        <v>3565</v>
      </c>
      <c r="F192" s="14">
        <v>1</v>
      </c>
      <c r="G192">
        <v>5133604.96089435</v>
      </c>
    </row>
    <row r="193" spans="1:7" hidden="1" x14ac:dyDescent="0.25">
      <c r="A193">
        <v>191</v>
      </c>
      <c r="B193" t="s">
        <v>3839</v>
      </c>
      <c r="C193" t="s">
        <v>1098</v>
      </c>
      <c r="D193" t="s">
        <v>1097</v>
      </c>
      <c r="E193" t="s">
        <v>3571</v>
      </c>
      <c r="F193" s="14">
        <v>1</v>
      </c>
      <c r="G193">
        <v>186979.11979016999</v>
      </c>
    </row>
    <row r="194" spans="1:7" x14ac:dyDescent="0.25">
      <c r="A194">
        <v>192</v>
      </c>
      <c r="B194" t="s">
        <v>3840</v>
      </c>
      <c r="C194" t="s">
        <v>969</v>
      </c>
      <c r="D194" t="s">
        <v>968</v>
      </c>
      <c r="E194" t="s">
        <v>3679</v>
      </c>
      <c r="F194" s="14">
        <v>1</v>
      </c>
      <c r="G194">
        <v>12501.071587332201</v>
      </c>
    </row>
    <row r="195" spans="1:7" hidden="1" x14ac:dyDescent="0.25">
      <c r="A195">
        <v>193</v>
      </c>
      <c r="B195" t="s">
        <v>3841</v>
      </c>
      <c r="C195" t="s">
        <v>969</v>
      </c>
      <c r="D195" t="s">
        <v>968</v>
      </c>
      <c r="E195" t="s">
        <v>3681</v>
      </c>
      <c r="F195" s="14">
        <v>1</v>
      </c>
      <c r="G195">
        <v>34169.272674321801</v>
      </c>
    </row>
    <row r="196" spans="1:7" x14ac:dyDescent="0.25">
      <c r="A196">
        <v>194</v>
      </c>
      <c r="B196" t="s">
        <v>3842</v>
      </c>
      <c r="C196" t="s">
        <v>1134</v>
      </c>
      <c r="D196" t="s">
        <v>1147</v>
      </c>
      <c r="E196" t="s">
        <v>3561</v>
      </c>
      <c r="F196" s="14">
        <v>1</v>
      </c>
      <c r="G196">
        <v>1747882.23432194</v>
      </c>
    </row>
    <row r="197" spans="1:7" hidden="1" x14ac:dyDescent="0.25">
      <c r="A197">
        <v>195</v>
      </c>
      <c r="B197" t="s">
        <v>3843</v>
      </c>
      <c r="C197" t="s">
        <v>1134</v>
      </c>
      <c r="D197" t="s">
        <v>1147</v>
      </c>
      <c r="E197" t="s">
        <v>3559</v>
      </c>
      <c r="F197" s="14">
        <v>1</v>
      </c>
      <c r="G197">
        <v>3215040.0802449002</v>
      </c>
    </row>
    <row r="198" spans="1:7" x14ac:dyDescent="0.25">
      <c r="A198">
        <v>196</v>
      </c>
      <c r="B198" t="s">
        <v>3844</v>
      </c>
      <c r="C198" t="s">
        <v>1045</v>
      </c>
      <c r="D198" t="s">
        <v>1044</v>
      </c>
      <c r="E198" t="s">
        <v>3721</v>
      </c>
      <c r="F198" s="14">
        <v>1</v>
      </c>
      <c r="G198">
        <v>893389.87641024299</v>
      </c>
    </row>
    <row r="199" spans="1:7" hidden="1" x14ac:dyDescent="0.25">
      <c r="A199">
        <v>197</v>
      </c>
      <c r="B199" t="s">
        <v>3845</v>
      </c>
      <c r="C199" t="s">
        <v>1045</v>
      </c>
      <c r="D199" t="s">
        <v>1044</v>
      </c>
      <c r="E199" t="s">
        <v>3723</v>
      </c>
      <c r="F199" s="14">
        <v>1</v>
      </c>
      <c r="G199">
        <v>1600375.5182918201</v>
      </c>
    </row>
    <row r="200" spans="1:7" hidden="1" x14ac:dyDescent="0.25">
      <c r="A200">
        <v>198</v>
      </c>
      <c r="B200" t="s">
        <v>3846</v>
      </c>
      <c r="C200" t="s">
        <v>1243</v>
      </c>
      <c r="D200" t="s">
        <v>1242</v>
      </c>
      <c r="E200" t="s">
        <v>3847</v>
      </c>
      <c r="F200" s="14">
        <v>1</v>
      </c>
      <c r="G200">
        <v>1439999.7989069901</v>
      </c>
    </row>
    <row r="201" spans="1:7" x14ac:dyDescent="0.25">
      <c r="A201">
        <v>199</v>
      </c>
      <c r="B201" t="s">
        <v>3848</v>
      </c>
      <c r="C201" t="s">
        <v>1243</v>
      </c>
      <c r="D201" t="s">
        <v>1242</v>
      </c>
      <c r="E201" t="s">
        <v>3849</v>
      </c>
      <c r="F201" s="14">
        <v>1</v>
      </c>
      <c r="G201">
        <v>551241.44625959895</v>
      </c>
    </row>
    <row r="202" spans="1:7" x14ac:dyDescent="0.25">
      <c r="A202">
        <v>200</v>
      </c>
      <c r="B202" t="s">
        <v>3850</v>
      </c>
      <c r="C202" t="s">
        <v>1280</v>
      </c>
      <c r="D202" t="s">
        <v>1279</v>
      </c>
      <c r="E202" t="s">
        <v>3851</v>
      </c>
      <c r="F202" s="14">
        <v>1</v>
      </c>
      <c r="G202">
        <v>3320895.5372693301</v>
      </c>
    </row>
    <row r="203" spans="1:7" x14ac:dyDescent="0.25">
      <c r="A203">
        <v>201</v>
      </c>
      <c r="B203" t="s">
        <v>3852</v>
      </c>
      <c r="C203" t="s">
        <v>1280</v>
      </c>
      <c r="D203" t="s">
        <v>1279</v>
      </c>
      <c r="E203" t="s">
        <v>3853</v>
      </c>
      <c r="F203" s="14">
        <v>1</v>
      </c>
      <c r="G203">
        <v>1423240.9445440001</v>
      </c>
    </row>
    <row r="204" spans="1:7" hidden="1" x14ac:dyDescent="0.25">
      <c r="A204">
        <v>202</v>
      </c>
      <c r="B204" t="s">
        <v>3854</v>
      </c>
      <c r="C204" t="s">
        <v>1280</v>
      </c>
      <c r="D204" t="s">
        <v>1279</v>
      </c>
      <c r="E204" t="s">
        <v>3855</v>
      </c>
      <c r="F204" s="14">
        <v>1</v>
      </c>
      <c r="G204">
        <v>7109225.66846353</v>
      </c>
    </row>
    <row r="205" spans="1:7" hidden="1" x14ac:dyDescent="0.25">
      <c r="A205">
        <v>203</v>
      </c>
      <c r="B205" t="s">
        <v>3856</v>
      </c>
      <c r="C205" t="s">
        <v>1280</v>
      </c>
      <c r="D205" t="s">
        <v>1279</v>
      </c>
      <c r="E205" t="s">
        <v>3857</v>
      </c>
      <c r="F205" s="14">
        <v>1</v>
      </c>
      <c r="G205">
        <v>3046811.0007700799</v>
      </c>
    </row>
    <row r="206" spans="1:7" hidden="1" x14ac:dyDescent="0.25">
      <c r="A206">
        <v>204</v>
      </c>
      <c r="B206" t="s">
        <v>3858</v>
      </c>
      <c r="C206" t="s">
        <v>1062</v>
      </c>
      <c r="D206" t="s">
        <v>1073</v>
      </c>
      <c r="E206" t="s">
        <v>3723</v>
      </c>
      <c r="F206" s="14">
        <v>1</v>
      </c>
      <c r="G206">
        <v>2078225.89262989</v>
      </c>
    </row>
    <row r="207" spans="1:7" x14ac:dyDescent="0.25">
      <c r="A207">
        <v>205</v>
      </c>
      <c r="B207" t="s">
        <v>3859</v>
      </c>
      <c r="C207" t="s">
        <v>1062</v>
      </c>
      <c r="D207" t="s">
        <v>1073</v>
      </c>
      <c r="E207" t="s">
        <v>3721</v>
      </c>
      <c r="F207" s="14">
        <v>1</v>
      </c>
      <c r="G207">
        <v>955147.43346556602</v>
      </c>
    </row>
    <row r="208" spans="1:7" hidden="1" x14ac:dyDescent="0.25">
      <c r="A208">
        <v>206</v>
      </c>
      <c r="B208" t="s">
        <v>3860</v>
      </c>
      <c r="C208" t="s">
        <v>951</v>
      </c>
      <c r="D208" t="s">
        <v>950</v>
      </c>
      <c r="E208" t="s">
        <v>3621</v>
      </c>
      <c r="F208" s="14">
        <v>1</v>
      </c>
      <c r="G208">
        <v>17335179.916804001</v>
      </c>
    </row>
    <row r="209" spans="1:7" x14ac:dyDescent="0.25">
      <c r="A209">
        <v>207</v>
      </c>
      <c r="B209" t="s">
        <v>3861</v>
      </c>
      <c r="C209" t="s">
        <v>951</v>
      </c>
      <c r="D209" t="s">
        <v>950</v>
      </c>
      <c r="E209" t="s">
        <v>3619</v>
      </c>
      <c r="F209" s="14">
        <v>0</v>
      </c>
      <c r="G209">
        <v>9029751.1803124696</v>
      </c>
    </row>
    <row r="210" spans="1:7" hidden="1" x14ac:dyDescent="0.25">
      <c r="A210">
        <v>208</v>
      </c>
      <c r="B210" t="s">
        <v>3862</v>
      </c>
      <c r="C210" t="s">
        <v>1014</v>
      </c>
      <c r="D210" t="s">
        <v>1013</v>
      </c>
      <c r="E210" t="s">
        <v>3825</v>
      </c>
      <c r="F210" s="14">
        <v>1</v>
      </c>
      <c r="G210">
        <v>1107623.15891219</v>
      </c>
    </row>
    <row r="211" spans="1:7" x14ac:dyDescent="0.25">
      <c r="A211">
        <v>209</v>
      </c>
      <c r="B211" t="s">
        <v>3863</v>
      </c>
      <c r="C211" t="s">
        <v>1014</v>
      </c>
      <c r="D211" t="s">
        <v>1013</v>
      </c>
      <c r="E211" t="s">
        <v>3827</v>
      </c>
      <c r="F211" s="14">
        <v>1</v>
      </c>
      <c r="G211">
        <v>526113.00139283796</v>
      </c>
    </row>
    <row r="212" spans="1:7" hidden="1" x14ac:dyDescent="0.25">
      <c r="A212">
        <v>210</v>
      </c>
      <c r="B212" t="s">
        <v>3864</v>
      </c>
      <c r="C212" t="s">
        <v>1010</v>
      </c>
      <c r="D212" t="s">
        <v>1009</v>
      </c>
      <c r="E212" t="s">
        <v>3609</v>
      </c>
      <c r="F212" s="14">
        <v>1</v>
      </c>
      <c r="G212">
        <v>12105886.8435876</v>
      </c>
    </row>
    <row r="213" spans="1:7" x14ac:dyDescent="0.25">
      <c r="A213">
        <v>211</v>
      </c>
      <c r="B213" t="s">
        <v>3865</v>
      </c>
      <c r="C213" t="s">
        <v>1010</v>
      </c>
      <c r="D213" t="s">
        <v>1009</v>
      </c>
      <c r="E213" t="s">
        <v>3607</v>
      </c>
      <c r="F213" s="14">
        <v>1</v>
      </c>
      <c r="G213">
        <v>4742911.4544495698</v>
      </c>
    </row>
    <row r="214" spans="1:7" x14ac:dyDescent="0.25">
      <c r="A214">
        <v>212</v>
      </c>
      <c r="B214" t="s">
        <v>3866</v>
      </c>
      <c r="C214" t="s">
        <v>1146</v>
      </c>
      <c r="D214" t="s">
        <v>1145</v>
      </c>
      <c r="E214" t="s">
        <v>3557</v>
      </c>
      <c r="F214" s="14">
        <v>1</v>
      </c>
      <c r="G214">
        <v>178846.35713199899</v>
      </c>
    </row>
    <row r="215" spans="1:7" hidden="1" x14ac:dyDescent="0.25">
      <c r="A215">
        <v>213</v>
      </c>
      <c r="B215" t="s">
        <v>3867</v>
      </c>
      <c r="C215" t="s">
        <v>1146</v>
      </c>
      <c r="D215" t="s">
        <v>1145</v>
      </c>
      <c r="E215" t="s">
        <v>3555</v>
      </c>
      <c r="F215" s="14">
        <v>1</v>
      </c>
      <c r="G215">
        <v>415335.83570275398</v>
      </c>
    </row>
    <row r="216" spans="1:7" x14ac:dyDescent="0.25">
      <c r="A216">
        <v>214</v>
      </c>
      <c r="B216" t="s">
        <v>3868</v>
      </c>
      <c r="C216" t="s">
        <v>964</v>
      </c>
      <c r="D216" t="s">
        <v>992</v>
      </c>
      <c r="E216" t="s">
        <v>3619</v>
      </c>
      <c r="F216" s="14">
        <v>0</v>
      </c>
      <c r="G216">
        <v>8514534.0249174908</v>
      </c>
    </row>
    <row r="217" spans="1:7" hidden="1" x14ac:dyDescent="0.25">
      <c r="A217">
        <v>215</v>
      </c>
      <c r="B217" t="s">
        <v>3869</v>
      </c>
      <c r="C217" t="s">
        <v>964</v>
      </c>
      <c r="D217" t="s">
        <v>992</v>
      </c>
      <c r="E217" t="s">
        <v>3621</v>
      </c>
      <c r="F217" s="14">
        <v>1</v>
      </c>
      <c r="G217">
        <v>20927362.858742401</v>
      </c>
    </row>
    <row r="218" spans="1:7" x14ac:dyDescent="0.25">
      <c r="A218">
        <v>216</v>
      </c>
      <c r="B218" t="s">
        <v>3870</v>
      </c>
      <c r="C218" t="s">
        <v>1114</v>
      </c>
      <c r="D218" t="s">
        <v>1113</v>
      </c>
      <c r="E218" t="s">
        <v>3781</v>
      </c>
      <c r="F218" s="14">
        <v>0</v>
      </c>
      <c r="G218">
        <v>194154.69881959699</v>
      </c>
    </row>
    <row r="219" spans="1:7" hidden="1" x14ac:dyDescent="0.25">
      <c r="A219">
        <v>217</v>
      </c>
      <c r="B219" t="s">
        <v>3871</v>
      </c>
      <c r="C219" t="s">
        <v>1114</v>
      </c>
      <c r="D219" t="s">
        <v>1113</v>
      </c>
      <c r="E219" t="s">
        <v>3783</v>
      </c>
      <c r="F219" s="14">
        <v>1</v>
      </c>
      <c r="G219">
        <v>473136.392801359</v>
      </c>
    </row>
    <row r="220" spans="1:7" x14ac:dyDescent="0.25">
      <c r="A220">
        <v>218</v>
      </c>
      <c r="B220" t="s">
        <v>3872</v>
      </c>
      <c r="C220" t="s">
        <v>1238</v>
      </c>
      <c r="D220" t="s">
        <v>1237</v>
      </c>
      <c r="E220" t="s">
        <v>3873</v>
      </c>
      <c r="F220" s="14">
        <v>1</v>
      </c>
      <c r="G220">
        <v>294308285.72090602</v>
      </c>
    </row>
    <row r="221" spans="1:7" hidden="1" x14ac:dyDescent="0.25">
      <c r="A221">
        <v>219</v>
      </c>
      <c r="B221" t="s">
        <v>3874</v>
      </c>
      <c r="C221" t="s">
        <v>1238</v>
      </c>
      <c r="D221" t="s">
        <v>1237</v>
      </c>
      <c r="E221" t="s">
        <v>3875</v>
      </c>
      <c r="F221" s="14">
        <v>1</v>
      </c>
      <c r="G221">
        <v>570088358.90512395</v>
      </c>
    </row>
    <row r="222" spans="1:7" hidden="1" x14ac:dyDescent="0.25">
      <c r="A222">
        <v>220</v>
      </c>
      <c r="B222" t="s">
        <v>3876</v>
      </c>
      <c r="C222" t="s">
        <v>1144</v>
      </c>
      <c r="D222" t="s">
        <v>1196</v>
      </c>
      <c r="E222" t="s">
        <v>3673</v>
      </c>
      <c r="F222" s="14">
        <v>1</v>
      </c>
      <c r="G222">
        <v>227915.24376616901</v>
      </c>
    </row>
    <row r="223" spans="1:7" x14ac:dyDescent="0.25">
      <c r="A223">
        <v>221</v>
      </c>
      <c r="B223" t="s">
        <v>3877</v>
      </c>
      <c r="C223" t="s">
        <v>1144</v>
      </c>
      <c r="D223" t="s">
        <v>1196</v>
      </c>
      <c r="E223" t="s">
        <v>3675</v>
      </c>
      <c r="F223" s="14">
        <v>1</v>
      </c>
      <c r="G223">
        <v>137071.25939842299</v>
      </c>
    </row>
    <row r="224" spans="1:7" hidden="1" x14ac:dyDescent="0.25">
      <c r="A224">
        <v>222</v>
      </c>
      <c r="B224" t="s">
        <v>3878</v>
      </c>
      <c r="C224" t="s">
        <v>1228</v>
      </c>
      <c r="D224" t="s">
        <v>1227</v>
      </c>
      <c r="E224" t="s">
        <v>3879</v>
      </c>
      <c r="F224" s="14">
        <v>0</v>
      </c>
      <c r="G224">
        <v>224689.383553408</v>
      </c>
    </row>
    <row r="225" spans="1:7" x14ac:dyDescent="0.25">
      <c r="A225">
        <v>223</v>
      </c>
      <c r="B225" t="s">
        <v>3880</v>
      </c>
      <c r="C225" t="s">
        <v>1228</v>
      </c>
      <c r="D225" t="s">
        <v>1227</v>
      </c>
      <c r="E225" t="s">
        <v>3881</v>
      </c>
      <c r="F225" s="14">
        <v>0</v>
      </c>
      <c r="G225">
        <v>106987.80505018101</v>
      </c>
    </row>
    <row r="226" spans="1:7" x14ac:dyDescent="0.25">
      <c r="A226">
        <v>224</v>
      </c>
      <c r="B226" t="s">
        <v>3882</v>
      </c>
      <c r="C226" t="s">
        <v>1010</v>
      </c>
      <c r="D226" t="s">
        <v>1015</v>
      </c>
      <c r="E226" t="s">
        <v>3607</v>
      </c>
      <c r="F226" s="14">
        <v>1</v>
      </c>
      <c r="G226">
        <v>6939270.4049108699</v>
      </c>
    </row>
    <row r="227" spans="1:7" hidden="1" x14ac:dyDescent="0.25">
      <c r="A227">
        <v>225</v>
      </c>
      <c r="B227" t="s">
        <v>3883</v>
      </c>
      <c r="C227" t="s">
        <v>1010</v>
      </c>
      <c r="D227" t="s">
        <v>1015</v>
      </c>
      <c r="E227" t="s">
        <v>3609</v>
      </c>
      <c r="F227" s="14">
        <v>1</v>
      </c>
      <c r="G227">
        <v>12086412.7818169</v>
      </c>
    </row>
    <row r="228" spans="1:7" x14ac:dyDescent="0.25">
      <c r="A228">
        <v>226</v>
      </c>
      <c r="B228" t="s">
        <v>3884</v>
      </c>
      <c r="C228" t="s">
        <v>1134</v>
      </c>
      <c r="D228" t="s">
        <v>1154</v>
      </c>
      <c r="E228" t="s">
        <v>3561</v>
      </c>
      <c r="F228" s="14">
        <v>1</v>
      </c>
      <c r="G228">
        <v>3801942.1543953498</v>
      </c>
    </row>
    <row r="229" spans="1:7" hidden="1" x14ac:dyDescent="0.25">
      <c r="A229">
        <v>227</v>
      </c>
      <c r="B229" t="s">
        <v>3885</v>
      </c>
      <c r="C229" t="s">
        <v>1134</v>
      </c>
      <c r="D229" t="s">
        <v>1154</v>
      </c>
      <c r="E229" t="s">
        <v>3559</v>
      </c>
      <c r="F229" s="14">
        <v>1</v>
      </c>
      <c r="G229">
        <v>9806205.9980011508</v>
      </c>
    </row>
    <row r="230" spans="1:7" x14ac:dyDescent="0.25">
      <c r="A230">
        <v>228</v>
      </c>
      <c r="B230" t="s">
        <v>3886</v>
      </c>
      <c r="C230" t="s">
        <v>1251</v>
      </c>
      <c r="D230" t="s">
        <v>1263</v>
      </c>
      <c r="E230" t="s">
        <v>3575</v>
      </c>
      <c r="F230" s="14">
        <v>1</v>
      </c>
      <c r="G230">
        <v>2918811.1523539298</v>
      </c>
    </row>
    <row r="231" spans="1:7" hidden="1" x14ac:dyDescent="0.25">
      <c r="A231">
        <v>229</v>
      </c>
      <c r="B231" t="s">
        <v>3887</v>
      </c>
      <c r="C231" t="s">
        <v>1251</v>
      </c>
      <c r="D231" t="s">
        <v>1263</v>
      </c>
      <c r="E231" t="s">
        <v>3573</v>
      </c>
      <c r="F231" s="14">
        <v>1</v>
      </c>
      <c r="G231">
        <v>5403673.7102680597</v>
      </c>
    </row>
    <row r="232" spans="1:7" hidden="1" x14ac:dyDescent="0.25">
      <c r="A232">
        <v>230</v>
      </c>
      <c r="B232" t="s">
        <v>3888</v>
      </c>
      <c r="C232" t="s">
        <v>1223</v>
      </c>
      <c r="D232" t="s">
        <v>1226</v>
      </c>
      <c r="E232" t="s">
        <v>3649</v>
      </c>
      <c r="F232" s="14">
        <v>1</v>
      </c>
      <c r="G232">
        <v>6257404.8578576101</v>
      </c>
    </row>
    <row r="233" spans="1:7" x14ac:dyDescent="0.25">
      <c r="A233">
        <v>231</v>
      </c>
      <c r="B233" t="s">
        <v>3889</v>
      </c>
      <c r="C233" t="s">
        <v>1223</v>
      </c>
      <c r="D233" t="s">
        <v>1226</v>
      </c>
      <c r="E233" t="s">
        <v>3651</v>
      </c>
      <c r="F233" s="14">
        <v>1</v>
      </c>
      <c r="G233">
        <v>3338086.7047878602</v>
      </c>
    </row>
    <row r="234" spans="1:7" x14ac:dyDescent="0.25">
      <c r="A234">
        <v>232</v>
      </c>
      <c r="B234" t="s">
        <v>3890</v>
      </c>
      <c r="C234" t="s">
        <v>1012</v>
      </c>
      <c r="D234" t="s">
        <v>1011</v>
      </c>
      <c r="E234" t="s">
        <v>3787</v>
      </c>
      <c r="F234" s="14">
        <v>0</v>
      </c>
      <c r="G234">
        <v>570291.326413795</v>
      </c>
    </row>
    <row r="235" spans="1:7" hidden="1" x14ac:dyDescent="0.25">
      <c r="A235">
        <v>233</v>
      </c>
      <c r="B235" t="s">
        <v>3891</v>
      </c>
      <c r="C235" t="s">
        <v>1012</v>
      </c>
      <c r="D235" t="s">
        <v>1011</v>
      </c>
      <c r="E235" t="s">
        <v>3785</v>
      </c>
      <c r="F235" s="14">
        <v>0</v>
      </c>
      <c r="G235">
        <v>1114582.2326652701</v>
      </c>
    </row>
    <row r="236" spans="1:7" x14ac:dyDescent="0.25">
      <c r="A236">
        <v>234</v>
      </c>
      <c r="B236" t="s">
        <v>3892</v>
      </c>
      <c r="C236" t="s">
        <v>1258</v>
      </c>
      <c r="D236" t="s">
        <v>1257</v>
      </c>
      <c r="E236" t="s">
        <v>3853</v>
      </c>
      <c r="F236" s="14">
        <v>1</v>
      </c>
      <c r="G236">
        <v>1148498.53523015</v>
      </c>
    </row>
    <row r="237" spans="1:7" hidden="1" x14ac:dyDescent="0.25">
      <c r="A237">
        <v>235</v>
      </c>
      <c r="B237" t="s">
        <v>3893</v>
      </c>
      <c r="C237" t="s">
        <v>1258</v>
      </c>
      <c r="D237" t="s">
        <v>1257</v>
      </c>
      <c r="E237" t="s">
        <v>3857</v>
      </c>
      <c r="F237" s="14">
        <v>1</v>
      </c>
      <c r="G237">
        <v>2476717.93128866</v>
      </c>
    </row>
    <row r="238" spans="1:7" x14ac:dyDescent="0.25">
      <c r="A238">
        <v>236</v>
      </c>
      <c r="B238" t="s">
        <v>3894</v>
      </c>
      <c r="C238" t="s">
        <v>1146</v>
      </c>
      <c r="D238" t="s">
        <v>1193</v>
      </c>
      <c r="E238" t="s">
        <v>3557</v>
      </c>
      <c r="F238" s="14">
        <v>1</v>
      </c>
      <c r="G238">
        <v>999788.575914482</v>
      </c>
    </row>
    <row r="239" spans="1:7" hidden="1" x14ac:dyDescent="0.25">
      <c r="A239">
        <v>237</v>
      </c>
      <c r="B239" t="s">
        <v>3895</v>
      </c>
      <c r="C239" t="s">
        <v>1146</v>
      </c>
      <c r="D239" t="s">
        <v>1193</v>
      </c>
      <c r="E239" t="s">
        <v>3555</v>
      </c>
      <c r="F239" s="14">
        <v>1</v>
      </c>
      <c r="G239">
        <v>1744538.0708870599</v>
      </c>
    </row>
    <row r="240" spans="1:7" hidden="1" x14ac:dyDescent="0.25">
      <c r="A240">
        <v>238</v>
      </c>
      <c r="B240" t="s">
        <v>3896</v>
      </c>
      <c r="C240" t="s">
        <v>953</v>
      </c>
      <c r="D240" t="s">
        <v>952</v>
      </c>
      <c r="E240" t="s">
        <v>3681</v>
      </c>
      <c r="F240" s="14">
        <v>1</v>
      </c>
      <c r="G240">
        <v>4716326.4082771102</v>
      </c>
    </row>
    <row r="241" spans="1:7" x14ac:dyDescent="0.25">
      <c r="A241">
        <v>239</v>
      </c>
      <c r="B241" t="s">
        <v>3897</v>
      </c>
      <c r="C241" t="s">
        <v>953</v>
      </c>
      <c r="D241" t="s">
        <v>952</v>
      </c>
      <c r="E241" t="s">
        <v>3679</v>
      </c>
      <c r="F241" s="14">
        <v>1</v>
      </c>
      <c r="G241">
        <v>2668396.8003929602</v>
      </c>
    </row>
    <row r="242" spans="1:7" x14ac:dyDescent="0.25">
      <c r="A242">
        <v>240</v>
      </c>
      <c r="B242" t="s">
        <v>3898</v>
      </c>
      <c r="C242" t="s">
        <v>976</v>
      </c>
      <c r="D242" t="s">
        <v>975</v>
      </c>
      <c r="E242" t="s">
        <v>3899</v>
      </c>
      <c r="F242" s="14">
        <v>1</v>
      </c>
      <c r="G242">
        <v>202390385.48415399</v>
      </c>
    </row>
    <row r="243" spans="1:7" hidden="1" x14ac:dyDescent="0.25">
      <c r="A243">
        <v>241</v>
      </c>
      <c r="B243" t="s">
        <v>3900</v>
      </c>
      <c r="C243" t="s">
        <v>976</v>
      </c>
      <c r="D243" t="s">
        <v>975</v>
      </c>
      <c r="E243" t="s">
        <v>3901</v>
      </c>
      <c r="F243" s="14">
        <v>0</v>
      </c>
      <c r="G243">
        <v>3403.13633953299</v>
      </c>
    </row>
    <row r="244" spans="1:7" hidden="1" x14ac:dyDescent="0.25">
      <c r="A244">
        <v>242</v>
      </c>
      <c r="B244" t="s">
        <v>3902</v>
      </c>
      <c r="C244" t="s">
        <v>976</v>
      </c>
      <c r="D244" t="s">
        <v>975</v>
      </c>
      <c r="E244" t="s">
        <v>3903</v>
      </c>
      <c r="F244" s="14">
        <v>1</v>
      </c>
      <c r="G244">
        <v>404445104.58333999</v>
      </c>
    </row>
    <row r="245" spans="1:7" hidden="1" x14ac:dyDescent="0.25">
      <c r="A245">
        <v>243</v>
      </c>
      <c r="B245" t="s">
        <v>3904</v>
      </c>
      <c r="C245" t="s">
        <v>976</v>
      </c>
      <c r="D245" t="s">
        <v>975</v>
      </c>
      <c r="E245" t="s">
        <v>3905</v>
      </c>
      <c r="F245" s="14">
        <v>1</v>
      </c>
      <c r="G245">
        <v>13612.5453581319</v>
      </c>
    </row>
    <row r="246" spans="1:7" x14ac:dyDescent="0.25">
      <c r="A246">
        <v>244</v>
      </c>
      <c r="B246" t="s">
        <v>3906</v>
      </c>
      <c r="C246" t="s">
        <v>976</v>
      </c>
      <c r="D246" t="s">
        <v>975</v>
      </c>
      <c r="E246" t="s">
        <v>3647</v>
      </c>
      <c r="F246" s="14">
        <v>0</v>
      </c>
      <c r="G246">
        <v>50597596.371038601</v>
      </c>
    </row>
    <row r="247" spans="1:7" hidden="1" x14ac:dyDescent="0.25">
      <c r="A247">
        <v>245</v>
      </c>
      <c r="B247" t="s">
        <v>3907</v>
      </c>
      <c r="C247" t="s">
        <v>976</v>
      </c>
      <c r="D247" t="s">
        <v>975</v>
      </c>
      <c r="E247" t="s">
        <v>3645</v>
      </c>
      <c r="F247" s="14">
        <v>0</v>
      </c>
      <c r="G247">
        <v>101111276.145835</v>
      </c>
    </row>
    <row r="248" spans="1:7" x14ac:dyDescent="0.25">
      <c r="A248">
        <v>246</v>
      </c>
      <c r="B248" t="s">
        <v>3908</v>
      </c>
      <c r="C248" t="s">
        <v>976</v>
      </c>
      <c r="D248" t="s">
        <v>975</v>
      </c>
      <c r="E248" t="s">
        <v>3909</v>
      </c>
      <c r="F248" s="14">
        <v>1</v>
      </c>
      <c r="G248">
        <v>8952.6684491891301</v>
      </c>
    </row>
    <row r="249" spans="1:7" x14ac:dyDescent="0.25">
      <c r="A249">
        <v>247</v>
      </c>
      <c r="B249" t="s">
        <v>3910</v>
      </c>
      <c r="C249" t="s">
        <v>976</v>
      </c>
      <c r="D249" t="s">
        <v>975</v>
      </c>
      <c r="E249" t="s">
        <v>3911</v>
      </c>
      <c r="F249" s="14">
        <v>0</v>
      </c>
      <c r="G249">
        <v>2238.1671122972798</v>
      </c>
    </row>
    <row r="250" spans="1:7" x14ac:dyDescent="0.25">
      <c r="A250">
        <v>248</v>
      </c>
      <c r="B250" t="s">
        <v>3912</v>
      </c>
      <c r="C250" t="s">
        <v>1132</v>
      </c>
      <c r="D250" t="s">
        <v>1131</v>
      </c>
      <c r="E250" t="s">
        <v>3561</v>
      </c>
      <c r="F250" s="14">
        <v>1</v>
      </c>
      <c r="G250">
        <v>2565467.31767835</v>
      </c>
    </row>
    <row r="251" spans="1:7" hidden="1" x14ac:dyDescent="0.25">
      <c r="A251">
        <v>249</v>
      </c>
      <c r="B251" t="s">
        <v>3913</v>
      </c>
      <c r="C251" t="s">
        <v>1132</v>
      </c>
      <c r="D251" t="s">
        <v>1131</v>
      </c>
      <c r="E251" t="s">
        <v>3559</v>
      </c>
      <c r="F251" s="14">
        <v>1</v>
      </c>
      <c r="G251">
        <v>5446910.8562262198</v>
      </c>
    </row>
    <row r="252" spans="1:7" x14ac:dyDescent="0.25">
      <c r="A252">
        <v>250</v>
      </c>
      <c r="B252" t="s">
        <v>3914</v>
      </c>
      <c r="C252" t="s">
        <v>1236</v>
      </c>
      <c r="D252" t="s">
        <v>1235</v>
      </c>
      <c r="E252" t="s">
        <v>3915</v>
      </c>
      <c r="F252" s="14">
        <v>1</v>
      </c>
      <c r="G252">
        <v>7272556.9721404603</v>
      </c>
    </row>
    <row r="253" spans="1:7" hidden="1" x14ac:dyDescent="0.25">
      <c r="A253">
        <v>251</v>
      </c>
      <c r="B253" t="s">
        <v>3916</v>
      </c>
      <c r="C253" t="s">
        <v>1236</v>
      </c>
      <c r="D253" t="s">
        <v>1235</v>
      </c>
      <c r="E253" t="s">
        <v>3917</v>
      </c>
      <c r="F253" s="14">
        <v>1</v>
      </c>
      <c r="G253">
        <v>11577158.3948295</v>
      </c>
    </row>
    <row r="254" spans="1:7" x14ac:dyDescent="0.25">
      <c r="A254">
        <v>252</v>
      </c>
      <c r="B254" t="s">
        <v>3918</v>
      </c>
      <c r="C254" t="s">
        <v>942</v>
      </c>
      <c r="D254" t="s">
        <v>941</v>
      </c>
      <c r="E254" t="s">
        <v>3919</v>
      </c>
      <c r="F254" s="14">
        <v>1</v>
      </c>
      <c r="G254">
        <v>72245.120219721706</v>
      </c>
    </row>
    <row r="255" spans="1:7" hidden="1" x14ac:dyDescent="0.25">
      <c r="A255">
        <v>253</v>
      </c>
      <c r="B255" t="s">
        <v>3920</v>
      </c>
      <c r="C255" t="s">
        <v>942</v>
      </c>
      <c r="D255" t="s">
        <v>941</v>
      </c>
      <c r="E255" t="s">
        <v>3921</v>
      </c>
      <c r="F255" s="14">
        <v>1</v>
      </c>
      <c r="G255">
        <v>176919.37519204599</v>
      </c>
    </row>
    <row r="256" spans="1:7" hidden="1" x14ac:dyDescent="0.25">
      <c r="A256">
        <v>254</v>
      </c>
      <c r="B256" t="s">
        <v>3922</v>
      </c>
      <c r="C256" t="s">
        <v>1189</v>
      </c>
      <c r="D256" t="s">
        <v>1188</v>
      </c>
      <c r="E256" t="s">
        <v>3586</v>
      </c>
      <c r="F256" s="14">
        <v>1</v>
      </c>
      <c r="G256">
        <v>346164680.54764599</v>
      </c>
    </row>
    <row r="257" spans="1:7" x14ac:dyDescent="0.25">
      <c r="A257">
        <v>255</v>
      </c>
      <c r="B257" t="s">
        <v>3923</v>
      </c>
      <c r="C257" t="s">
        <v>1189</v>
      </c>
      <c r="D257" t="s">
        <v>1188</v>
      </c>
      <c r="E257" t="s">
        <v>3557</v>
      </c>
      <c r="F257" s="14">
        <v>1</v>
      </c>
      <c r="G257">
        <v>53479047.490619302</v>
      </c>
    </row>
    <row r="258" spans="1:7" hidden="1" x14ac:dyDescent="0.25">
      <c r="A258">
        <v>256</v>
      </c>
      <c r="B258" t="s">
        <v>3924</v>
      </c>
      <c r="C258" t="s">
        <v>1189</v>
      </c>
      <c r="D258" t="s">
        <v>1188</v>
      </c>
      <c r="E258" t="s">
        <v>3555</v>
      </c>
      <c r="F258" s="14">
        <v>1</v>
      </c>
      <c r="G258">
        <v>115388226.849215</v>
      </c>
    </row>
    <row r="259" spans="1:7" x14ac:dyDescent="0.25">
      <c r="A259">
        <v>257</v>
      </c>
      <c r="B259" t="s">
        <v>3925</v>
      </c>
      <c r="C259" t="s">
        <v>1189</v>
      </c>
      <c r="D259" t="s">
        <v>1188</v>
      </c>
      <c r="E259" t="s">
        <v>3584</v>
      </c>
      <c r="F259" s="14">
        <v>1</v>
      </c>
      <c r="G259">
        <v>160437142.47185799</v>
      </c>
    </row>
    <row r="260" spans="1:7" x14ac:dyDescent="0.25">
      <c r="A260">
        <v>258</v>
      </c>
      <c r="B260" t="s">
        <v>3926</v>
      </c>
      <c r="C260" t="s">
        <v>1265</v>
      </c>
      <c r="D260" t="s">
        <v>1264</v>
      </c>
      <c r="E260" t="s">
        <v>3927</v>
      </c>
      <c r="F260" s="14">
        <v>0</v>
      </c>
      <c r="G260">
        <v>11998106.675584201</v>
      </c>
    </row>
    <row r="261" spans="1:7" hidden="1" x14ac:dyDescent="0.25">
      <c r="A261">
        <v>259</v>
      </c>
      <c r="B261" t="s">
        <v>3928</v>
      </c>
      <c r="C261" t="s">
        <v>1265</v>
      </c>
      <c r="D261" t="s">
        <v>1264</v>
      </c>
      <c r="E261" t="s">
        <v>3929</v>
      </c>
      <c r="F261" s="14">
        <v>0</v>
      </c>
      <c r="G261">
        <v>23497494.373710699</v>
      </c>
    </row>
    <row r="262" spans="1:7" hidden="1" x14ac:dyDescent="0.25">
      <c r="A262">
        <v>260</v>
      </c>
      <c r="B262" t="s">
        <v>3930</v>
      </c>
      <c r="C262" t="s">
        <v>1209</v>
      </c>
      <c r="D262" t="s">
        <v>1215</v>
      </c>
      <c r="E262" t="s">
        <v>3649</v>
      </c>
      <c r="F262" s="14">
        <v>1</v>
      </c>
      <c r="G262">
        <v>16393973.3074689</v>
      </c>
    </row>
    <row r="263" spans="1:7" x14ac:dyDescent="0.25">
      <c r="A263">
        <v>261</v>
      </c>
      <c r="B263" t="s">
        <v>3931</v>
      </c>
      <c r="C263" t="s">
        <v>1209</v>
      </c>
      <c r="D263" t="s">
        <v>1215</v>
      </c>
      <c r="E263" t="s">
        <v>3651</v>
      </c>
      <c r="F263" s="14">
        <v>1</v>
      </c>
      <c r="G263">
        <v>10866711.938280201</v>
      </c>
    </row>
    <row r="264" spans="1:7" hidden="1" x14ac:dyDescent="0.25">
      <c r="A264">
        <v>262</v>
      </c>
      <c r="B264" t="s">
        <v>3932</v>
      </c>
      <c r="C264" t="s">
        <v>1209</v>
      </c>
      <c r="D264" t="s">
        <v>1218</v>
      </c>
      <c r="E264" t="s">
        <v>3649</v>
      </c>
      <c r="F264" s="14">
        <v>1</v>
      </c>
      <c r="G264">
        <v>18423194.185780801</v>
      </c>
    </row>
    <row r="265" spans="1:7" x14ac:dyDescent="0.25">
      <c r="A265">
        <v>263</v>
      </c>
      <c r="B265" t="s">
        <v>3933</v>
      </c>
      <c r="C265" t="s">
        <v>1209</v>
      </c>
      <c r="D265" t="s">
        <v>1218</v>
      </c>
      <c r="E265" t="s">
        <v>3651</v>
      </c>
      <c r="F265" s="14">
        <v>1</v>
      </c>
      <c r="G265">
        <v>11515947.858116699</v>
      </c>
    </row>
    <row r="266" spans="1:7" hidden="1" x14ac:dyDescent="0.25">
      <c r="A266">
        <v>264</v>
      </c>
      <c r="B266" t="s">
        <v>3934</v>
      </c>
      <c r="C266" t="s">
        <v>1285</v>
      </c>
      <c r="D266" t="s">
        <v>1284</v>
      </c>
      <c r="E266" t="s">
        <v>3633</v>
      </c>
      <c r="F266" s="14">
        <v>1</v>
      </c>
      <c r="G266">
        <v>89859.372768433503</v>
      </c>
    </row>
    <row r="267" spans="1:7" x14ac:dyDescent="0.25">
      <c r="A267">
        <v>265</v>
      </c>
      <c r="B267" t="s">
        <v>3935</v>
      </c>
      <c r="C267" t="s">
        <v>1285</v>
      </c>
      <c r="D267" t="s">
        <v>1284</v>
      </c>
      <c r="E267" t="s">
        <v>3631</v>
      </c>
      <c r="F267" s="14">
        <v>1</v>
      </c>
      <c r="G267">
        <v>54963.954590679801</v>
      </c>
    </row>
    <row r="268" spans="1:7" hidden="1" x14ac:dyDescent="0.25">
      <c r="A268">
        <v>266</v>
      </c>
      <c r="B268" t="s">
        <v>3936</v>
      </c>
      <c r="C268" t="s">
        <v>1062</v>
      </c>
      <c r="D268" t="s">
        <v>1061</v>
      </c>
      <c r="E268" t="s">
        <v>3723</v>
      </c>
      <c r="F268" s="14">
        <v>1</v>
      </c>
      <c r="G268">
        <v>21917508.864282899</v>
      </c>
    </row>
    <row r="269" spans="1:7" x14ac:dyDescent="0.25">
      <c r="A269">
        <v>267</v>
      </c>
      <c r="B269" t="s">
        <v>3937</v>
      </c>
      <c r="C269" t="s">
        <v>1062</v>
      </c>
      <c r="D269" t="s">
        <v>1061</v>
      </c>
      <c r="E269" t="s">
        <v>3721</v>
      </c>
      <c r="F269" s="14">
        <v>1</v>
      </c>
      <c r="G269">
        <v>13178596.946619101</v>
      </c>
    </row>
    <row r="270" spans="1:7" hidden="1" x14ac:dyDescent="0.25">
      <c r="A270">
        <v>268</v>
      </c>
      <c r="B270" t="s">
        <v>3938</v>
      </c>
      <c r="C270" t="s">
        <v>1249</v>
      </c>
      <c r="D270" t="s">
        <v>1248</v>
      </c>
      <c r="E270" t="s">
        <v>3573</v>
      </c>
      <c r="F270" s="14">
        <v>1</v>
      </c>
      <c r="G270">
        <v>1590852.04046906</v>
      </c>
    </row>
    <row r="271" spans="1:7" x14ac:dyDescent="0.25">
      <c r="A271">
        <v>269</v>
      </c>
      <c r="B271" t="s">
        <v>3939</v>
      </c>
      <c r="C271" t="s">
        <v>1249</v>
      </c>
      <c r="D271" t="s">
        <v>1248</v>
      </c>
      <c r="E271" t="s">
        <v>3575</v>
      </c>
      <c r="F271" s="14">
        <v>1</v>
      </c>
      <c r="G271">
        <v>765029.63600034697</v>
      </c>
    </row>
    <row r="272" spans="1:7" hidden="1" x14ac:dyDescent="0.25">
      <c r="A272">
        <v>270</v>
      </c>
      <c r="B272" t="s">
        <v>3940</v>
      </c>
      <c r="C272" t="s">
        <v>1004</v>
      </c>
      <c r="D272" t="s">
        <v>1030</v>
      </c>
      <c r="E272" t="s">
        <v>3657</v>
      </c>
      <c r="F272" s="14">
        <v>0</v>
      </c>
      <c r="G272">
        <v>3148431.7003301498</v>
      </c>
    </row>
    <row r="273" spans="1:7" x14ac:dyDescent="0.25">
      <c r="A273">
        <v>271</v>
      </c>
      <c r="B273" t="s">
        <v>3941</v>
      </c>
      <c r="C273" t="s">
        <v>1004</v>
      </c>
      <c r="D273" t="s">
        <v>1030</v>
      </c>
      <c r="E273" t="s">
        <v>3659</v>
      </c>
      <c r="F273" s="14">
        <v>0</v>
      </c>
      <c r="G273">
        <v>1467631.6371336801</v>
      </c>
    </row>
    <row r="274" spans="1:7" x14ac:dyDescent="0.25">
      <c r="A274">
        <v>272</v>
      </c>
      <c r="B274" t="s">
        <v>3942</v>
      </c>
      <c r="C274" t="s">
        <v>1120</v>
      </c>
      <c r="D274" t="s">
        <v>1119</v>
      </c>
      <c r="E274" t="s">
        <v>3781</v>
      </c>
      <c r="F274" s="14">
        <v>0</v>
      </c>
      <c r="G274">
        <v>215799.40947385001</v>
      </c>
    </row>
    <row r="275" spans="1:7" hidden="1" x14ac:dyDescent="0.25">
      <c r="A275">
        <v>273</v>
      </c>
      <c r="B275" t="s">
        <v>3943</v>
      </c>
      <c r="C275" t="s">
        <v>1120</v>
      </c>
      <c r="D275" t="s">
        <v>1119</v>
      </c>
      <c r="E275" t="s">
        <v>3783</v>
      </c>
      <c r="F275" s="14">
        <v>1</v>
      </c>
      <c r="G275">
        <v>548638.78390653897</v>
      </c>
    </row>
    <row r="276" spans="1:7" hidden="1" x14ac:dyDescent="0.25">
      <c r="A276">
        <v>274</v>
      </c>
      <c r="B276" t="s">
        <v>3944</v>
      </c>
      <c r="C276" t="s">
        <v>1209</v>
      </c>
      <c r="D276" t="s">
        <v>1219</v>
      </c>
      <c r="E276" t="s">
        <v>3649</v>
      </c>
      <c r="F276" s="14">
        <v>1</v>
      </c>
      <c r="G276">
        <v>13582400.5902042</v>
      </c>
    </row>
    <row r="277" spans="1:7" x14ac:dyDescent="0.25">
      <c r="A277">
        <v>275</v>
      </c>
      <c r="B277" t="s">
        <v>3945</v>
      </c>
      <c r="C277" t="s">
        <v>1209</v>
      </c>
      <c r="D277" t="s">
        <v>1219</v>
      </c>
      <c r="E277" t="s">
        <v>3651</v>
      </c>
      <c r="F277" s="14">
        <v>1</v>
      </c>
      <c r="G277">
        <v>7010859.47569062</v>
      </c>
    </row>
    <row r="278" spans="1:7" hidden="1" x14ac:dyDescent="0.25">
      <c r="A278">
        <v>276</v>
      </c>
      <c r="B278" t="s">
        <v>3946</v>
      </c>
      <c r="C278" t="s">
        <v>1159</v>
      </c>
      <c r="D278" t="s">
        <v>1187</v>
      </c>
      <c r="E278" t="s">
        <v>3555</v>
      </c>
      <c r="F278" s="14">
        <v>1</v>
      </c>
      <c r="G278">
        <v>1126672.48314206</v>
      </c>
    </row>
    <row r="279" spans="1:7" x14ac:dyDescent="0.25">
      <c r="A279">
        <v>277</v>
      </c>
      <c r="B279" t="s">
        <v>3947</v>
      </c>
      <c r="C279" t="s">
        <v>1159</v>
      </c>
      <c r="D279" t="s">
        <v>1187</v>
      </c>
      <c r="E279" t="s">
        <v>3557</v>
      </c>
      <c r="F279" s="14">
        <v>1</v>
      </c>
      <c r="G279">
        <v>613837.44382534001</v>
      </c>
    </row>
    <row r="280" spans="1:7" x14ac:dyDescent="0.25">
      <c r="A280">
        <v>278</v>
      </c>
      <c r="B280" t="s">
        <v>3948</v>
      </c>
      <c r="C280" t="s">
        <v>951</v>
      </c>
      <c r="D280" t="s">
        <v>993</v>
      </c>
      <c r="E280" t="s">
        <v>3619</v>
      </c>
      <c r="F280" s="14">
        <v>0</v>
      </c>
      <c r="G280">
        <v>13439726.7317189</v>
      </c>
    </row>
    <row r="281" spans="1:7" hidden="1" x14ac:dyDescent="0.25">
      <c r="A281">
        <v>279</v>
      </c>
      <c r="B281" t="s">
        <v>3949</v>
      </c>
      <c r="C281" t="s">
        <v>951</v>
      </c>
      <c r="D281" t="s">
        <v>993</v>
      </c>
      <c r="E281" t="s">
        <v>3621</v>
      </c>
      <c r="F281" s="14">
        <v>1</v>
      </c>
      <c r="G281">
        <v>23897663.063958298</v>
      </c>
    </row>
    <row r="282" spans="1:7" x14ac:dyDescent="0.25">
      <c r="A282">
        <v>280</v>
      </c>
      <c r="B282" t="s">
        <v>3950</v>
      </c>
      <c r="C282" t="s">
        <v>1132</v>
      </c>
      <c r="D282" t="s">
        <v>1179</v>
      </c>
      <c r="E282" t="s">
        <v>3561</v>
      </c>
      <c r="F282" s="14">
        <v>1</v>
      </c>
      <c r="G282">
        <v>3741093.6699124998</v>
      </c>
    </row>
    <row r="283" spans="1:7" hidden="1" x14ac:dyDescent="0.25">
      <c r="A283">
        <v>281</v>
      </c>
      <c r="B283" t="s">
        <v>3951</v>
      </c>
      <c r="C283" t="s">
        <v>1132</v>
      </c>
      <c r="D283" t="s">
        <v>1179</v>
      </c>
      <c r="E283" t="s">
        <v>3559</v>
      </c>
      <c r="F283" s="14">
        <v>1</v>
      </c>
      <c r="G283">
        <v>9169131.1170992292</v>
      </c>
    </row>
    <row r="284" spans="1:7" hidden="1" x14ac:dyDescent="0.25">
      <c r="A284">
        <v>282</v>
      </c>
      <c r="B284" t="s">
        <v>3952</v>
      </c>
      <c r="C284" t="s">
        <v>1262</v>
      </c>
      <c r="D284" t="s">
        <v>1261</v>
      </c>
      <c r="E284" t="s">
        <v>3953</v>
      </c>
      <c r="F284" s="14">
        <v>0</v>
      </c>
      <c r="G284">
        <v>529991.62415082497</v>
      </c>
    </row>
    <row r="285" spans="1:7" x14ac:dyDescent="0.25">
      <c r="A285">
        <v>283</v>
      </c>
      <c r="B285" t="s">
        <v>3954</v>
      </c>
      <c r="C285" t="s">
        <v>1262</v>
      </c>
      <c r="D285" t="s">
        <v>1261</v>
      </c>
      <c r="E285" t="s">
        <v>3955</v>
      </c>
      <c r="F285" s="14">
        <v>0</v>
      </c>
      <c r="G285">
        <v>292129.44662302401</v>
      </c>
    </row>
    <row r="286" spans="1:7" x14ac:dyDescent="0.25">
      <c r="A286">
        <v>284</v>
      </c>
      <c r="B286" t="s">
        <v>3956</v>
      </c>
      <c r="C286" t="s">
        <v>1056</v>
      </c>
      <c r="D286" t="s">
        <v>1055</v>
      </c>
      <c r="E286" t="s">
        <v>3711</v>
      </c>
      <c r="F286" s="14">
        <v>1</v>
      </c>
      <c r="G286">
        <v>2844208.6848446401</v>
      </c>
    </row>
    <row r="287" spans="1:7" hidden="1" x14ac:dyDescent="0.25">
      <c r="A287">
        <v>285</v>
      </c>
      <c r="B287" t="s">
        <v>3957</v>
      </c>
      <c r="C287" t="s">
        <v>1056</v>
      </c>
      <c r="D287" t="s">
        <v>1055</v>
      </c>
      <c r="E287" t="s">
        <v>3715</v>
      </c>
      <c r="F287" s="14">
        <v>1</v>
      </c>
      <c r="G287">
        <v>5105424.8767551202</v>
      </c>
    </row>
    <row r="288" spans="1:7" x14ac:dyDescent="0.25">
      <c r="A288">
        <v>286</v>
      </c>
      <c r="B288" t="s">
        <v>3958</v>
      </c>
      <c r="C288" t="s">
        <v>1139</v>
      </c>
      <c r="D288" t="s">
        <v>1138</v>
      </c>
      <c r="E288" t="s">
        <v>3599</v>
      </c>
      <c r="F288" s="14">
        <v>0</v>
      </c>
      <c r="G288">
        <v>35488.124359841597</v>
      </c>
    </row>
    <row r="289" spans="1:7" hidden="1" x14ac:dyDescent="0.25">
      <c r="A289">
        <v>287</v>
      </c>
      <c r="B289" t="s">
        <v>3959</v>
      </c>
      <c r="C289" t="s">
        <v>1139</v>
      </c>
      <c r="D289" t="s">
        <v>1138</v>
      </c>
      <c r="E289" t="s">
        <v>3597</v>
      </c>
      <c r="F289" s="14">
        <v>0</v>
      </c>
      <c r="G289">
        <v>71375.234988667202</v>
      </c>
    </row>
    <row r="290" spans="1:7" hidden="1" x14ac:dyDescent="0.25">
      <c r="A290">
        <v>288</v>
      </c>
      <c r="B290" t="s">
        <v>3960</v>
      </c>
      <c r="C290" t="s">
        <v>957</v>
      </c>
      <c r="D290" t="s">
        <v>956</v>
      </c>
      <c r="E290" t="s">
        <v>3961</v>
      </c>
      <c r="F290" s="14">
        <v>0</v>
      </c>
      <c r="G290">
        <v>1824130.5227403899</v>
      </c>
    </row>
    <row r="291" spans="1:7" x14ac:dyDescent="0.25">
      <c r="A291">
        <v>289</v>
      </c>
      <c r="B291" t="s">
        <v>3962</v>
      </c>
      <c r="C291" t="s">
        <v>957</v>
      </c>
      <c r="D291" t="s">
        <v>956</v>
      </c>
      <c r="E291" t="s">
        <v>3963</v>
      </c>
      <c r="F291" s="14">
        <v>0</v>
      </c>
      <c r="G291">
        <v>875215.282672634</v>
      </c>
    </row>
    <row r="292" spans="1:7" hidden="1" x14ac:dyDescent="0.25">
      <c r="A292">
        <v>290</v>
      </c>
      <c r="B292" t="s">
        <v>3964</v>
      </c>
      <c r="C292" t="s">
        <v>1249</v>
      </c>
      <c r="D292" t="s">
        <v>1254</v>
      </c>
      <c r="E292" t="s">
        <v>3573</v>
      </c>
      <c r="F292" s="14">
        <v>1</v>
      </c>
      <c r="G292">
        <v>6384242.3447511801</v>
      </c>
    </row>
    <row r="293" spans="1:7" x14ac:dyDescent="0.25">
      <c r="A293">
        <v>291</v>
      </c>
      <c r="B293" t="s">
        <v>3965</v>
      </c>
      <c r="C293" t="s">
        <v>1249</v>
      </c>
      <c r="D293" t="s">
        <v>1254</v>
      </c>
      <c r="E293" t="s">
        <v>3575</v>
      </c>
      <c r="F293" s="14">
        <v>1</v>
      </c>
      <c r="G293">
        <v>3030663.92014297</v>
      </c>
    </row>
    <row r="294" spans="1:7" x14ac:dyDescent="0.25">
      <c r="A294">
        <v>292</v>
      </c>
      <c r="B294" t="s">
        <v>3966</v>
      </c>
      <c r="C294" t="s">
        <v>1038</v>
      </c>
      <c r="D294" t="s">
        <v>1037</v>
      </c>
      <c r="E294" t="s">
        <v>3787</v>
      </c>
      <c r="F294" s="14">
        <v>0</v>
      </c>
      <c r="G294">
        <v>1929309.3790071199</v>
      </c>
    </row>
    <row r="295" spans="1:7" hidden="1" x14ac:dyDescent="0.25">
      <c r="A295">
        <v>293</v>
      </c>
      <c r="B295" t="s">
        <v>3967</v>
      </c>
      <c r="C295" t="s">
        <v>1038</v>
      </c>
      <c r="D295" t="s">
        <v>1037</v>
      </c>
      <c r="E295" t="s">
        <v>3785</v>
      </c>
      <c r="F295" s="14">
        <v>0</v>
      </c>
      <c r="G295">
        <v>3570861.07498611</v>
      </c>
    </row>
    <row r="296" spans="1:7" x14ac:dyDescent="0.25">
      <c r="A296">
        <v>294</v>
      </c>
      <c r="B296" t="s">
        <v>3968</v>
      </c>
      <c r="C296" t="s">
        <v>1049</v>
      </c>
      <c r="D296" t="s">
        <v>1048</v>
      </c>
      <c r="E296" t="s">
        <v>3719</v>
      </c>
      <c r="F296" s="14">
        <v>0</v>
      </c>
      <c r="G296">
        <v>40420707.934685402</v>
      </c>
    </row>
    <row r="297" spans="1:7" hidden="1" x14ac:dyDescent="0.25">
      <c r="A297">
        <v>295</v>
      </c>
      <c r="B297" t="s">
        <v>3969</v>
      </c>
      <c r="C297" t="s">
        <v>1049</v>
      </c>
      <c r="D297" t="s">
        <v>1048</v>
      </c>
      <c r="E297" t="s">
        <v>3713</v>
      </c>
      <c r="F297" s="14">
        <v>0</v>
      </c>
      <c r="G297">
        <v>92585559.051822394</v>
      </c>
    </row>
    <row r="298" spans="1:7" x14ac:dyDescent="0.25">
      <c r="A298">
        <v>296</v>
      </c>
      <c r="B298" t="s">
        <v>3970</v>
      </c>
      <c r="C298" t="s">
        <v>1041</v>
      </c>
      <c r="D298" t="s">
        <v>1040</v>
      </c>
      <c r="E298" t="s">
        <v>3665</v>
      </c>
      <c r="F298" s="14">
        <v>1</v>
      </c>
      <c r="G298">
        <v>19586485.222166501</v>
      </c>
    </row>
    <row r="299" spans="1:7" hidden="1" x14ac:dyDescent="0.25">
      <c r="A299">
        <v>297</v>
      </c>
      <c r="B299" t="s">
        <v>3971</v>
      </c>
      <c r="C299" t="s">
        <v>1041</v>
      </c>
      <c r="D299" t="s">
        <v>1040</v>
      </c>
      <c r="E299" t="s">
        <v>3667</v>
      </c>
      <c r="F299" s="14">
        <v>1</v>
      </c>
      <c r="G299">
        <v>47680025.943503499</v>
      </c>
    </row>
    <row r="300" spans="1:7" hidden="1" x14ac:dyDescent="0.25">
      <c r="A300">
        <v>298</v>
      </c>
      <c r="B300" t="s">
        <v>3972</v>
      </c>
      <c r="C300" t="s">
        <v>1246</v>
      </c>
      <c r="D300" t="s">
        <v>1245</v>
      </c>
      <c r="E300" t="s">
        <v>3973</v>
      </c>
      <c r="F300" s="14">
        <v>1</v>
      </c>
      <c r="G300">
        <v>866279.39200341597</v>
      </c>
    </row>
    <row r="301" spans="1:7" x14ac:dyDescent="0.25">
      <c r="A301">
        <v>299</v>
      </c>
      <c r="B301" t="s">
        <v>3974</v>
      </c>
      <c r="C301" t="s">
        <v>1246</v>
      </c>
      <c r="D301" t="s">
        <v>1245</v>
      </c>
      <c r="E301" t="s">
        <v>3755</v>
      </c>
      <c r="F301" s="14">
        <v>1</v>
      </c>
      <c r="G301">
        <v>7696630.0897971001</v>
      </c>
    </row>
    <row r="302" spans="1:7" hidden="1" x14ac:dyDescent="0.25">
      <c r="A302">
        <v>300</v>
      </c>
      <c r="B302" t="s">
        <v>3975</v>
      </c>
      <c r="C302" t="s">
        <v>1246</v>
      </c>
      <c r="D302" t="s">
        <v>1245</v>
      </c>
      <c r="E302" t="s">
        <v>3753</v>
      </c>
      <c r="F302" s="14">
        <v>1</v>
      </c>
      <c r="G302">
        <v>14164438.643962599</v>
      </c>
    </row>
    <row r="303" spans="1:7" x14ac:dyDescent="0.25">
      <c r="A303">
        <v>301</v>
      </c>
      <c r="B303" t="s">
        <v>3976</v>
      </c>
      <c r="C303" t="s">
        <v>1246</v>
      </c>
      <c r="D303" t="s">
        <v>1245</v>
      </c>
      <c r="E303" t="s">
        <v>3977</v>
      </c>
      <c r="F303" s="14">
        <v>0</v>
      </c>
      <c r="G303">
        <v>363431.60618717602</v>
      </c>
    </row>
    <row r="304" spans="1:7" hidden="1" x14ac:dyDescent="0.25">
      <c r="A304">
        <v>302</v>
      </c>
      <c r="B304" t="s">
        <v>3978</v>
      </c>
      <c r="C304" t="s">
        <v>972</v>
      </c>
      <c r="D304" t="s">
        <v>971</v>
      </c>
      <c r="E304" t="s">
        <v>3681</v>
      </c>
      <c r="F304" s="14">
        <v>1</v>
      </c>
      <c r="G304">
        <v>1394272.04227988</v>
      </c>
    </row>
    <row r="305" spans="1:7" x14ac:dyDescent="0.25">
      <c r="A305">
        <v>303</v>
      </c>
      <c r="B305" t="s">
        <v>3979</v>
      </c>
      <c r="C305" t="s">
        <v>972</v>
      </c>
      <c r="D305" t="s">
        <v>971</v>
      </c>
      <c r="E305" t="s">
        <v>3679</v>
      </c>
      <c r="F305" s="14">
        <v>1</v>
      </c>
      <c r="G305">
        <v>848255.72908869095</v>
      </c>
    </row>
    <row r="306" spans="1:7" x14ac:dyDescent="0.25">
      <c r="A306">
        <v>304</v>
      </c>
      <c r="B306" t="s">
        <v>3980</v>
      </c>
      <c r="C306" t="s">
        <v>951</v>
      </c>
      <c r="D306" t="s">
        <v>970</v>
      </c>
      <c r="E306" t="s">
        <v>3619</v>
      </c>
      <c r="F306" s="14">
        <v>0</v>
      </c>
      <c r="G306">
        <v>739296.31707953895</v>
      </c>
    </row>
    <row r="307" spans="1:7" hidden="1" x14ac:dyDescent="0.25">
      <c r="A307">
        <v>305</v>
      </c>
      <c r="B307" t="s">
        <v>3981</v>
      </c>
      <c r="C307" t="s">
        <v>951</v>
      </c>
      <c r="D307" t="s">
        <v>970</v>
      </c>
      <c r="E307" t="s">
        <v>3621</v>
      </c>
      <c r="F307" s="14">
        <v>1</v>
      </c>
      <c r="G307">
        <v>1917852.82254549</v>
      </c>
    </row>
    <row r="308" spans="1:7" hidden="1" x14ac:dyDescent="0.25">
      <c r="A308">
        <v>306</v>
      </c>
      <c r="B308" t="s">
        <v>3982</v>
      </c>
      <c r="C308" t="s">
        <v>1251</v>
      </c>
      <c r="D308" t="s">
        <v>1260</v>
      </c>
      <c r="E308" t="s">
        <v>3573</v>
      </c>
      <c r="F308" s="14">
        <v>1</v>
      </c>
      <c r="G308">
        <v>3914156.6260751002</v>
      </c>
    </row>
    <row r="309" spans="1:7" x14ac:dyDescent="0.25">
      <c r="A309">
        <v>307</v>
      </c>
      <c r="B309" t="s">
        <v>3983</v>
      </c>
      <c r="C309" t="s">
        <v>1251</v>
      </c>
      <c r="D309" t="s">
        <v>1260</v>
      </c>
      <c r="E309" t="s">
        <v>3575</v>
      </c>
      <c r="F309" s="14">
        <v>1</v>
      </c>
      <c r="G309">
        <v>1634158.5504628699</v>
      </c>
    </row>
    <row r="310" spans="1:7" x14ac:dyDescent="0.25">
      <c r="A310">
        <v>308</v>
      </c>
      <c r="B310" t="s">
        <v>3984</v>
      </c>
      <c r="C310" t="s">
        <v>1052</v>
      </c>
      <c r="D310" t="s">
        <v>1051</v>
      </c>
      <c r="E310" t="s">
        <v>3985</v>
      </c>
      <c r="F310" s="14">
        <v>0</v>
      </c>
      <c r="G310">
        <v>3794371.9896145999</v>
      </c>
    </row>
    <row r="311" spans="1:7" hidden="1" x14ac:dyDescent="0.25">
      <c r="A311">
        <v>309</v>
      </c>
      <c r="B311" t="s">
        <v>3986</v>
      </c>
      <c r="C311" t="s">
        <v>1052</v>
      </c>
      <c r="D311" t="s">
        <v>1051</v>
      </c>
      <c r="E311" t="s">
        <v>3987</v>
      </c>
      <c r="F311" s="14">
        <v>0</v>
      </c>
      <c r="G311">
        <v>6807271.7991533699</v>
      </c>
    </row>
    <row r="312" spans="1:7" x14ac:dyDescent="0.25">
      <c r="A312">
        <v>310</v>
      </c>
      <c r="B312" t="s">
        <v>3988</v>
      </c>
      <c r="C312" t="s">
        <v>1137</v>
      </c>
      <c r="D312" t="s">
        <v>1140</v>
      </c>
      <c r="E312" t="s">
        <v>3793</v>
      </c>
      <c r="F312" s="14">
        <v>1</v>
      </c>
      <c r="G312">
        <v>96977887.311172798</v>
      </c>
    </row>
    <row r="313" spans="1:7" hidden="1" x14ac:dyDescent="0.25">
      <c r="A313">
        <v>311</v>
      </c>
      <c r="B313" t="s">
        <v>3989</v>
      </c>
      <c r="C313" t="s">
        <v>1137</v>
      </c>
      <c r="D313" t="s">
        <v>1140</v>
      </c>
      <c r="E313" t="s">
        <v>3791</v>
      </c>
      <c r="F313" s="14">
        <v>1</v>
      </c>
      <c r="G313">
        <v>215503819.56496999</v>
      </c>
    </row>
    <row r="314" spans="1:7" x14ac:dyDescent="0.25">
      <c r="A314">
        <v>312</v>
      </c>
      <c r="B314" t="s">
        <v>3990</v>
      </c>
      <c r="C314" t="s">
        <v>1079</v>
      </c>
      <c r="D314" t="s">
        <v>1085</v>
      </c>
      <c r="E314" t="s">
        <v>3623</v>
      </c>
      <c r="F314" s="14">
        <v>1</v>
      </c>
      <c r="G314">
        <v>11164868.869671199</v>
      </c>
    </row>
    <row r="315" spans="1:7" hidden="1" x14ac:dyDescent="0.25">
      <c r="A315">
        <v>313</v>
      </c>
      <c r="B315" t="s">
        <v>3991</v>
      </c>
      <c r="C315" t="s">
        <v>1079</v>
      </c>
      <c r="D315" t="s">
        <v>1085</v>
      </c>
      <c r="E315" t="s">
        <v>3625</v>
      </c>
      <c r="F315" s="14">
        <v>1</v>
      </c>
      <c r="G315">
        <v>25272876.579309601</v>
      </c>
    </row>
    <row r="316" spans="1:7" hidden="1" x14ac:dyDescent="0.25">
      <c r="A316">
        <v>314</v>
      </c>
      <c r="B316" t="s">
        <v>3992</v>
      </c>
      <c r="C316" t="s">
        <v>949</v>
      </c>
      <c r="D316" t="s">
        <v>948</v>
      </c>
      <c r="E316" t="s">
        <v>3621</v>
      </c>
      <c r="F316" s="14">
        <v>1</v>
      </c>
      <c r="G316">
        <v>14737392.520119799</v>
      </c>
    </row>
    <row r="317" spans="1:7" x14ac:dyDescent="0.25">
      <c r="A317">
        <v>315</v>
      </c>
      <c r="B317" t="s">
        <v>3993</v>
      </c>
      <c r="C317" t="s">
        <v>949</v>
      </c>
      <c r="D317" t="s">
        <v>948</v>
      </c>
      <c r="E317" t="s">
        <v>3619</v>
      </c>
      <c r="F317" s="14">
        <v>0</v>
      </c>
      <c r="G317">
        <v>5497488.0853180299</v>
      </c>
    </row>
    <row r="318" spans="1:7" x14ac:dyDescent="0.25">
      <c r="A318">
        <v>316</v>
      </c>
      <c r="B318" t="s">
        <v>3994</v>
      </c>
      <c r="C318" t="s">
        <v>1094</v>
      </c>
      <c r="D318" t="s">
        <v>1093</v>
      </c>
      <c r="E318" t="s">
        <v>3995</v>
      </c>
      <c r="F318" s="14">
        <v>0</v>
      </c>
      <c r="G318">
        <v>5550587.4959353702</v>
      </c>
    </row>
    <row r="319" spans="1:7" hidden="1" x14ac:dyDescent="0.25">
      <c r="A319">
        <v>317</v>
      </c>
      <c r="B319" t="s">
        <v>3996</v>
      </c>
      <c r="C319" t="s">
        <v>1094</v>
      </c>
      <c r="D319" t="s">
        <v>1093</v>
      </c>
      <c r="E319" t="s">
        <v>3997</v>
      </c>
      <c r="F319" s="14">
        <v>1</v>
      </c>
      <c r="G319">
        <v>9656606.6979026496</v>
      </c>
    </row>
    <row r="320" spans="1:7" x14ac:dyDescent="0.25">
      <c r="A320">
        <v>318</v>
      </c>
      <c r="B320" t="s">
        <v>3998</v>
      </c>
      <c r="C320" t="s">
        <v>1159</v>
      </c>
      <c r="D320" t="s">
        <v>1180</v>
      </c>
      <c r="E320" t="s">
        <v>3557</v>
      </c>
      <c r="F320" s="14">
        <v>1</v>
      </c>
      <c r="G320">
        <v>1025379.2587755501</v>
      </c>
    </row>
    <row r="321" spans="1:7" hidden="1" x14ac:dyDescent="0.25">
      <c r="A321">
        <v>319</v>
      </c>
      <c r="B321" t="s">
        <v>3999</v>
      </c>
      <c r="C321" t="s">
        <v>1159</v>
      </c>
      <c r="D321" t="s">
        <v>1180</v>
      </c>
      <c r="E321" t="s">
        <v>3555</v>
      </c>
      <c r="F321" s="14">
        <v>1</v>
      </c>
      <c r="G321">
        <v>2029317.4913721101</v>
      </c>
    </row>
    <row r="322" spans="1:7" hidden="1" x14ac:dyDescent="0.25">
      <c r="A322">
        <v>320</v>
      </c>
      <c r="B322" t="s">
        <v>4000</v>
      </c>
      <c r="C322" t="s">
        <v>1161</v>
      </c>
      <c r="D322" t="s">
        <v>1160</v>
      </c>
      <c r="E322" t="s">
        <v>4001</v>
      </c>
      <c r="F322" s="14">
        <v>1</v>
      </c>
      <c r="G322">
        <v>177964.04700399601</v>
      </c>
    </row>
    <row r="323" spans="1:7" x14ac:dyDescent="0.25">
      <c r="A323">
        <v>321</v>
      </c>
      <c r="B323" t="s">
        <v>4002</v>
      </c>
      <c r="C323" t="s">
        <v>1161</v>
      </c>
      <c r="D323" t="s">
        <v>1160</v>
      </c>
      <c r="E323" t="s">
        <v>4003</v>
      </c>
      <c r="F323" s="14">
        <v>0</v>
      </c>
      <c r="G323">
        <v>80598.480788627407</v>
      </c>
    </row>
    <row r="324" spans="1:7" hidden="1" x14ac:dyDescent="0.25">
      <c r="A324">
        <v>322</v>
      </c>
      <c r="B324" t="s">
        <v>4004</v>
      </c>
      <c r="C324" t="s">
        <v>1159</v>
      </c>
      <c r="D324" t="s">
        <v>1158</v>
      </c>
      <c r="E324" t="s">
        <v>3555</v>
      </c>
      <c r="F324" s="14">
        <v>1</v>
      </c>
      <c r="G324">
        <v>7220036.2103862697</v>
      </c>
    </row>
    <row r="325" spans="1:7" x14ac:dyDescent="0.25">
      <c r="A325">
        <v>323</v>
      </c>
      <c r="B325" t="s">
        <v>4005</v>
      </c>
      <c r="C325" t="s">
        <v>1159</v>
      </c>
      <c r="D325" t="s">
        <v>1158</v>
      </c>
      <c r="E325" t="s">
        <v>3557</v>
      </c>
      <c r="F325" s="14">
        <v>1</v>
      </c>
      <c r="G325">
        <v>4789117.8898736304</v>
      </c>
    </row>
    <row r="326" spans="1:7" x14ac:dyDescent="0.25">
      <c r="A326">
        <v>324</v>
      </c>
      <c r="B326" t="s">
        <v>4006</v>
      </c>
      <c r="C326" t="s">
        <v>1079</v>
      </c>
      <c r="D326" t="s">
        <v>1078</v>
      </c>
      <c r="E326" t="s">
        <v>3623</v>
      </c>
      <c r="F326" s="14">
        <v>1</v>
      </c>
      <c r="G326">
        <v>10345881.345656</v>
      </c>
    </row>
    <row r="327" spans="1:7" hidden="1" x14ac:dyDescent="0.25">
      <c r="A327">
        <v>325</v>
      </c>
      <c r="B327" t="s">
        <v>4007</v>
      </c>
      <c r="C327" t="s">
        <v>1079</v>
      </c>
      <c r="D327" t="s">
        <v>1078</v>
      </c>
      <c r="E327" t="s">
        <v>3625</v>
      </c>
      <c r="F327" s="14">
        <v>1</v>
      </c>
      <c r="G327">
        <v>21240906.490992699</v>
      </c>
    </row>
    <row r="328" spans="1:7" hidden="1" x14ac:dyDescent="0.25">
      <c r="A328">
        <v>326</v>
      </c>
      <c r="B328" t="s">
        <v>4008</v>
      </c>
      <c r="C328" t="s">
        <v>1223</v>
      </c>
      <c r="D328" t="s">
        <v>1222</v>
      </c>
      <c r="E328" t="s">
        <v>3649</v>
      </c>
      <c r="F328" s="14">
        <v>1</v>
      </c>
      <c r="G328">
        <v>4146055.1510071899</v>
      </c>
    </row>
    <row r="329" spans="1:7" x14ac:dyDescent="0.25">
      <c r="A329">
        <v>327</v>
      </c>
      <c r="B329" t="s">
        <v>4009</v>
      </c>
      <c r="C329" t="s">
        <v>1223</v>
      </c>
      <c r="D329" t="s">
        <v>1222</v>
      </c>
      <c r="E329" t="s">
        <v>3651</v>
      </c>
      <c r="F329" s="14">
        <v>1</v>
      </c>
      <c r="G329">
        <v>2095680.2270722799</v>
      </c>
    </row>
    <row r="330" spans="1:7" hidden="1" x14ac:dyDescent="0.25">
      <c r="A330">
        <v>328</v>
      </c>
      <c r="B330" t="s">
        <v>4010</v>
      </c>
      <c r="C330" t="s">
        <v>1253</v>
      </c>
      <c r="D330" t="s">
        <v>1287</v>
      </c>
      <c r="E330" t="s">
        <v>3573</v>
      </c>
      <c r="F330" s="14">
        <v>1</v>
      </c>
      <c r="G330">
        <v>3352636.8460677098</v>
      </c>
    </row>
    <row r="331" spans="1:7" x14ac:dyDescent="0.25">
      <c r="A331">
        <v>329</v>
      </c>
      <c r="B331" t="s">
        <v>4011</v>
      </c>
      <c r="C331" t="s">
        <v>1253</v>
      </c>
      <c r="D331" t="s">
        <v>1287</v>
      </c>
      <c r="E331" t="s">
        <v>3575</v>
      </c>
      <c r="F331" s="14">
        <v>1</v>
      </c>
      <c r="G331">
        <v>1761551.4572761201</v>
      </c>
    </row>
    <row r="332" spans="1:7" x14ac:dyDescent="0.25">
      <c r="A332">
        <v>330</v>
      </c>
      <c r="B332" t="s">
        <v>4012</v>
      </c>
      <c r="C332" t="s">
        <v>1139</v>
      </c>
      <c r="D332" t="s">
        <v>1201</v>
      </c>
      <c r="E332" t="s">
        <v>3599</v>
      </c>
      <c r="F332" s="14">
        <v>0</v>
      </c>
      <c r="G332">
        <v>72080.670070457898</v>
      </c>
    </row>
    <row r="333" spans="1:7" hidden="1" x14ac:dyDescent="0.25">
      <c r="A333">
        <v>331</v>
      </c>
      <c r="B333" t="s">
        <v>4013</v>
      </c>
      <c r="C333" t="s">
        <v>1139</v>
      </c>
      <c r="D333" t="s">
        <v>1201</v>
      </c>
      <c r="E333" t="s">
        <v>3597</v>
      </c>
      <c r="F333" s="14">
        <v>0</v>
      </c>
      <c r="G333">
        <v>179616.14536846901</v>
      </c>
    </row>
    <row r="334" spans="1:7" x14ac:dyDescent="0.25">
      <c r="A334">
        <v>332</v>
      </c>
      <c r="B334" t="s">
        <v>4014</v>
      </c>
      <c r="C334" t="s">
        <v>1132</v>
      </c>
      <c r="D334" t="s">
        <v>1135</v>
      </c>
      <c r="E334" t="s">
        <v>3561</v>
      </c>
      <c r="F334" s="14">
        <v>1</v>
      </c>
      <c r="G334">
        <v>4287493.3548481297</v>
      </c>
    </row>
    <row r="335" spans="1:7" hidden="1" x14ac:dyDescent="0.25">
      <c r="A335">
        <v>333</v>
      </c>
      <c r="B335" t="s">
        <v>4015</v>
      </c>
      <c r="C335" t="s">
        <v>1132</v>
      </c>
      <c r="D335" t="s">
        <v>1135</v>
      </c>
      <c r="E335" t="s">
        <v>3559</v>
      </c>
      <c r="F335" s="14">
        <v>1</v>
      </c>
      <c r="G335">
        <v>8496929.06560665</v>
      </c>
    </row>
    <row r="336" spans="1:7" hidden="1" x14ac:dyDescent="0.25">
      <c r="A336">
        <v>334</v>
      </c>
      <c r="B336" t="s">
        <v>4016</v>
      </c>
      <c r="C336" t="s">
        <v>1066</v>
      </c>
      <c r="D336" t="s">
        <v>1065</v>
      </c>
      <c r="E336" t="s">
        <v>4017</v>
      </c>
      <c r="F336" s="14">
        <v>1</v>
      </c>
      <c r="G336">
        <v>11587731.580859501</v>
      </c>
    </row>
    <row r="337" spans="1:7" x14ac:dyDescent="0.25">
      <c r="A337">
        <v>335</v>
      </c>
      <c r="B337" t="s">
        <v>4018</v>
      </c>
      <c r="C337" t="s">
        <v>1066</v>
      </c>
      <c r="D337" t="s">
        <v>1065</v>
      </c>
      <c r="E337" t="s">
        <v>4019</v>
      </c>
      <c r="F337" s="14">
        <v>1</v>
      </c>
      <c r="G337">
        <v>5847808.2593789799</v>
      </c>
    </row>
    <row r="338" spans="1:7" hidden="1" x14ac:dyDescent="0.25">
      <c r="A338">
        <v>336</v>
      </c>
      <c r="B338" t="s">
        <v>4020</v>
      </c>
      <c r="C338" t="s">
        <v>1251</v>
      </c>
      <c r="D338" t="s">
        <v>1250</v>
      </c>
      <c r="E338" t="s">
        <v>3573</v>
      </c>
      <c r="F338" s="14">
        <v>1</v>
      </c>
      <c r="G338">
        <v>16334029.1419906</v>
      </c>
    </row>
    <row r="339" spans="1:7" x14ac:dyDescent="0.25">
      <c r="A339">
        <v>337</v>
      </c>
      <c r="B339" t="s">
        <v>4021</v>
      </c>
      <c r="C339" t="s">
        <v>1251</v>
      </c>
      <c r="D339" t="s">
        <v>1250</v>
      </c>
      <c r="E339" t="s">
        <v>3575</v>
      </c>
      <c r="F339" s="14">
        <v>1</v>
      </c>
      <c r="G339">
        <v>6833212.8304856</v>
      </c>
    </row>
    <row r="340" spans="1:7" x14ac:dyDescent="0.25">
      <c r="A340">
        <v>338</v>
      </c>
      <c r="B340" t="s">
        <v>4022</v>
      </c>
      <c r="C340" t="s">
        <v>1102</v>
      </c>
      <c r="D340" t="s">
        <v>1101</v>
      </c>
      <c r="E340" t="s">
        <v>3565</v>
      </c>
      <c r="F340" s="14">
        <v>1</v>
      </c>
      <c r="G340">
        <v>55369304.133193001</v>
      </c>
    </row>
    <row r="341" spans="1:7" hidden="1" x14ac:dyDescent="0.25">
      <c r="A341">
        <v>339</v>
      </c>
      <c r="B341" t="s">
        <v>4023</v>
      </c>
      <c r="C341" t="s">
        <v>1102</v>
      </c>
      <c r="D341" t="s">
        <v>1101</v>
      </c>
      <c r="E341" t="s">
        <v>3567</v>
      </c>
      <c r="F341" s="14">
        <v>1</v>
      </c>
      <c r="G341">
        <v>108903136.62999301</v>
      </c>
    </row>
    <row r="342" spans="1:7" x14ac:dyDescent="0.25">
      <c r="A342">
        <v>340</v>
      </c>
      <c r="B342" t="s">
        <v>4024</v>
      </c>
      <c r="C342" t="s">
        <v>1006</v>
      </c>
      <c r="D342" t="s">
        <v>1039</v>
      </c>
      <c r="E342" t="s">
        <v>3611</v>
      </c>
      <c r="F342" s="14">
        <v>1</v>
      </c>
      <c r="G342">
        <v>814586.72484630195</v>
      </c>
    </row>
    <row r="343" spans="1:7" hidden="1" x14ac:dyDescent="0.25">
      <c r="A343">
        <v>341</v>
      </c>
      <c r="B343" t="s">
        <v>4025</v>
      </c>
      <c r="C343" t="s">
        <v>1006</v>
      </c>
      <c r="D343" t="s">
        <v>1039</v>
      </c>
      <c r="E343" t="s">
        <v>3613</v>
      </c>
      <c r="F343" s="14">
        <v>1</v>
      </c>
      <c r="G343">
        <v>1245797.9899738601</v>
      </c>
    </row>
    <row r="344" spans="1:7" hidden="1" x14ac:dyDescent="0.25">
      <c r="A344">
        <v>342</v>
      </c>
      <c r="B344" t="s">
        <v>4026</v>
      </c>
      <c r="C344" t="s">
        <v>1070</v>
      </c>
      <c r="D344" t="s">
        <v>1069</v>
      </c>
      <c r="E344" t="s">
        <v>4027</v>
      </c>
      <c r="F344" s="14">
        <v>1</v>
      </c>
      <c r="G344">
        <v>2689059.3878087499</v>
      </c>
    </row>
    <row r="345" spans="1:7" x14ac:dyDescent="0.25">
      <c r="A345">
        <v>343</v>
      </c>
      <c r="B345" t="s">
        <v>4028</v>
      </c>
      <c r="C345" t="s">
        <v>1070</v>
      </c>
      <c r="D345" t="s">
        <v>1069</v>
      </c>
      <c r="E345" t="s">
        <v>4029</v>
      </c>
      <c r="F345" s="14">
        <v>0</v>
      </c>
      <c r="G345">
        <v>1415398.48571246</v>
      </c>
    </row>
    <row r="346" spans="1:7" hidden="1" x14ac:dyDescent="0.25">
      <c r="A346">
        <v>344</v>
      </c>
      <c r="B346" t="s">
        <v>4030</v>
      </c>
      <c r="C346" t="s">
        <v>1249</v>
      </c>
      <c r="D346" t="s">
        <v>1256</v>
      </c>
      <c r="E346" t="s">
        <v>3573</v>
      </c>
      <c r="F346" s="14">
        <v>1</v>
      </c>
      <c r="G346">
        <v>8289041.1532308301</v>
      </c>
    </row>
    <row r="347" spans="1:7" x14ac:dyDescent="0.25">
      <c r="A347">
        <v>345</v>
      </c>
      <c r="B347" t="s">
        <v>4031</v>
      </c>
      <c r="C347" t="s">
        <v>1249</v>
      </c>
      <c r="D347" t="s">
        <v>1256</v>
      </c>
      <c r="E347" t="s">
        <v>3575</v>
      </c>
      <c r="F347" s="14">
        <v>1</v>
      </c>
      <c r="G347">
        <v>3917366.5384664298</v>
      </c>
    </row>
    <row r="348" spans="1:7" x14ac:dyDescent="0.25">
      <c r="A348">
        <v>346</v>
      </c>
      <c r="B348" t="s">
        <v>4032</v>
      </c>
      <c r="C348" t="s">
        <v>1032</v>
      </c>
      <c r="D348" t="s">
        <v>1031</v>
      </c>
      <c r="E348" t="s">
        <v>3577</v>
      </c>
      <c r="F348" s="14">
        <v>0</v>
      </c>
      <c r="G348">
        <v>495073.82261788001</v>
      </c>
    </row>
    <row r="349" spans="1:7" hidden="1" x14ac:dyDescent="0.25">
      <c r="A349">
        <v>347</v>
      </c>
      <c r="B349" t="s">
        <v>4033</v>
      </c>
      <c r="C349" t="s">
        <v>1032</v>
      </c>
      <c r="D349" t="s">
        <v>1031</v>
      </c>
      <c r="E349" t="s">
        <v>3580</v>
      </c>
      <c r="F349" s="14">
        <v>1</v>
      </c>
      <c r="G349">
        <v>1027456.07657086</v>
      </c>
    </row>
    <row r="350" spans="1:7" x14ac:dyDescent="0.25">
      <c r="A350">
        <v>348</v>
      </c>
      <c r="B350" t="s">
        <v>4034</v>
      </c>
      <c r="C350" t="s">
        <v>1283</v>
      </c>
      <c r="D350" t="s">
        <v>1282</v>
      </c>
      <c r="E350" t="s">
        <v>3927</v>
      </c>
      <c r="F350" s="14">
        <v>0</v>
      </c>
      <c r="G350">
        <v>1875483.3896550001</v>
      </c>
    </row>
    <row r="351" spans="1:7" hidden="1" x14ac:dyDescent="0.25">
      <c r="A351">
        <v>349</v>
      </c>
      <c r="B351" t="s">
        <v>4035</v>
      </c>
      <c r="C351" t="s">
        <v>1283</v>
      </c>
      <c r="D351" t="s">
        <v>1282</v>
      </c>
      <c r="E351" t="s">
        <v>3929</v>
      </c>
      <c r="F351" s="14">
        <v>0</v>
      </c>
      <c r="G351">
        <v>3884008.8583790301</v>
      </c>
    </row>
    <row r="352" spans="1:7" hidden="1" x14ac:dyDescent="0.25">
      <c r="A352">
        <v>350</v>
      </c>
      <c r="B352" t="s">
        <v>4036</v>
      </c>
      <c r="C352" t="s">
        <v>982</v>
      </c>
      <c r="D352" t="s">
        <v>981</v>
      </c>
      <c r="E352" t="s">
        <v>3903</v>
      </c>
      <c r="F352" s="14">
        <v>1</v>
      </c>
      <c r="G352">
        <v>2341074.7858130098</v>
      </c>
    </row>
    <row r="353" spans="1:7" x14ac:dyDescent="0.25">
      <c r="A353">
        <v>351</v>
      </c>
      <c r="B353" t="s">
        <v>4037</v>
      </c>
      <c r="C353" t="s">
        <v>982</v>
      </c>
      <c r="D353" t="s">
        <v>981</v>
      </c>
      <c r="E353" t="s">
        <v>3899</v>
      </c>
      <c r="F353" s="14">
        <v>1</v>
      </c>
      <c r="G353">
        <v>1109319.8200185399</v>
      </c>
    </row>
    <row r="354" spans="1:7" hidden="1" x14ac:dyDescent="0.25">
      <c r="A354">
        <v>352</v>
      </c>
      <c r="B354" t="s">
        <v>4038</v>
      </c>
      <c r="C354" t="s">
        <v>1075</v>
      </c>
      <c r="D354" t="s">
        <v>1074</v>
      </c>
      <c r="E354" t="s">
        <v>4039</v>
      </c>
      <c r="F354" s="14">
        <v>1</v>
      </c>
      <c r="G354">
        <v>7375281.67227773</v>
      </c>
    </row>
    <row r="355" spans="1:7" x14ac:dyDescent="0.25">
      <c r="A355">
        <v>353</v>
      </c>
      <c r="B355" t="s">
        <v>4040</v>
      </c>
      <c r="C355" t="s">
        <v>1075</v>
      </c>
      <c r="D355" t="s">
        <v>1074</v>
      </c>
      <c r="E355" t="s">
        <v>4041</v>
      </c>
      <c r="F355" s="14">
        <v>0</v>
      </c>
      <c r="G355">
        <v>2965944.99710808</v>
      </c>
    </row>
    <row r="356" spans="1:7" hidden="1" x14ac:dyDescent="0.25">
      <c r="A356">
        <v>354</v>
      </c>
      <c r="B356" t="s">
        <v>4042</v>
      </c>
      <c r="C356" t="s">
        <v>1068</v>
      </c>
      <c r="D356" t="s">
        <v>1067</v>
      </c>
      <c r="E356" t="s">
        <v>4043</v>
      </c>
      <c r="F356" s="14">
        <v>1</v>
      </c>
      <c r="G356">
        <v>2441453.82767371</v>
      </c>
    </row>
    <row r="357" spans="1:7" x14ac:dyDescent="0.25">
      <c r="A357">
        <v>355</v>
      </c>
      <c r="B357" t="s">
        <v>4044</v>
      </c>
      <c r="C357" t="s">
        <v>1068</v>
      </c>
      <c r="D357" t="s">
        <v>1067</v>
      </c>
      <c r="E357" t="s">
        <v>4045</v>
      </c>
      <c r="F357" s="14">
        <v>0</v>
      </c>
      <c r="G357">
        <v>1235234.95642757</v>
      </c>
    </row>
    <row r="358" spans="1:7" hidden="1" x14ac:dyDescent="0.25">
      <c r="A358">
        <v>356</v>
      </c>
      <c r="B358" t="s">
        <v>4046</v>
      </c>
      <c r="C358" t="s">
        <v>947</v>
      </c>
      <c r="D358" t="s">
        <v>946</v>
      </c>
      <c r="E358" t="s">
        <v>3763</v>
      </c>
      <c r="F358" s="14">
        <v>1</v>
      </c>
      <c r="G358">
        <v>3778126.1664768001</v>
      </c>
    </row>
    <row r="359" spans="1:7" x14ac:dyDescent="0.25">
      <c r="A359">
        <v>357</v>
      </c>
      <c r="B359" t="s">
        <v>4047</v>
      </c>
      <c r="C359" t="s">
        <v>947</v>
      </c>
      <c r="D359" t="s">
        <v>946</v>
      </c>
      <c r="E359" t="s">
        <v>3761</v>
      </c>
      <c r="F359" s="14">
        <v>0</v>
      </c>
      <c r="G359">
        <v>1759243.3174765499</v>
      </c>
    </row>
    <row r="360" spans="1:7" x14ac:dyDescent="0.25">
      <c r="A360">
        <v>358</v>
      </c>
      <c r="B360" t="s">
        <v>4048</v>
      </c>
      <c r="C360" t="s">
        <v>1060</v>
      </c>
      <c r="D360" t="s">
        <v>1059</v>
      </c>
      <c r="E360" t="s">
        <v>3711</v>
      </c>
      <c r="F360" s="14">
        <v>1</v>
      </c>
      <c r="G360">
        <v>14263052.1455412</v>
      </c>
    </row>
    <row r="361" spans="1:7" hidden="1" x14ac:dyDescent="0.25">
      <c r="A361">
        <v>359</v>
      </c>
      <c r="B361" t="s">
        <v>4049</v>
      </c>
      <c r="C361" t="s">
        <v>1060</v>
      </c>
      <c r="D361" t="s">
        <v>1059</v>
      </c>
      <c r="E361" t="s">
        <v>3715</v>
      </c>
      <c r="F361" s="14">
        <v>1</v>
      </c>
      <c r="G361">
        <v>27007498.197264899</v>
      </c>
    </row>
    <row r="362" spans="1:7" x14ac:dyDescent="0.25">
      <c r="A362">
        <v>360</v>
      </c>
      <c r="B362" t="s">
        <v>4050</v>
      </c>
      <c r="C362" t="s">
        <v>1060</v>
      </c>
      <c r="D362" t="s">
        <v>1059</v>
      </c>
      <c r="E362" t="s">
        <v>3719</v>
      </c>
      <c r="F362" s="14">
        <v>0</v>
      </c>
      <c r="G362">
        <v>1240265.4039600999</v>
      </c>
    </row>
    <row r="363" spans="1:7" hidden="1" x14ac:dyDescent="0.25">
      <c r="A363">
        <v>361</v>
      </c>
      <c r="B363" t="s">
        <v>4051</v>
      </c>
      <c r="C363" t="s">
        <v>1060</v>
      </c>
      <c r="D363" t="s">
        <v>1059</v>
      </c>
      <c r="E363" t="s">
        <v>3713</v>
      </c>
      <c r="F363" s="14">
        <v>0</v>
      </c>
      <c r="G363">
        <v>2348478.1041099899</v>
      </c>
    </row>
    <row r="364" spans="1:7" x14ac:dyDescent="0.25">
      <c r="A364">
        <v>362</v>
      </c>
      <c r="B364" t="s">
        <v>4052</v>
      </c>
      <c r="C364" t="s">
        <v>1253</v>
      </c>
      <c r="D364" t="s">
        <v>1252</v>
      </c>
      <c r="E364" t="s">
        <v>3575</v>
      </c>
      <c r="F364" s="14">
        <v>1</v>
      </c>
      <c r="G364">
        <v>300614.80211013102</v>
      </c>
    </row>
    <row r="365" spans="1:7" hidden="1" x14ac:dyDescent="0.25">
      <c r="A365">
        <v>363</v>
      </c>
      <c r="B365" t="s">
        <v>4053</v>
      </c>
      <c r="C365" t="s">
        <v>1253</v>
      </c>
      <c r="D365" t="s">
        <v>1252</v>
      </c>
      <c r="E365" t="s">
        <v>3573</v>
      </c>
      <c r="F365" s="14">
        <v>1</v>
      </c>
      <c r="G365">
        <v>591570.05485672795</v>
      </c>
    </row>
    <row r="366" spans="1:7" hidden="1" x14ac:dyDescent="0.25">
      <c r="A366">
        <v>364</v>
      </c>
      <c r="B366" t="s">
        <v>4054</v>
      </c>
      <c r="C366" t="s">
        <v>1006</v>
      </c>
      <c r="D366" t="s">
        <v>1008</v>
      </c>
      <c r="E366" t="s">
        <v>3613</v>
      </c>
      <c r="F366" s="14">
        <v>1</v>
      </c>
      <c r="G366">
        <v>19509132.146696702</v>
      </c>
    </row>
    <row r="367" spans="1:7" x14ac:dyDescent="0.25">
      <c r="A367">
        <v>365</v>
      </c>
      <c r="B367" t="s">
        <v>4055</v>
      </c>
      <c r="C367" t="s">
        <v>1006</v>
      </c>
      <c r="D367" t="s">
        <v>1008</v>
      </c>
      <c r="E367" t="s">
        <v>3611</v>
      </c>
      <c r="F367" s="14">
        <v>1</v>
      </c>
      <c r="G367">
        <v>11904478.996448601</v>
      </c>
    </row>
    <row r="368" spans="1:7" hidden="1" x14ac:dyDescent="0.25">
      <c r="A368">
        <v>366</v>
      </c>
      <c r="B368" t="s">
        <v>4056</v>
      </c>
      <c r="C368" t="s">
        <v>1079</v>
      </c>
      <c r="D368" t="s">
        <v>1084</v>
      </c>
      <c r="E368" t="s">
        <v>3625</v>
      </c>
      <c r="F368" s="14">
        <v>1</v>
      </c>
      <c r="G368">
        <v>12399211.010450101</v>
      </c>
    </row>
    <row r="369" spans="1:7" x14ac:dyDescent="0.25">
      <c r="A369">
        <v>367</v>
      </c>
      <c r="B369" t="s">
        <v>4057</v>
      </c>
      <c r="C369" t="s">
        <v>1079</v>
      </c>
      <c r="D369" t="s">
        <v>1084</v>
      </c>
      <c r="E369" t="s">
        <v>3623</v>
      </c>
      <c r="F369" s="14">
        <v>1</v>
      </c>
      <c r="G369">
        <v>5731389.4629496001</v>
      </c>
    </row>
    <row r="370" spans="1:7" x14ac:dyDescent="0.25">
      <c r="A370">
        <v>368</v>
      </c>
      <c r="B370" t="s">
        <v>4058</v>
      </c>
      <c r="C370" t="s">
        <v>1075</v>
      </c>
      <c r="D370" t="s">
        <v>1083</v>
      </c>
      <c r="E370" t="s">
        <v>4041</v>
      </c>
      <c r="F370" s="14">
        <v>0</v>
      </c>
      <c r="G370">
        <v>639464.45300008298</v>
      </c>
    </row>
    <row r="371" spans="1:7" hidden="1" x14ac:dyDescent="0.25">
      <c r="A371">
        <v>369</v>
      </c>
      <c r="B371" t="s">
        <v>4059</v>
      </c>
      <c r="C371" t="s">
        <v>1075</v>
      </c>
      <c r="D371" t="s">
        <v>1083</v>
      </c>
      <c r="E371" t="s">
        <v>4039</v>
      </c>
      <c r="F371" s="14">
        <v>1</v>
      </c>
      <c r="G371">
        <v>1280854.8157810599</v>
      </c>
    </row>
    <row r="372" spans="1:7" hidden="1" x14ac:dyDescent="0.25">
      <c r="A372">
        <v>370</v>
      </c>
      <c r="B372" t="s">
        <v>4060</v>
      </c>
      <c r="C372" t="s">
        <v>1221</v>
      </c>
      <c r="D372" t="s">
        <v>1220</v>
      </c>
      <c r="E372" t="s">
        <v>4061</v>
      </c>
      <c r="F372" s="14">
        <v>1</v>
      </c>
      <c r="G372">
        <v>938655.43627664703</v>
      </c>
    </row>
    <row r="373" spans="1:7" x14ac:dyDescent="0.25">
      <c r="A373">
        <v>371</v>
      </c>
      <c r="B373" t="s">
        <v>4062</v>
      </c>
      <c r="C373" t="s">
        <v>1221</v>
      </c>
      <c r="D373" t="s">
        <v>1220</v>
      </c>
      <c r="E373" t="s">
        <v>4063</v>
      </c>
      <c r="F373" s="14">
        <v>1</v>
      </c>
      <c r="G373">
        <v>408451.17795376002</v>
      </c>
    </row>
    <row r="374" spans="1:7" x14ac:dyDescent="0.25">
      <c r="A374">
        <v>372</v>
      </c>
      <c r="B374" t="s">
        <v>4064</v>
      </c>
      <c r="C374" t="s">
        <v>1089</v>
      </c>
      <c r="D374" t="s">
        <v>1088</v>
      </c>
      <c r="E374" t="s">
        <v>3569</v>
      </c>
      <c r="F374" s="14">
        <v>1</v>
      </c>
      <c r="G374">
        <v>9379709.3928002492</v>
      </c>
    </row>
    <row r="375" spans="1:7" hidden="1" x14ac:dyDescent="0.25">
      <c r="A375">
        <v>373</v>
      </c>
      <c r="B375" t="s">
        <v>4065</v>
      </c>
      <c r="C375" t="s">
        <v>1089</v>
      </c>
      <c r="D375" t="s">
        <v>1088</v>
      </c>
      <c r="E375" t="s">
        <v>3571</v>
      </c>
      <c r="F375" s="14">
        <v>1</v>
      </c>
      <c r="G375">
        <v>18613242.233973399</v>
      </c>
    </row>
    <row r="376" spans="1:7" x14ac:dyDescent="0.25">
      <c r="A376">
        <v>374</v>
      </c>
      <c r="B376" t="s">
        <v>4066</v>
      </c>
      <c r="C376" t="s">
        <v>1272</v>
      </c>
      <c r="D376" t="s">
        <v>1271</v>
      </c>
      <c r="E376" t="s">
        <v>3853</v>
      </c>
      <c r="F376" s="14">
        <v>1</v>
      </c>
      <c r="G376">
        <v>1512605.4607925999</v>
      </c>
    </row>
    <row r="377" spans="1:7" hidden="1" x14ac:dyDescent="0.25">
      <c r="A377">
        <v>375</v>
      </c>
      <c r="B377" t="s">
        <v>4067</v>
      </c>
      <c r="C377" t="s">
        <v>1272</v>
      </c>
      <c r="D377" t="s">
        <v>1271</v>
      </c>
      <c r="E377" t="s">
        <v>3857</v>
      </c>
      <c r="F377" s="14">
        <v>1</v>
      </c>
      <c r="G377">
        <v>3742348.2532578702</v>
      </c>
    </row>
    <row r="378" spans="1:7" hidden="1" x14ac:dyDescent="0.25">
      <c r="A378">
        <v>376</v>
      </c>
      <c r="B378" t="s">
        <v>4068</v>
      </c>
      <c r="C378" t="s">
        <v>1173</v>
      </c>
      <c r="D378" t="s">
        <v>1172</v>
      </c>
      <c r="E378" t="s">
        <v>3727</v>
      </c>
      <c r="F378" s="14">
        <v>1</v>
      </c>
      <c r="G378">
        <v>23019947.018816199</v>
      </c>
    </row>
    <row r="379" spans="1:7" x14ac:dyDescent="0.25">
      <c r="A379">
        <v>377</v>
      </c>
      <c r="B379" t="s">
        <v>4069</v>
      </c>
      <c r="C379" t="s">
        <v>1173</v>
      </c>
      <c r="D379" t="s">
        <v>1172</v>
      </c>
      <c r="E379" t="s">
        <v>3725</v>
      </c>
      <c r="F379" s="14">
        <v>1</v>
      </c>
      <c r="G379">
        <v>11811067.5559448</v>
      </c>
    </row>
    <row r="380" spans="1:7" x14ac:dyDescent="0.25">
      <c r="A380">
        <v>378</v>
      </c>
      <c r="B380" t="s">
        <v>4070</v>
      </c>
      <c r="C380" t="s">
        <v>1209</v>
      </c>
      <c r="D380" t="s">
        <v>1214</v>
      </c>
      <c r="E380" t="s">
        <v>3651</v>
      </c>
      <c r="F380" s="14">
        <v>1</v>
      </c>
      <c r="G380">
        <v>3042951.0275790198</v>
      </c>
    </row>
    <row r="381" spans="1:7" hidden="1" x14ac:dyDescent="0.25">
      <c r="A381">
        <v>379</v>
      </c>
      <c r="B381" t="s">
        <v>4071</v>
      </c>
      <c r="C381" t="s">
        <v>1209</v>
      </c>
      <c r="D381" t="s">
        <v>1214</v>
      </c>
      <c r="E381" t="s">
        <v>3649</v>
      </c>
      <c r="F381" s="14">
        <v>1</v>
      </c>
      <c r="G381">
        <v>4698249.4140799996</v>
      </c>
    </row>
    <row r="382" spans="1:7" hidden="1" x14ac:dyDescent="0.25">
      <c r="A382">
        <v>380</v>
      </c>
      <c r="B382" t="s">
        <v>4072</v>
      </c>
      <c r="C382" t="s">
        <v>1276</v>
      </c>
      <c r="D382" t="s">
        <v>1275</v>
      </c>
      <c r="E382" t="s">
        <v>4073</v>
      </c>
      <c r="F382" s="14">
        <v>1</v>
      </c>
      <c r="G382">
        <v>9434935.87865692</v>
      </c>
    </row>
    <row r="383" spans="1:7" x14ac:dyDescent="0.25">
      <c r="A383">
        <v>381</v>
      </c>
      <c r="B383" t="s">
        <v>4074</v>
      </c>
      <c r="C383" t="s">
        <v>1276</v>
      </c>
      <c r="D383" t="s">
        <v>1275</v>
      </c>
      <c r="E383" t="s">
        <v>4075</v>
      </c>
      <c r="F383" s="14">
        <v>1</v>
      </c>
      <c r="G383">
        <v>4738585.4944550004</v>
      </c>
    </row>
    <row r="384" spans="1:7" hidden="1" x14ac:dyDescent="0.25">
      <c r="A384">
        <v>382</v>
      </c>
      <c r="B384" t="s">
        <v>4076</v>
      </c>
      <c r="C384" t="s">
        <v>1064</v>
      </c>
      <c r="D384" t="s">
        <v>1063</v>
      </c>
      <c r="E384" t="s">
        <v>4017</v>
      </c>
      <c r="F384" s="14">
        <v>1</v>
      </c>
      <c r="G384">
        <v>2790011.39670341</v>
      </c>
    </row>
    <row r="385" spans="1:7" x14ac:dyDescent="0.25">
      <c r="A385">
        <v>383</v>
      </c>
      <c r="B385" t="s">
        <v>4077</v>
      </c>
      <c r="C385" t="s">
        <v>1064</v>
      </c>
      <c r="D385" t="s">
        <v>1063</v>
      </c>
      <c r="E385" t="s">
        <v>4019</v>
      </c>
      <c r="F385" s="14">
        <v>1</v>
      </c>
      <c r="G385">
        <v>1327474.2235991999</v>
      </c>
    </row>
    <row r="386" spans="1:7" hidden="1" x14ac:dyDescent="0.25">
      <c r="A386">
        <v>384</v>
      </c>
      <c r="B386" t="s">
        <v>4078</v>
      </c>
      <c r="C386" t="s">
        <v>1091</v>
      </c>
      <c r="D386" t="s">
        <v>1090</v>
      </c>
      <c r="E386" t="s">
        <v>3567</v>
      </c>
      <c r="F386" s="14">
        <v>1</v>
      </c>
      <c r="G386">
        <v>2752420.1343179098</v>
      </c>
    </row>
    <row r="387" spans="1:7" x14ac:dyDescent="0.25">
      <c r="A387">
        <v>385</v>
      </c>
      <c r="B387" t="s">
        <v>4079</v>
      </c>
      <c r="C387" t="s">
        <v>1091</v>
      </c>
      <c r="D387" t="s">
        <v>1090</v>
      </c>
      <c r="E387" t="s">
        <v>3565</v>
      </c>
      <c r="F387" s="14">
        <v>1</v>
      </c>
      <c r="G387">
        <v>1481402.8929324399</v>
      </c>
    </row>
    <row r="388" spans="1:7" hidden="1" x14ac:dyDescent="0.25">
      <c r="A388">
        <v>386</v>
      </c>
      <c r="B388" t="s">
        <v>4080</v>
      </c>
      <c r="C388" t="s">
        <v>1199</v>
      </c>
      <c r="D388" t="s">
        <v>1198</v>
      </c>
      <c r="E388" t="s">
        <v>3555</v>
      </c>
      <c r="F388" s="14">
        <v>1</v>
      </c>
      <c r="G388">
        <v>1517437.9541150201</v>
      </c>
    </row>
    <row r="389" spans="1:7" hidden="1" x14ac:dyDescent="0.25">
      <c r="A389">
        <v>387</v>
      </c>
      <c r="B389" t="s">
        <v>4080</v>
      </c>
      <c r="C389" t="s">
        <v>1146</v>
      </c>
      <c r="D389" t="s">
        <v>1198</v>
      </c>
      <c r="E389" t="s">
        <v>3555</v>
      </c>
      <c r="F389" s="14">
        <v>1</v>
      </c>
      <c r="G389">
        <v>1517437.9541150201</v>
      </c>
    </row>
    <row r="390" spans="1:7" x14ac:dyDescent="0.25">
      <c r="A390">
        <v>388</v>
      </c>
      <c r="B390" t="s">
        <v>4081</v>
      </c>
      <c r="C390" t="s">
        <v>1199</v>
      </c>
      <c r="D390" t="s">
        <v>1198</v>
      </c>
      <c r="E390" t="s">
        <v>3557</v>
      </c>
      <c r="F390" s="14">
        <v>1</v>
      </c>
      <c r="G390">
        <v>699842.90423833102</v>
      </c>
    </row>
    <row r="391" spans="1:7" x14ac:dyDescent="0.25">
      <c r="A391">
        <v>389</v>
      </c>
      <c r="B391" t="s">
        <v>4081</v>
      </c>
      <c r="C391" t="s">
        <v>1146</v>
      </c>
      <c r="D391" t="s">
        <v>1198</v>
      </c>
      <c r="E391" t="s">
        <v>3557</v>
      </c>
      <c r="F391" s="14">
        <v>1</v>
      </c>
      <c r="G391">
        <v>699842.90423833102</v>
      </c>
    </row>
    <row r="392" spans="1:7" hidden="1" x14ac:dyDescent="0.25">
      <c r="A392">
        <v>390</v>
      </c>
      <c r="B392" t="s">
        <v>4082</v>
      </c>
      <c r="C392" t="s">
        <v>1199</v>
      </c>
      <c r="D392" t="s">
        <v>1198</v>
      </c>
      <c r="E392" t="s">
        <v>4083</v>
      </c>
      <c r="F392" s="14">
        <v>0</v>
      </c>
      <c r="G392">
        <v>14635960.239124799</v>
      </c>
    </row>
    <row r="393" spans="1:7" hidden="1" x14ac:dyDescent="0.25">
      <c r="A393">
        <v>391</v>
      </c>
      <c r="B393" t="s">
        <v>4082</v>
      </c>
      <c r="C393" t="s">
        <v>1146</v>
      </c>
      <c r="D393" t="s">
        <v>1198</v>
      </c>
      <c r="E393" t="s">
        <v>4083</v>
      </c>
      <c r="F393" s="14">
        <v>0</v>
      </c>
      <c r="G393">
        <v>14635960.239124799</v>
      </c>
    </row>
    <row r="394" spans="1:7" x14ac:dyDescent="0.25">
      <c r="A394">
        <v>392</v>
      </c>
      <c r="B394" t="s">
        <v>4084</v>
      </c>
      <c r="C394" t="s">
        <v>1199</v>
      </c>
      <c r="D394" t="s">
        <v>1198</v>
      </c>
      <c r="E394" t="s">
        <v>4085</v>
      </c>
      <c r="F394" s="14">
        <v>0</v>
      </c>
      <c r="G394">
        <v>7795273.7674540998</v>
      </c>
    </row>
    <row r="395" spans="1:7" x14ac:dyDescent="0.25">
      <c r="A395">
        <v>393</v>
      </c>
      <c r="B395" t="s">
        <v>4084</v>
      </c>
      <c r="C395" t="s">
        <v>1146</v>
      </c>
      <c r="D395" t="s">
        <v>1198</v>
      </c>
      <c r="E395" t="s">
        <v>4085</v>
      </c>
      <c r="F395" s="14">
        <v>0</v>
      </c>
      <c r="G395">
        <v>7795273.7674540998</v>
      </c>
    </row>
    <row r="396" spans="1:7" hidden="1" x14ac:dyDescent="0.25">
      <c r="A396">
        <v>394</v>
      </c>
      <c r="B396" t="s">
        <v>4086</v>
      </c>
      <c r="C396" t="s">
        <v>1054</v>
      </c>
      <c r="D396" t="s">
        <v>1053</v>
      </c>
      <c r="E396" t="s">
        <v>4087</v>
      </c>
      <c r="F396" s="14">
        <v>1</v>
      </c>
      <c r="G396">
        <v>1641692.0635546099</v>
      </c>
    </row>
    <row r="397" spans="1:7" x14ac:dyDescent="0.25">
      <c r="A397">
        <v>395</v>
      </c>
      <c r="B397" t="s">
        <v>4088</v>
      </c>
      <c r="C397" t="s">
        <v>1054</v>
      </c>
      <c r="D397" t="s">
        <v>1053</v>
      </c>
      <c r="E397" t="s">
        <v>4089</v>
      </c>
      <c r="F397" s="14">
        <v>1</v>
      </c>
      <c r="G397">
        <v>1048979.3811296499</v>
      </c>
    </row>
    <row r="398" spans="1:7" hidden="1" x14ac:dyDescent="0.25">
      <c r="A398">
        <v>396</v>
      </c>
      <c r="B398" t="s">
        <v>4090</v>
      </c>
      <c r="C398" t="s">
        <v>1072</v>
      </c>
      <c r="D398" t="s">
        <v>1071</v>
      </c>
      <c r="E398" t="s">
        <v>4027</v>
      </c>
      <c r="F398" s="14">
        <v>1</v>
      </c>
      <c r="G398">
        <v>872448.38759537996</v>
      </c>
    </row>
    <row r="399" spans="1:7" x14ac:dyDescent="0.25">
      <c r="A399">
        <v>397</v>
      </c>
      <c r="B399" t="s">
        <v>4091</v>
      </c>
      <c r="C399" t="s">
        <v>1072</v>
      </c>
      <c r="D399" t="s">
        <v>1071</v>
      </c>
      <c r="E399" t="s">
        <v>4029</v>
      </c>
      <c r="F399" s="14">
        <v>0</v>
      </c>
      <c r="G399">
        <v>453326.99749028002</v>
      </c>
    </row>
    <row r="400" spans="1:7" hidden="1" x14ac:dyDescent="0.25">
      <c r="A400">
        <v>398</v>
      </c>
      <c r="B400" t="s">
        <v>4092</v>
      </c>
      <c r="C400" t="s">
        <v>1253</v>
      </c>
      <c r="D400" t="s">
        <v>1281</v>
      </c>
      <c r="E400" t="s">
        <v>3573</v>
      </c>
      <c r="F400" s="14">
        <v>1</v>
      </c>
      <c r="G400">
        <v>3350652.2653529001</v>
      </c>
    </row>
    <row r="401" spans="1:7" x14ac:dyDescent="0.25">
      <c r="A401">
        <v>399</v>
      </c>
      <c r="B401" t="s">
        <v>4093</v>
      </c>
      <c r="C401" t="s">
        <v>1253</v>
      </c>
      <c r="D401" t="s">
        <v>1281</v>
      </c>
      <c r="E401" t="s">
        <v>3575</v>
      </c>
      <c r="F401" s="14">
        <v>1</v>
      </c>
      <c r="G401">
        <v>1500100.8409345199</v>
      </c>
    </row>
    <row r="402" spans="1:7" x14ac:dyDescent="0.25">
      <c r="A402">
        <v>400</v>
      </c>
      <c r="B402" t="s">
        <v>4094</v>
      </c>
      <c r="C402" t="s">
        <v>1132</v>
      </c>
      <c r="D402" t="s">
        <v>1150</v>
      </c>
      <c r="E402" t="s">
        <v>3561</v>
      </c>
      <c r="F402" s="14">
        <v>1</v>
      </c>
      <c r="G402">
        <v>4375385.1869632099</v>
      </c>
    </row>
    <row r="403" spans="1:7" hidden="1" x14ac:dyDescent="0.25">
      <c r="A403">
        <v>401</v>
      </c>
      <c r="B403" t="s">
        <v>4095</v>
      </c>
      <c r="C403" t="s">
        <v>1132</v>
      </c>
      <c r="D403" t="s">
        <v>1150</v>
      </c>
      <c r="E403" t="s">
        <v>3559</v>
      </c>
      <c r="F403" s="14">
        <v>1</v>
      </c>
      <c r="G403">
        <v>7192709.5178888598</v>
      </c>
    </row>
    <row r="404" spans="1:7" hidden="1" x14ac:dyDescent="0.25">
      <c r="A404">
        <v>402</v>
      </c>
      <c r="B404" t="s">
        <v>4096</v>
      </c>
      <c r="C404" t="s">
        <v>1108</v>
      </c>
      <c r="D404" t="s">
        <v>1107</v>
      </c>
      <c r="E404" t="s">
        <v>3701</v>
      </c>
      <c r="F404" s="14">
        <v>1</v>
      </c>
      <c r="G404">
        <v>7785798.3663283102</v>
      </c>
    </row>
    <row r="405" spans="1:7" x14ac:dyDescent="0.25">
      <c r="A405">
        <v>403</v>
      </c>
      <c r="B405" t="s">
        <v>4097</v>
      </c>
      <c r="C405" t="s">
        <v>1108</v>
      </c>
      <c r="D405" t="s">
        <v>1107</v>
      </c>
      <c r="E405" t="s">
        <v>3703</v>
      </c>
      <c r="F405" s="14">
        <v>0</v>
      </c>
      <c r="G405">
        <v>4511540.7504008599</v>
      </c>
    </row>
    <row r="406" spans="1:7" hidden="1" x14ac:dyDescent="0.25">
      <c r="A406">
        <v>404</v>
      </c>
      <c r="B406" t="s">
        <v>4098</v>
      </c>
      <c r="C406" t="s">
        <v>1043</v>
      </c>
      <c r="D406" t="s">
        <v>1042</v>
      </c>
      <c r="E406" t="s">
        <v>3723</v>
      </c>
      <c r="F406" s="14">
        <v>1</v>
      </c>
      <c r="G406">
        <v>847150.10601515998</v>
      </c>
    </row>
    <row r="407" spans="1:7" x14ac:dyDescent="0.25">
      <c r="A407">
        <v>405</v>
      </c>
      <c r="B407" t="s">
        <v>4099</v>
      </c>
      <c r="C407" t="s">
        <v>1043</v>
      </c>
      <c r="D407" t="s">
        <v>1042</v>
      </c>
      <c r="E407" t="s">
        <v>3721</v>
      </c>
      <c r="F407" s="14">
        <v>1</v>
      </c>
      <c r="G407">
        <v>455228.85145225399</v>
      </c>
    </row>
    <row r="408" spans="1:7" hidden="1" x14ac:dyDescent="0.25">
      <c r="A408">
        <v>406</v>
      </c>
      <c r="B408" t="s">
        <v>4100</v>
      </c>
      <c r="C408" t="s">
        <v>1132</v>
      </c>
      <c r="D408" t="s">
        <v>1152</v>
      </c>
      <c r="E408" t="s">
        <v>3559</v>
      </c>
      <c r="F408" s="14">
        <v>1</v>
      </c>
      <c r="G408">
        <v>11826399.432913899</v>
      </c>
    </row>
    <row r="409" spans="1:7" x14ac:dyDescent="0.25">
      <c r="A409">
        <v>407</v>
      </c>
      <c r="B409" t="s">
        <v>4101</v>
      </c>
      <c r="C409" t="s">
        <v>1132</v>
      </c>
      <c r="D409" t="s">
        <v>1152</v>
      </c>
      <c r="E409" t="s">
        <v>3561</v>
      </c>
      <c r="F409" s="14">
        <v>1</v>
      </c>
      <c r="G409">
        <v>6430001.0863400605</v>
      </c>
    </row>
    <row r="410" spans="1:7" hidden="1" x14ac:dyDescent="0.25">
      <c r="A410">
        <v>408</v>
      </c>
      <c r="B410" t="s">
        <v>4102</v>
      </c>
      <c r="C410" t="s">
        <v>978</v>
      </c>
      <c r="D410" t="s">
        <v>977</v>
      </c>
      <c r="E410" t="s">
        <v>3901</v>
      </c>
      <c r="F410" s="14">
        <v>0</v>
      </c>
      <c r="G410">
        <v>44474980.2240922</v>
      </c>
    </row>
    <row r="411" spans="1:7" hidden="1" x14ac:dyDescent="0.25">
      <c r="A411">
        <v>409</v>
      </c>
      <c r="B411" t="s">
        <v>4103</v>
      </c>
      <c r="C411" t="s">
        <v>978</v>
      </c>
      <c r="D411" t="s">
        <v>977</v>
      </c>
      <c r="E411" t="s">
        <v>3905</v>
      </c>
      <c r="F411" s="14">
        <v>1</v>
      </c>
      <c r="G411">
        <v>590881880.12008202</v>
      </c>
    </row>
    <row r="412" spans="1:7" x14ac:dyDescent="0.25">
      <c r="A412">
        <v>410</v>
      </c>
      <c r="B412" t="s">
        <v>4104</v>
      </c>
      <c r="C412" t="s">
        <v>978</v>
      </c>
      <c r="D412" t="s">
        <v>977</v>
      </c>
      <c r="E412" t="s">
        <v>3909</v>
      </c>
      <c r="F412" s="14">
        <v>1</v>
      </c>
      <c r="G412">
        <v>299178571.62216699</v>
      </c>
    </row>
    <row r="413" spans="1:7" x14ac:dyDescent="0.25">
      <c r="A413">
        <v>411</v>
      </c>
      <c r="B413" t="s">
        <v>4105</v>
      </c>
      <c r="C413" t="s">
        <v>978</v>
      </c>
      <c r="D413" t="s">
        <v>977</v>
      </c>
      <c r="E413" t="s">
        <v>3911</v>
      </c>
      <c r="F413" s="14">
        <v>0</v>
      </c>
      <c r="G413">
        <v>22518817.2188728</v>
      </c>
    </row>
    <row r="414" spans="1:7" x14ac:dyDescent="0.25">
      <c r="A414">
        <v>412</v>
      </c>
      <c r="B414" t="s">
        <v>4106</v>
      </c>
      <c r="C414" t="s">
        <v>966</v>
      </c>
      <c r="D414" t="s">
        <v>967</v>
      </c>
      <c r="E414" t="s">
        <v>3619</v>
      </c>
      <c r="F414" s="14">
        <v>0</v>
      </c>
      <c r="G414">
        <v>9247477.3320707195</v>
      </c>
    </row>
    <row r="415" spans="1:7" hidden="1" x14ac:dyDescent="0.25">
      <c r="A415">
        <v>413</v>
      </c>
      <c r="B415" t="s">
        <v>4107</v>
      </c>
      <c r="C415" t="s">
        <v>966</v>
      </c>
      <c r="D415" t="s">
        <v>967</v>
      </c>
      <c r="E415" t="s">
        <v>3621</v>
      </c>
      <c r="F415" s="14">
        <v>1</v>
      </c>
      <c r="G415">
        <v>17950202.290039498</v>
      </c>
    </row>
    <row r="416" spans="1:7" x14ac:dyDescent="0.25">
      <c r="A416">
        <v>414</v>
      </c>
      <c r="B416" t="s">
        <v>4108</v>
      </c>
      <c r="C416" t="s">
        <v>947</v>
      </c>
      <c r="D416" t="s">
        <v>989</v>
      </c>
      <c r="E416" t="s">
        <v>3611</v>
      </c>
      <c r="F416" s="14">
        <v>1</v>
      </c>
      <c r="G416">
        <v>5429865.6582613299</v>
      </c>
    </row>
    <row r="417" spans="1:7" hidden="1" x14ac:dyDescent="0.25">
      <c r="A417">
        <v>415</v>
      </c>
      <c r="B417" t="s">
        <v>4109</v>
      </c>
      <c r="C417" t="s">
        <v>947</v>
      </c>
      <c r="D417" t="s">
        <v>989</v>
      </c>
      <c r="E417" t="s">
        <v>3613</v>
      </c>
      <c r="F417" s="14">
        <v>1</v>
      </c>
      <c r="G417">
        <v>9849492.6366038807</v>
      </c>
    </row>
    <row r="418" spans="1:7" hidden="1" x14ac:dyDescent="0.25">
      <c r="A418">
        <v>416</v>
      </c>
      <c r="B418" t="s">
        <v>4110</v>
      </c>
      <c r="C418" t="s">
        <v>1205</v>
      </c>
      <c r="D418" t="s">
        <v>1204</v>
      </c>
      <c r="E418" t="s">
        <v>4061</v>
      </c>
      <c r="F418" s="14">
        <v>1</v>
      </c>
      <c r="G418">
        <v>23679468.267380599</v>
      </c>
    </row>
    <row r="419" spans="1:7" x14ac:dyDescent="0.25">
      <c r="A419">
        <v>417</v>
      </c>
      <c r="B419" t="s">
        <v>4111</v>
      </c>
      <c r="C419" t="s">
        <v>1205</v>
      </c>
      <c r="D419" t="s">
        <v>1204</v>
      </c>
      <c r="E419" t="s">
        <v>4063</v>
      </c>
      <c r="F419" s="14">
        <v>1</v>
      </c>
      <c r="G419">
        <v>14953202.884824701</v>
      </c>
    </row>
    <row r="420" spans="1:7" x14ac:dyDescent="0.25">
      <c r="A420">
        <v>418</v>
      </c>
      <c r="B420" t="s">
        <v>4112</v>
      </c>
      <c r="C420" t="s">
        <v>1178</v>
      </c>
      <c r="D420" t="s">
        <v>1177</v>
      </c>
      <c r="E420" t="s">
        <v>3669</v>
      </c>
      <c r="F420" s="14">
        <v>0</v>
      </c>
      <c r="G420">
        <v>1879625.0293896899</v>
      </c>
    </row>
    <row r="421" spans="1:7" hidden="1" x14ac:dyDescent="0.25">
      <c r="A421">
        <v>419</v>
      </c>
      <c r="B421" t="s">
        <v>4113</v>
      </c>
      <c r="C421" t="s">
        <v>1178</v>
      </c>
      <c r="D421" t="s">
        <v>1177</v>
      </c>
      <c r="E421" t="s">
        <v>3671</v>
      </c>
      <c r="F421" s="14">
        <v>0</v>
      </c>
      <c r="G421">
        <v>5119358.4224576</v>
      </c>
    </row>
    <row r="422" spans="1:7" hidden="1" x14ac:dyDescent="0.25">
      <c r="A422">
        <v>420</v>
      </c>
      <c r="B422" t="s">
        <v>4114</v>
      </c>
      <c r="C422" t="s">
        <v>1146</v>
      </c>
      <c r="D422" t="s">
        <v>1200</v>
      </c>
      <c r="E422" t="s">
        <v>3555</v>
      </c>
      <c r="F422" s="14">
        <v>1</v>
      </c>
      <c r="G422">
        <v>635359.18651951605</v>
      </c>
    </row>
    <row r="423" spans="1:7" x14ac:dyDescent="0.25">
      <c r="A423">
        <v>421</v>
      </c>
      <c r="B423" t="s">
        <v>4115</v>
      </c>
      <c r="C423" t="s">
        <v>1146</v>
      </c>
      <c r="D423" t="s">
        <v>1200</v>
      </c>
      <c r="E423" t="s">
        <v>3557</v>
      </c>
      <c r="F423" s="14">
        <v>1</v>
      </c>
      <c r="G423">
        <v>269335.84192291502</v>
      </c>
    </row>
    <row r="424" spans="1:7" hidden="1" x14ac:dyDescent="0.25">
      <c r="A424">
        <v>422</v>
      </c>
      <c r="B424" t="s">
        <v>4116</v>
      </c>
      <c r="C424" t="s">
        <v>1025</v>
      </c>
      <c r="D424" t="s">
        <v>1024</v>
      </c>
      <c r="E424" t="s">
        <v>3609</v>
      </c>
      <c r="F424" s="14">
        <v>1</v>
      </c>
      <c r="G424">
        <v>9254501.6327838991</v>
      </c>
    </row>
    <row r="425" spans="1:7" x14ac:dyDescent="0.25">
      <c r="A425">
        <v>423</v>
      </c>
      <c r="B425" t="s">
        <v>4117</v>
      </c>
      <c r="C425" t="s">
        <v>1025</v>
      </c>
      <c r="D425" t="s">
        <v>1024</v>
      </c>
      <c r="E425" t="s">
        <v>3607</v>
      </c>
      <c r="F425" s="14">
        <v>1</v>
      </c>
      <c r="G425">
        <v>3978372.0771160801</v>
      </c>
    </row>
    <row r="426" spans="1:7" x14ac:dyDescent="0.25">
      <c r="A426">
        <v>424</v>
      </c>
      <c r="B426" t="s">
        <v>4118</v>
      </c>
      <c r="C426" t="s">
        <v>1251</v>
      </c>
      <c r="D426" t="s">
        <v>1270</v>
      </c>
      <c r="E426" t="s">
        <v>3575</v>
      </c>
      <c r="F426" s="14">
        <v>1</v>
      </c>
      <c r="G426">
        <v>7246365.1908928603</v>
      </c>
    </row>
    <row r="427" spans="1:7" hidden="1" x14ac:dyDescent="0.25">
      <c r="A427">
        <v>425</v>
      </c>
      <c r="B427" t="s">
        <v>4119</v>
      </c>
      <c r="C427" t="s">
        <v>1251</v>
      </c>
      <c r="D427" t="s">
        <v>1270</v>
      </c>
      <c r="E427" t="s">
        <v>3573</v>
      </c>
      <c r="F427" s="14">
        <v>1</v>
      </c>
      <c r="G427">
        <v>14500627.7400408</v>
      </c>
    </row>
    <row r="428" spans="1:7" x14ac:dyDescent="0.25">
      <c r="A428">
        <v>426</v>
      </c>
      <c r="B428" t="s">
        <v>4120</v>
      </c>
      <c r="C428" t="s">
        <v>1124</v>
      </c>
      <c r="D428" t="s">
        <v>1123</v>
      </c>
      <c r="E428" t="s">
        <v>3781</v>
      </c>
      <c r="F428" s="14">
        <v>0</v>
      </c>
      <c r="G428">
        <v>35004.270021039403</v>
      </c>
    </row>
    <row r="429" spans="1:7" hidden="1" x14ac:dyDescent="0.25">
      <c r="A429">
        <v>427</v>
      </c>
      <c r="B429" t="s">
        <v>4121</v>
      </c>
      <c r="C429" t="s">
        <v>1124</v>
      </c>
      <c r="D429" t="s">
        <v>1123</v>
      </c>
      <c r="E429" t="s">
        <v>3783</v>
      </c>
      <c r="F429" s="14">
        <v>1</v>
      </c>
      <c r="G429">
        <v>93016.293626641607</v>
      </c>
    </row>
    <row r="430" spans="1:7" x14ac:dyDescent="0.25">
      <c r="A430">
        <v>428</v>
      </c>
      <c r="B430" t="s">
        <v>4122</v>
      </c>
      <c r="C430" t="s">
        <v>945</v>
      </c>
      <c r="D430" t="s">
        <v>944</v>
      </c>
      <c r="E430" t="s">
        <v>3619</v>
      </c>
      <c r="F430" s="14">
        <v>0</v>
      </c>
      <c r="G430">
        <v>5031335.49767619</v>
      </c>
    </row>
    <row r="431" spans="1:7" hidden="1" x14ac:dyDescent="0.25">
      <c r="A431">
        <v>429</v>
      </c>
      <c r="B431" t="s">
        <v>4123</v>
      </c>
      <c r="C431" t="s">
        <v>945</v>
      </c>
      <c r="D431" t="s">
        <v>944</v>
      </c>
      <c r="E431" t="s">
        <v>3621</v>
      </c>
      <c r="F431" s="14">
        <v>1</v>
      </c>
      <c r="G431">
        <v>10323673.3044497</v>
      </c>
    </row>
    <row r="432" spans="1:7" hidden="1" x14ac:dyDescent="0.25">
      <c r="A432">
        <v>430</v>
      </c>
      <c r="B432" t="s">
        <v>4124</v>
      </c>
      <c r="C432" t="s">
        <v>1029</v>
      </c>
      <c r="D432" t="s">
        <v>1028</v>
      </c>
      <c r="E432" t="s">
        <v>3825</v>
      </c>
      <c r="F432" s="14">
        <v>1</v>
      </c>
      <c r="G432">
        <v>147560795.34786099</v>
      </c>
    </row>
    <row r="433" spans="1:7" x14ac:dyDescent="0.25">
      <c r="A433">
        <v>431</v>
      </c>
      <c r="B433" t="s">
        <v>4125</v>
      </c>
      <c r="C433" t="s">
        <v>1029</v>
      </c>
      <c r="D433" t="s">
        <v>1028</v>
      </c>
      <c r="E433" t="s">
        <v>3827</v>
      </c>
      <c r="F433" s="14">
        <v>1</v>
      </c>
      <c r="G433">
        <v>71960579.580213502</v>
      </c>
    </row>
    <row r="434" spans="1:7" hidden="1" x14ac:dyDescent="0.25">
      <c r="A434">
        <v>432</v>
      </c>
      <c r="B434" t="s">
        <v>4126</v>
      </c>
      <c r="C434" t="s">
        <v>1278</v>
      </c>
      <c r="D434" t="s">
        <v>1277</v>
      </c>
      <c r="E434" t="s">
        <v>4127</v>
      </c>
      <c r="F434" s="14">
        <v>0</v>
      </c>
      <c r="G434">
        <v>357590.28482360701</v>
      </c>
    </row>
    <row r="435" spans="1:7" x14ac:dyDescent="0.25">
      <c r="A435">
        <v>433</v>
      </c>
      <c r="B435" t="s">
        <v>4128</v>
      </c>
      <c r="C435" t="s">
        <v>1278</v>
      </c>
      <c r="D435" t="s">
        <v>1277</v>
      </c>
      <c r="E435" t="s">
        <v>4129</v>
      </c>
      <c r="F435" s="14">
        <v>0</v>
      </c>
      <c r="G435">
        <v>178132.140032492</v>
      </c>
    </row>
    <row r="436" spans="1:7" x14ac:dyDescent="0.25">
      <c r="A436">
        <v>434</v>
      </c>
      <c r="B436" t="s">
        <v>4130</v>
      </c>
      <c r="C436" t="s">
        <v>1134</v>
      </c>
      <c r="D436" t="s">
        <v>1202</v>
      </c>
      <c r="E436" t="s">
        <v>3561</v>
      </c>
      <c r="F436" s="14">
        <v>1</v>
      </c>
      <c r="G436">
        <v>21266359.440967999</v>
      </c>
    </row>
    <row r="437" spans="1:7" hidden="1" x14ac:dyDescent="0.25">
      <c r="A437">
        <v>435</v>
      </c>
      <c r="B437" t="s">
        <v>4131</v>
      </c>
      <c r="C437" t="s">
        <v>1134</v>
      </c>
      <c r="D437" t="s">
        <v>1202</v>
      </c>
      <c r="E437" t="s">
        <v>3559</v>
      </c>
      <c r="F437" s="14">
        <v>1</v>
      </c>
      <c r="G437">
        <v>40626638.1981363</v>
      </c>
    </row>
    <row r="438" spans="1:7" hidden="1" x14ac:dyDescent="0.25">
      <c r="A438">
        <v>436</v>
      </c>
      <c r="B438" t="s">
        <v>4132</v>
      </c>
      <c r="C438" t="s">
        <v>1234</v>
      </c>
      <c r="D438" t="s">
        <v>1233</v>
      </c>
      <c r="E438" t="s">
        <v>4061</v>
      </c>
      <c r="F438" s="14">
        <v>1</v>
      </c>
      <c r="G438">
        <v>699756.11931039602</v>
      </c>
    </row>
    <row r="439" spans="1:7" x14ac:dyDescent="0.25">
      <c r="A439">
        <v>437</v>
      </c>
      <c r="B439" t="s">
        <v>4133</v>
      </c>
      <c r="C439" t="s">
        <v>1234</v>
      </c>
      <c r="D439" t="s">
        <v>1233</v>
      </c>
      <c r="E439" t="s">
        <v>4063</v>
      </c>
      <c r="F439" s="14">
        <v>1</v>
      </c>
      <c r="G439">
        <v>325750.87745219801</v>
      </c>
    </row>
    <row r="440" spans="1:7" hidden="1" x14ac:dyDescent="0.25">
      <c r="A440">
        <v>438</v>
      </c>
      <c r="B440" t="s">
        <v>4134</v>
      </c>
      <c r="C440" t="s">
        <v>1223</v>
      </c>
      <c r="D440" t="s">
        <v>1247</v>
      </c>
      <c r="E440" t="s">
        <v>3573</v>
      </c>
      <c r="F440" s="14">
        <v>1</v>
      </c>
      <c r="G440">
        <v>5766116.9950929303</v>
      </c>
    </row>
    <row r="441" spans="1:7" x14ac:dyDescent="0.25">
      <c r="A441">
        <v>439</v>
      </c>
      <c r="B441" t="s">
        <v>4135</v>
      </c>
      <c r="C441" t="s">
        <v>1223</v>
      </c>
      <c r="D441" t="s">
        <v>1247</v>
      </c>
      <c r="E441" t="s">
        <v>3575</v>
      </c>
      <c r="F441" s="14">
        <v>1</v>
      </c>
      <c r="G441">
        <v>2284666.6557715498</v>
      </c>
    </row>
    <row r="442" spans="1:7" hidden="1" x14ac:dyDescent="0.25">
      <c r="A442">
        <v>440</v>
      </c>
      <c r="B442" t="s">
        <v>4136</v>
      </c>
      <c r="C442" t="s">
        <v>1209</v>
      </c>
      <c r="D442" t="s">
        <v>1225</v>
      </c>
      <c r="E442" t="s">
        <v>3649</v>
      </c>
      <c r="F442" s="14">
        <v>1</v>
      </c>
      <c r="G442">
        <v>3299282.7517715502</v>
      </c>
    </row>
    <row r="443" spans="1:7" x14ac:dyDescent="0.25">
      <c r="A443">
        <v>441</v>
      </c>
      <c r="B443" t="s">
        <v>4137</v>
      </c>
      <c r="C443" t="s">
        <v>1209</v>
      </c>
      <c r="D443" t="s">
        <v>1225</v>
      </c>
      <c r="E443" t="s">
        <v>3651</v>
      </c>
      <c r="F443" s="14">
        <v>1</v>
      </c>
      <c r="G443">
        <v>1671110.9721661999</v>
      </c>
    </row>
    <row r="444" spans="1:7" x14ac:dyDescent="0.25">
      <c r="A444">
        <v>442</v>
      </c>
      <c r="B444" t="s">
        <v>4138</v>
      </c>
      <c r="C444" t="s">
        <v>1230</v>
      </c>
      <c r="D444" t="s">
        <v>1229</v>
      </c>
      <c r="E444" t="s">
        <v>3651</v>
      </c>
      <c r="F444" s="14">
        <v>1</v>
      </c>
      <c r="G444">
        <v>6735584.5659794696</v>
      </c>
    </row>
    <row r="445" spans="1:7" hidden="1" x14ac:dyDescent="0.25">
      <c r="A445">
        <v>443</v>
      </c>
      <c r="B445" t="s">
        <v>4139</v>
      </c>
      <c r="C445" t="s">
        <v>1230</v>
      </c>
      <c r="D445" t="s">
        <v>1229</v>
      </c>
      <c r="E445" t="s">
        <v>3649</v>
      </c>
      <c r="F445" s="14">
        <v>1</v>
      </c>
      <c r="G445">
        <v>12972031.8225538</v>
      </c>
    </row>
    <row r="446" spans="1:7" x14ac:dyDescent="0.25">
      <c r="A446">
        <v>444</v>
      </c>
      <c r="B446" t="s">
        <v>4140</v>
      </c>
      <c r="C446" t="s">
        <v>1249</v>
      </c>
      <c r="D446" t="s">
        <v>1269</v>
      </c>
      <c r="E446" t="s">
        <v>3575</v>
      </c>
      <c r="F446" s="14">
        <v>1</v>
      </c>
      <c r="G446">
        <v>3308780.1313072601</v>
      </c>
    </row>
    <row r="447" spans="1:7" hidden="1" x14ac:dyDescent="0.25">
      <c r="A447">
        <v>445</v>
      </c>
      <c r="B447" t="s">
        <v>4141</v>
      </c>
      <c r="C447" t="s">
        <v>1249</v>
      </c>
      <c r="D447" t="s">
        <v>1269</v>
      </c>
      <c r="E447" t="s">
        <v>3573</v>
      </c>
      <c r="F447" s="14">
        <v>1</v>
      </c>
      <c r="G447">
        <v>6952653.3004852301</v>
      </c>
    </row>
    <row r="448" spans="1:7" hidden="1" x14ac:dyDescent="0.25">
      <c r="A448">
        <v>446</v>
      </c>
      <c r="B448" t="s">
        <v>4142</v>
      </c>
      <c r="C448" t="s">
        <v>1240</v>
      </c>
      <c r="D448" t="s">
        <v>1239</v>
      </c>
      <c r="E448" t="s">
        <v>3875</v>
      </c>
      <c r="F448" s="14">
        <v>1</v>
      </c>
      <c r="G448">
        <v>4902394.3858100399</v>
      </c>
    </row>
    <row r="449" spans="1:7" x14ac:dyDescent="0.25">
      <c r="A449">
        <v>447</v>
      </c>
      <c r="B449" t="s">
        <v>4143</v>
      </c>
      <c r="C449" t="s">
        <v>1240</v>
      </c>
      <c r="D449" t="s">
        <v>1239</v>
      </c>
      <c r="E449" t="s">
        <v>3873</v>
      </c>
      <c r="F449" s="14">
        <v>1</v>
      </c>
      <c r="G449">
        <v>2242083.4905634602</v>
      </c>
    </row>
    <row r="450" spans="1:7" hidden="1" x14ac:dyDescent="0.25">
      <c r="A450">
        <v>448</v>
      </c>
      <c r="B450" t="s">
        <v>4144</v>
      </c>
      <c r="C450" t="s">
        <v>1163</v>
      </c>
      <c r="D450" t="s">
        <v>1162</v>
      </c>
      <c r="E450" t="s">
        <v>3727</v>
      </c>
      <c r="F450" s="14">
        <v>1</v>
      </c>
      <c r="G450">
        <v>69277.060766152499</v>
      </c>
    </row>
    <row r="451" spans="1:7" x14ac:dyDescent="0.25">
      <c r="A451">
        <v>449</v>
      </c>
      <c r="B451" t="s">
        <v>4145</v>
      </c>
      <c r="C451" t="s">
        <v>1163</v>
      </c>
      <c r="D451" t="s">
        <v>1162</v>
      </c>
      <c r="E451" t="s">
        <v>3725</v>
      </c>
      <c r="F451" s="14">
        <v>1</v>
      </c>
      <c r="G451">
        <v>36257.389858401097</v>
      </c>
    </row>
    <row r="452" spans="1:7" hidden="1" x14ac:dyDescent="0.25">
      <c r="A452">
        <v>450</v>
      </c>
      <c r="B452" t="s">
        <v>4146</v>
      </c>
      <c r="C452" t="s">
        <v>1132</v>
      </c>
      <c r="D452" t="s">
        <v>1155</v>
      </c>
      <c r="E452" t="s">
        <v>3559</v>
      </c>
      <c r="F452" s="14">
        <v>1</v>
      </c>
      <c r="G452">
        <v>10353491.6636067</v>
      </c>
    </row>
    <row r="453" spans="1:7" x14ac:dyDescent="0.25">
      <c r="A453">
        <v>451</v>
      </c>
      <c r="B453" t="s">
        <v>4147</v>
      </c>
      <c r="C453" t="s">
        <v>1132</v>
      </c>
      <c r="D453" t="s">
        <v>1155</v>
      </c>
      <c r="E453" t="s">
        <v>3561</v>
      </c>
      <c r="F453" s="14">
        <v>1</v>
      </c>
      <c r="G453">
        <v>4798994.9337148601</v>
      </c>
    </row>
    <row r="454" spans="1:7" hidden="1" x14ac:dyDescent="0.25">
      <c r="A454">
        <v>452</v>
      </c>
      <c r="B454" t="s">
        <v>4148</v>
      </c>
      <c r="C454" t="s">
        <v>1081</v>
      </c>
      <c r="D454" t="s">
        <v>1080</v>
      </c>
      <c r="E454" t="s">
        <v>3571</v>
      </c>
      <c r="F454" s="14">
        <v>1</v>
      </c>
      <c r="G454">
        <v>1460738.31482622</v>
      </c>
    </row>
    <row r="455" spans="1:7" x14ac:dyDescent="0.25">
      <c r="A455">
        <v>453</v>
      </c>
      <c r="B455" t="s">
        <v>4149</v>
      </c>
      <c r="C455" t="s">
        <v>1081</v>
      </c>
      <c r="D455" t="s">
        <v>1080</v>
      </c>
      <c r="E455" t="s">
        <v>3569</v>
      </c>
      <c r="F455" s="14">
        <v>1</v>
      </c>
      <c r="G455">
        <v>849371.85364359897</v>
      </c>
    </row>
    <row r="456" spans="1:7" x14ac:dyDescent="0.25">
      <c r="A456">
        <v>454</v>
      </c>
      <c r="B456" t="s">
        <v>4150</v>
      </c>
      <c r="C456" t="s">
        <v>966</v>
      </c>
      <c r="D456" t="s">
        <v>965</v>
      </c>
      <c r="E456" t="s">
        <v>3619</v>
      </c>
      <c r="F456" s="14">
        <v>0</v>
      </c>
      <c r="G456">
        <v>7306107.4476173297</v>
      </c>
    </row>
    <row r="457" spans="1:7" hidden="1" x14ac:dyDescent="0.25">
      <c r="A457">
        <v>455</v>
      </c>
      <c r="B457" t="s">
        <v>4151</v>
      </c>
      <c r="C457" t="s">
        <v>966</v>
      </c>
      <c r="D457" t="s">
        <v>965</v>
      </c>
      <c r="E457" t="s">
        <v>3621</v>
      </c>
      <c r="F457" s="14">
        <v>1</v>
      </c>
      <c r="G457">
        <v>11924834.067503599</v>
      </c>
    </row>
    <row r="458" spans="1:7" hidden="1" x14ac:dyDescent="0.25">
      <c r="A458">
        <v>456</v>
      </c>
      <c r="B458" t="s">
        <v>4152</v>
      </c>
      <c r="C458" t="s">
        <v>1192</v>
      </c>
      <c r="D458" t="s">
        <v>1191</v>
      </c>
      <c r="E458" t="s">
        <v>3559</v>
      </c>
      <c r="F458" s="14">
        <v>1</v>
      </c>
      <c r="G458">
        <v>11075997.344214801</v>
      </c>
    </row>
    <row r="459" spans="1:7" x14ac:dyDescent="0.25">
      <c r="A459">
        <v>457</v>
      </c>
      <c r="B459" t="s">
        <v>4153</v>
      </c>
      <c r="C459" t="s">
        <v>1192</v>
      </c>
      <c r="D459" t="s">
        <v>1191</v>
      </c>
      <c r="E459" t="s">
        <v>3561</v>
      </c>
      <c r="F459" s="14">
        <v>1</v>
      </c>
      <c r="G459">
        <v>5294420.40512117</v>
      </c>
    </row>
    <row r="460" spans="1:7" hidden="1" x14ac:dyDescent="0.25">
      <c r="A460">
        <v>458</v>
      </c>
      <c r="B460" t="s">
        <v>4154</v>
      </c>
      <c r="C460" t="s">
        <v>974</v>
      </c>
      <c r="D460" t="s">
        <v>973</v>
      </c>
      <c r="E460" t="s">
        <v>3645</v>
      </c>
      <c r="F460" s="14">
        <v>0</v>
      </c>
      <c r="G460">
        <v>814119365.14683795</v>
      </c>
    </row>
    <row r="461" spans="1:7" x14ac:dyDescent="0.25">
      <c r="A461">
        <v>459</v>
      </c>
      <c r="B461" t="s">
        <v>4155</v>
      </c>
      <c r="C461" t="s">
        <v>974</v>
      </c>
      <c r="D461" t="s">
        <v>973</v>
      </c>
      <c r="E461" t="s">
        <v>3899</v>
      </c>
      <c r="F461" s="14">
        <v>1</v>
      </c>
      <c r="G461">
        <v>36811150.787015103</v>
      </c>
    </row>
    <row r="462" spans="1:7" hidden="1" x14ac:dyDescent="0.25">
      <c r="A462">
        <v>460</v>
      </c>
      <c r="B462" t="s">
        <v>4156</v>
      </c>
      <c r="C462" t="s">
        <v>974</v>
      </c>
      <c r="D462" t="s">
        <v>973</v>
      </c>
      <c r="E462" t="s">
        <v>3903</v>
      </c>
      <c r="F462" s="14">
        <v>1</v>
      </c>
      <c r="G462">
        <v>90457707.238537595</v>
      </c>
    </row>
    <row r="463" spans="1:7" x14ac:dyDescent="0.25">
      <c r="A463">
        <v>461</v>
      </c>
      <c r="B463" t="s">
        <v>4157</v>
      </c>
      <c r="C463" t="s">
        <v>974</v>
      </c>
      <c r="D463" t="s">
        <v>973</v>
      </c>
      <c r="E463" t="s">
        <v>3647</v>
      </c>
      <c r="F463" s="14">
        <v>0</v>
      </c>
      <c r="G463">
        <v>331300357.08313602</v>
      </c>
    </row>
    <row r="464" spans="1:7" x14ac:dyDescent="0.25">
      <c r="A464">
        <v>462</v>
      </c>
      <c r="B464" t="s">
        <v>4158</v>
      </c>
      <c r="C464" t="s">
        <v>1077</v>
      </c>
      <c r="D464" t="s">
        <v>1128</v>
      </c>
      <c r="E464" t="s">
        <v>3623</v>
      </c>
      <c r="F464" s="14">
        <v>1</v>
      </c>
      <c r="G464">
        <v>5901722.7523393501</v>
      </c>
    </row>
    <row r="465" spans="1:7" hidden="1" x14ac:dyDescent="0.25">
      <c r="A465">
        <v>463</v>
      </c>
      <c r="B465" t="s">
        <v>4159</v>
      </c>
      <c r="C465" t="s">
        <v>1077</v>
      </c>
      <c r="D465" t="s">
        <v>1128</v>
      </c>
      <c r="E465" t="s">
        <v>3625</v>
      </c>
      <c r="F465" s="14">
        <v>1</v>
      </c>
      <c r="G465">
        <v>14460682.920194499</v>
      </c>
    </row>
    <row r="466" spans="1:7" x14ac:dyDescent="0.25">
      <c r="A466">
        <v>464</v>
      </c>
      <c r="B466" t="s">
        <v>4160</v>
      </c>
      <c r="C466" t="s">
        <v>1209</v>
      </c>
      <c r="D466" t="s">
        <v>1208</v>
      </c>
      <c r="E466" t="s">
        <v>3651</v>
      </c>
      <c r="F466" s="14">
        <v>1</v>
      </c>
      <c r="G466">
        <v>1505188.31667492</v>
      </c>
    </row>
    <row r="467" spans="1:7" hidden="1" x14ac:dyDescent="0.25">
      <c r="A467">
        <v>465</v>
      </c>
      <c r="B467" t="s">
        <v>4161</v>
      </c>
      <c r="C467" t="s">
        <v>1209</v>
      </c>
      <c r="D467" t="s">
        <v>1208</v>
      </c>
      <c r="E467" t="s">
        <v>3649</v>
      </c>
      <c r="F467" s="14">
        <v>1</v>
      </c>
      <c r="G467">
        <v>2864828.4017872801</v>
      </c>
    </row>
    <row r="468" spans="1:7" x14ac:dyDescent="0.25">
      <c r="G468"/>
    </row>
    <row r="469" spans="1:7" x14ac:dyDescent="0.25">
      <c r="G469"/>
    </row>
    <row r="470" spans="1:7" x14ac:dyDescent="0.25">
      <c r="G470"/>
    </row>
    <row r="471" spans="1:7" x14ac:dyDescent="0.25">
      <c r="G471"/>
    </row>
    <row r="472" spans="1:7" x14ac:dyDescent="0.25">
      <c r="G472"/>
    </row>
    <row r="473" spans="1:7" x14ac:dyDescent="0.25">
      <c r="G473"/>
    </row>
    <row r="474" spans="1:7" x14ac:dyDescent="0.25">
      <c r="G474"/>
    </row>
    <row r="475" spans="1:7" x14ac:dyDescent="0.25">
      <c r="G475"/>
    </row>
    <row r="476" spans="1:7" x14ac:dyDescent="0.25">
      <c r="G476"/>
    </row>
    <row r="477" spans="1:7" x14ac:dyDescent="0.25">
      <c r="G477"/>
    </row>
    <row r="478" spans="1:7" x14ac:dyDescent="0.25">
      <c r="G478"/>
    </row>
    <row r="479" spans="1:7" x14ac:dyDescent="0.25">
      <c r="G479"/>
    </row>
    <row r="480" spans="1:7" x14ac:dyDescent="0.25">
      <c r="G480"/>
    </row>
    <row r="481" spans="7:7" x14ac:dyDescent="0.25">
      <c r="G481"/>
    </row>
    <row r="482" spans="7:7" x14ac:dyDescent="0.25">
      <c r="G482"/>
    </row>
    <row r="483" spans="7:7" x14ac:dyDescent="0.25">
      <c r="G483"/>
    </row>
    <row r="484" spans="7:7" x14ac:dyDescent="0.25">
      <c r="G484"/>
    </row>
    <row r="485" spans="7:7" x14ac:dyDescent="0.25">
      <c r="G485"/>
    </row>
    <row r="486" spans="7:7" x14ac:dyDescent="0.25">
      <c r="G486"/>
    </row>
    <row r="487" spans="7:7" x14ac:dyDescent="0.25">
      <c r="G487"/>
    </row>
    <row r="488" spans="7:7" x14ac:dyDescent="0.25">
      <c r="G488"/>
    </row>
    <row r="489" spans="7:7" x14ac:dyDescent="0.25">
      <c r="G489"/>
    </row>
    <row r="490" spans="7:7" x14ac:dyDescent="0.25">
      <c r="G490"/>
    </row>
    <row r="491" spans="7:7" x14ac:dyDescent="0.25">
      <c r="G491"/>
    </row>
  </sheetData>
  <autoFilter ref="A1:G467" xr:uid="{45999054-C044-48E7-89E3-108B441A3C02}">
    <filterColumn colId="4">
      <filters>
        <filter val="2017-CONSUMER-BB1-EU"/>
        <filter val="2017-CONSUMER-BB1-US"/>
        <filter val="2017-CONSUMER-OO1-CA"/>
        <filter val="2017-CONSUMER-OO1-CB"/>
        <filter val="2017-CONSUMER-OO1-EU"/>
        <filter val="2017-CONSUMER-OO1-US"/>
        <filter val="2017-CONSUMER-QQ1-EU"/>
        <filter val="2017-CONSUMER-WW1-CB"/>
        <filter val="2017-CONSUMER-WW1-EU"/>
        <filter val="2017-CONSUMER-WW1-US"/>
        <filter val="2017-CONSUMER-XZ1-US"/>
        <filter val="2017-CONSUMER-ZZ1-US"/>
        <filter val="2018-CONSUMER-BB1-US"/>
        <filter val="2018-CONSUMER-OO1-EU"/>
        <filter val="2018-CONSUMER-OO1-US"/>
        <filter val="2018-CONSUMER-QLS-EU"/>
        <filter val="2018-CONSUMER-QLS-US"/>
        <filter val="2018-CONSUMER-WW1-EU"/>
        <filter val="2018-CONSUMER-WW1-US"/>
        <filter val="2018-CONSUMER-XZ1-CA"/>
        <filter val="2018-CONSUMER-XZ1-US"/>
        <filter val="2018-CONSUMER-ZZ1-US"/>
        <filter val="2019-CONSUMER-BB1-US"/>
        <filter val="2019-CONSUMER-OO1-CA"/>
        <filter val="2019-CONSUMER-OO1-CB"/>
        <filter val="2019-CONSUMER-OO1-US"/>
        <filter val="2019-CONSUMER-QQ1-US"/>
        <filter val="2019-CONSUMER-WW1-CB"/>
        <filter val="2019-CONSUMER-WW1-EU"/>
        <filter val="2019-CONSUMER-WW1-US"/>
        <filter val="2019-CONSUMER-XZ1-CA"/>
        <filter val="2019-CONSUMER-XZ1-US"/>
        <filter val="2020-CONSUMER-BB1-US"/>
        <filter val="2020-CONSUMER-OO1-CA"/>
        <filter val="2020-CONSUMER-OO1-EU"/>
        <filter val="2020-CONSUMER-OO1-US"/>
        <filter val="2020-CONSUMER-QQ1-CB"/>
        <filter val="2020-CONSUMER-WW1-CB"/>
        <filter val="2020-CONSUMER-WW1-EU"/>
        <filter val="2020-CONSUMER-WW1-US"/>
        <filter val="2020-CONSUMER-XZ1-CA"/>
        <filter val="2020-CONSUMER-XZ1-US"/>
        <filter val="2021-CONSUMER-BB1-CA"/>
        <filter val="2021-CONSUMER-BB1-EU"/>
        <filter val="2021-CONSUMER-BB1-US"/>
        <filter val="2021-CONSUMER-OO1-CA"/>
        <filter val="2021-CONSUMER-OO1-EU"/>
        <filter val="2021-CONSUMER-OO1-US"/>
        <filter val="2021-CONSUMER-QQ1-EU"/>
        <filter val="2021-CONSUMER-WW1-US"/>
        <filter val="2021-CONSUMER-XZ1-CA"/>
        <filter val="2021-CONSUMER-XZ1-US"/>
        <filter val="2021-CONSUMER-ZZ1-US"/>
        <filter val="2022-CONSUMER-BB1-US"/>
        <filter val="2022-CONSUMER-OO1-CA"/>
        <filter val="2022-CONSUMER-OO1-CB"/>
        <filter val="2022-CONSUMER-OO1-US"/>
        <filter val="2022-CONSUMER-QQ1-US"/>
        <filter val="2022-CONSUMER-WW1-CB"/>
        <filter val="2022-CONSUMER-WW1-EU"/>
        <filter val="2022-CONSUMER-WW1-US"/>
        <filter val="2022-CONSUMER-XZ1-US"/>
        <filter val="2022-CONSUMER-ZZ1-CA"/>
        <filter val="2022-CONSUMER-ZZ1-US"/>
        <filter val="2023-CONSUMER-BB1-CA"/>
        <filter val="2023-CONSUMER-BB1-EU"/>
        <filter val="2023-CONSUMER-BB1-US"/>
        <filter val="2023-CONSUMER-OO1-EU"/>
        <filter val="2023-CONSUMER-OO1-US"/>
        <filter val="2023-CONSUMER-QQ1-EU"/>
        <filter val="2023-CONSUMER-WW1-EU"/>
        <filter val="2023-CONSUMER-WW1-US"/>
        <filter val="2023-CONSUMER-XZ1-US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799C-1B36-4F9E-BEB6-D7EF558F211F}">
  <dimension ref="A1:H467"/>
  <sheetViews>
    <sheetView workbookViewId="0">
      <selection activeCell="H1" activeCellId="2" sqref="B1:B1048576 G1:G1048576 H1:H1048576"/>
    </sheetView>
  </sheetViews>
  <sheetFormatPr defaultRowHeight="15" x14ac:dyDescent="0.25"/>
  <cols>
    <col min="2" max="2" width="26.7109375" bestFit="1" customWidth="1"/>
    <col min="3" max="3" width="67.140625" bestFit="1" customWidth="1"/>
    <col min="7" max="7" width="12" bestFit="1" customWidth="1"/>
    <col min="8" max="8" width="14.85546875" bestFit="1" customWidth="1"/>
  </cols>
  <sheetData>
    <row r="1" spans="1:8" x14ac:dyDescent="0.25">
      <c r="B1" t="s">
        <v>3551</v>
      </c>
      <c r="C1" t="s">
        <v>3549</v>
      </c>
      <c r="D1" t="s">
        <v>4162</v>
      </c>
      <c r="E1" t="s">
        <v>4163</v>
      </c>
      <c r="F1" t="s">
        <v>4164</v>
      </c>
      <c r="G1" t="s">
        <v>4165</v>
      </c>
      <c r="H1" t="s">
        <v>4166</v>
      </c>
    </row>
    <row r="2" spans="1:8" x14ac:dyDescent="0.25">
      <c r="A2">
        <v>121</v>
      </c>
      <c r="B2" t="s">
        <v>3903</v>
      </c>
      <c r="C2" t="s">
        <v>4167</v>
      </c>
      <c r="D2" t="s">
        <v>4168</v>
      </c>
      <c r="E2" t="s">
        <v>4169</v>
      </c>
      <c r="F2" t="s">
        <v>4170</v>
      </c>
      <c r="G2">
        <v>2341074.7858130098</v>
      </c>
      <c r="H2">
        <v>248559680.75148901</v>
      </c>
    </row>
    <row r="3" spans="1:8" x14ac:dyDescent="0.25">
      <c r="A3">
        <v>264</v>
      </c>
      <c r="B3" t="s">
        <v>3903</v>
      </c>
      <c r="C3" t="s">
        <v>4171</v>
      </c>
      <c r="D3" t="s">
        <v>4172</v>
      </c>
      <c r="E3" t="s">
        <v>4169</v>
      </c>
      <c r="F3" t="s">
        <v>4170</v>
      </c>
      <c r="G3">
        <v>404445104.58333999</v>
      </c>
      <c r="H3">
        <v>248559680.75148901</v>
      </c>
    </row>
    <row r="4" spans="1:8" x14ac:dyDescent="0.25">
      <c r="A4">
        <v>362</v>
      </c>
      <c r="B4" t="s">
        <v>3903</v>
      </c>
      <c r="C4" t="s">
        <v>4173</v>
      </c>
      <c r="D4" t="s">
        <v>4174</v>
      </c>
      <c r="E4" t="s">
        <v>4169</v>
      </c>
      <c r="F4" t="s">
        <v>4170</v>
      </c>
      <c r="G4">
        <v>90457707.238537595</v>
      </c>
      <c r="H4">
        <v>248559680.75148901</v>
      </c>
    </row>
    <row r="5" spans="1:8" x14ac:dyDescent="0.25">
      <c r="A5">
        <v>50</v>
      </c>
      <c r="B5" t="s">
        <v>3621</v>
      </c>
      <c r="C5" t="s">
        <v>4175</v>
      </c>
      <c r="D5" t="s">
        <v>4176</v>
      </c>
      <c r="E5" t="s">
        <v>4169</v>
      </c>
      <c r="F5" t="s">
        <v>4170</v>
      </c>
      <c r="G5">
        <v>10323673.3044497</v>
      </c>
      <c r="H5">
        <v>235202293</v>
      </c>
    </row>
    <row r="6" spans="1:8" x14ac:dyDescent="0.25">
      <c r="A6">
        <v>55</v>
      </c>
      <c r="B6" t="s">
        <v>3621</v>
      </c>
      <c r="C6" t="s">
        <v>4177</v>
      </c>
      <c r="D6" t="s">
        <v>4178</v>
      </c>
      <c r="E6" t="s">
        <v>4169</v>
      </c>
      <c r="F6" t="s">
        <v>4170</v>
      </c>
      <c r="G6">
        <v>17335179.916804001</v>
      </c>
      <c r="H6">
        <v>235202293</v>
      </c>
    </row>
    <row r="7" spans="1:8" x14ac:dyDescent="0.25">
      <c r="A7">
        <v>99</v>
      </c>
      <c r="B7" t="s">
        <v>3621</v>
      </c>
      <c r="C7" t="s">
        <v>4179</v>
      </c>
      <c r="D7" t="s">
        <v>4180</v>
      </c>
      <c r="E7" t="s">
        <v>4169</v>
      </c>
      <c r="F7" t="s">
        <v>4170</v>
      </c>
      <c r="G7">
        <v>14737392.520119799</v>
      </c>
      <c r="H7">
        <v>235202293</v>
      </c>
    </row>
    <row r="8" spans="1:8" x14ac:dyDescent="0.25">
      <c r="A8">
        <v>130</v>
      </c>
      <c r="B8" t="s">
        <v>3621</v>
      </c>
      <c r="C8" t="s">
        <v>4181</v>
      </c>
      <c r="D8" t="s">
        <v>4182</v>
      </c>
      <c r="E8" t="s">
        <v>4169</v>
      </c>
      <c r="F8" t="s">
        <v>4170</v>
      </c>
      <c r="G8">
        <v>1917852.82254549</v>
      </c>
      <c r="H8">
        <v>235202293</v>
      </c>
    </row>
    <row r="9" spans="1:8" x14ac:dyDescent="0.25">
      <c r="A9">
        <v>310</v>
      </c>
      <c r="B9" t="s">
        <v>3621</v>
      </c>
      <c r="C9" t="s">
        <v>4183</v>
      </c>
      <c r="D9" t="s">
        <v>4184</v>
      </c>
      <c r="E9" t="s">
        <v>4169</v>
      </c>
      <c r="F9" t="s">
        <v>4170</v>
      </c>
      <c r="G9">
        <v>2270269.1193386498</v>
      </c>
      <c r="H9">
        <v>235202293</v>
      </c>
    </row>
    <row r="10" spans="1:8" x14ac:dyDescent="0.25">
      <c r="A10">
        <v>315</v>
      </c>
      <c r="B10" t="s">
        <v>3621</v>
      </c>
      <c r="C10" t="s">
        <v>4185</v>
      </c>
      <c r="D10" t="s">
        <v>4186</v>
      </c>
      <c r="E10" t="s">
        <v>4169</v>
      </c>
      <c r="F10" t="s">
        <v>4170</v>
      </c>
      <c r="G10">
        <v>27743515.2711404</v>
      </c>
      <c r="H10">
        <v>235202293</v>
      </c>
    </row>
    <row r="11" spans="1:8" x14ac:dyDescent="0.25">
      <c r="A11">
        <v>357</v>
      </c>
      <c r="B11" t="s">
        <v>3621</v>
      </c>
      <c r="C11" t="s">
        <v>4187</v>
      </c>
      <c r="D11" t="s">
        <v>4188</v>
      </c>
      <c r="E11" t="s">
        <v>4169</v>
      </c>
      <c r="F11" t="s">
        <v>4170</v>
      </c>
      <c r="G11">
        <v>17950202.290039498</v>
      </c>
      <c r="H11">
        <v>235202293</v>
      </c>
    </row>
    <row r="12" spans="1:8" x14ac:dyDescent="0.25">
      <c r="A12">
        <v>422</v>
      </c>
      <c r="B12" t="s">
        <v>3621</v>
      </c>
      <c r="C12" t="s">
        <v>4189</v>
      </c>
      <c r="D12" t="s">
        <v>4190</v>
      </c>
      <c r="E12" t="s">
        <v>4169</v>
      </c>
      <c r="F12" t="s">
        <v>4170</v>
      </c>
      <c r="G12">
        <v>11924834.067503599</v>
      </c>
      <c r="H12">
        <v>235202293</v>
      </c>
    </row>
    <row r="13" spans="1:8" x14ac:dyDescent="0.25">
      <c r="A13">
        <v>441</v>
      </c>
      <c r="B13" t="s">
        <v>3621</v>
      </c>
      <c r="C13" t="s">
        <v>4191</v>
      </c>
      <c r="D13" t="s">
        <v>4192</v>
      </c>
      <c r="E13" t="s">
        <v>4169</v>
      </c>
      <c r="F13" t="s">
        <v>4170</v>
      </c>
      <c r="G13">
        <v>20927362.858742401</v>
      </c>
      <c r="H13">
        <v>235202293</v>
      </c>
    </row>
    <row r="14" spans="1:8" x14ac:dyDescent="0.25">
      <c r="A14">
        <v>452</v>
      </c>
      <c r="B14" t="s">
        <v>3621</v>
      </c>
      <c r="C14" t="s">
        <v>4193</v>
      </c>
      <c r="D14" t="s">
        <v>4194</v>
      </c>
      <c r="E14" t="s">
        <v>4169</v>
      </c>
      <c r="F14" t="s">
        <v>4170</v>
      </c>
      <c r="G14">
        <v>23897663.063958298</v>
      </c>
      <c r="H14">
        <v>235202293</v>
      </c>
    </row>
    <row r="15" spans="1:8" x14ac:dyDescent="0.25">
      <c r="A15">
        <v>92</v>
      </c>
      <c r="B15" t="s">
        <v>3609</v>
      </c>
      <c r="C15" t="s">
        <v>4195</v>
      </c>
      <c r="D15" t="s">
        <v>4196</v>
      </c>
      <c r="E15" t="s">
        <v>4169</v>
      </c>
      <c r="F15" t="s">
        <v>4170</v>
      </c>
      <c r="G15">
        <v>12688623.5225274</v>
      </c>
      <c r="H15">
        <v>226362739.153855</v>
      </c>
    </row>
    <row r="16" spans="1:8" x14ac:dyDescent="0.25">
      <c r="A16">
        <v>95</v>
      </c>
      <c r="B16" t="s">
        <v>3609</v>
      </c>
      <c r="C16" t="s">
        <v>4197</v>
      </c>
      <c r="D16" t="s">
        <v>4198</v>
      </c>
      <c r="E16" t="s">
        <v>4169</v>
      </c>
      <c r="F16" t="s">
        <v>4170</v>
      </c>
      <c r="G16">
        <v>9254501.6327838991</v>
      </c>
      <c r="H16">
        <v>226362739.153855</v>
      </c>
    </row>
    <row r="17" spans="1:8" x14ac:dyDescent="0.25">
      <c r="A17">
        <v>119</v>
      </c>
      <c r="B17" t="s">
        <v>3609</v>
      </c>
      <c r="C17" t="s">
        <v>4199</v>
      </c>
      <c r="D17" t="s">
        <v>4200</v>
      </c>
      <c r="E17" t="s">
        <v>4169</v>
      </c>
      <c r="F17" t="s">
        <v>4170</v>
      </c>
      <c r="G17">
        <v>12105886.8435876</v>
      </c>
      <c r="H17">
        <v>226362739.153855</v>
      </c>
    </row>
    <row r="18" spans="1:8" x14ac:dyDescent="0.25">
      <c r="A18">
        <v>291</v>
      </c>
      <c r="B18" t="s">
        <v>3609</v>
      </c>
      <c r="C18" t="s">
        <v>4201</v>
      </c>
      <c r="D18" t="s">
        <v>4202</v>
      </c>
      <c r="E18" t="s">
        <v>4169</v>
      </c>
      <c r="F18" t="s">
        <v>4170</v>
      </c>
      <c r="G18">
        <v>12086412.7818169</v>
      </c>
      <c r="H18">
        <v>226362739.153855</v>
      </c>
    </row>
    <row r="19" spans="1:8" x14ac:dyDescent="0.25">
      <c r="A19">
        <v>240</v>
      </c>
      <c r="B19" t="s">
        <v>3825</v>
      </c>
      <c r="C19" t="s">
        <v>4203</v>
      </c>
      <c r="D19" t="s">
        <v>4204</v>
      </c>
      <c r="E19" t="s">
        <v>4169</v>
      </c>
      <c r="F19" t="s">
        <v>4170</v>
      </c>
      <c r="G19">
        <v>112184015.699424</v>
      </c>
      <c r="H19">
        <v>216427506.98863101</v>
      </c>
    </row>
    <row r="20" spans="1:8" x14ac:dyDescent="0.25">
      <c r="A20">
        <v>446</v>
      </c>
      <c r="B20" t="s">
        <v>3825</v>
      </c>
      <c r="C20" t="s">
        <v>4205</v>
      </c>
      <c r="D20" t="s">
        <v>4206</v>
      </c>
      <c r="E20" t="s">
        <v>4169</v>
      </c>
      <c r="F20" t="s">
        <v>4170</v>
      </c>
      <c r="G20">
        <v>1107623.15891219</v>
      </c>
      <c r="H20">
        <v>216427506.98863101</v>
      </c>
    </row>
    <row r="21" spans="1:8" x14ac:dyDescent="0.25">
      <c r="A21">
        <v>457</v>
      </c>
      <c r="B21" t="s">
        <v>3825</v>
      </c>
      <c r="C21" t="s">
        <v>4207</v>
      </c>
      <c r="D21" t="s">
        <v>4208</v>
      </c>
      <c r="E21" t="s">
        <v>4169</v>
      </c>
      <c r="F21" t="s">
        <v>4170</v>
      </c>
      <c r="G21">
        <v>147560795.34786099</v>
      </c>
      <c r="H21">
        <v>216427506.98863101</v>
      </c>
    </row>
    <row r="22" spans="1:8" x14ac:dyDescent="0.25">
      <c r="A22">
        <v>101</v>
      </c>
      <c r="B22" t="s">
        <v>3723</v>
      </c>
      <c r="C22" t="s">
        <v>4209</v>
      </c>
      <c r="D22" t="s">
        <v>4210</v>
      </c>
      <c r="E22" t="s">
        <v>4169</v>
      </c>
      <c r="F22" t="s">
        <v>4170</v>
      </c>
      <c r="G22">
        <v>12046374.8908759</v>
      </c>
      <c r="H22">
        <v>159838023.45796299</v>
      </c>
    </row>
    <row r="23" spans="1:8" x14ac:dyDescent="0.25">
      <c r="A23">
        <v>144</v>
      </c>
      <c r="B23" t="s">
        <v>3723</v>
      </c>
      <c r="C23" t="s">
        <v>4211</v>
      </c>
      <c r="D23" t="s">
        <v>4212</v>
      </c>
      <c r="E23" t="s">
        <v>4169</v>
      </c>
      <c r="F23" t="s">
        <v>4170</v>
      </c>
      <c r="G23">
        <v>2078225.89262989</v>
      </c>
      <c r="H23">
        <v>159838023.45796299</v>
      </c>
    </row>
    <row r="24" spans="1:8" x14ac:dyDescent="0.25">
      <c r="A24">
        <v>199</v>
      </c>
      <c r="B24" t="s">
        <v>3723</v>
      </c>
      <c r="C24" t="s">
        <v>4213</v>
      </c>
      <c r="D24" t="s">
        <v>4214</v>
      </c>
      <c r="E24" t="s">
        <v>4169</v>
      </c>
      <c r="F24" t="s">
        <v>4170</v>
      </c>
      <c r="G24">
        <v>847150.10601515998</v>
      </c>
      <c r="H24">
        <v>159838023.45796299</v>
      </c>
    </row>
    <row r="25" spans="1:8" x14ac:dyDescent="0.25">
      <c r="A25">
        <v>289</v>
      </c>
      <c r="B25" t="s">
        <v>3723</v>
      </c>
      <c r="C25" t="s">
        <v>4215</v>
      </c>
      <c r="D25" t="s">
        <v>4216</v>
      </c>
      <c r="E25" t="s">
        <v>4169</v>
      </c>
      <c r="F25" t="s">
        <v>4170</v>
      </c>
      <c r="G25">
        <v>10054354.613634</v>
      </c>
      <c r="H25">
        <v>159838023.45796299</v>
      </c>
    </row>
    <row r="26" spans="1:8" x14ac:dyDescent="0.25">
      <c r="A26">
        <v>399</v>
      </c>
      <c r="B26" t="s">
        <v>3723</v>
      </c>
      <c r="C26" t="s">
        <v>4217</v>
      </c>
      <c r="D26" t="s">
        <v>4218</v>
      </c>
      <c r="E26" t="s">
        <v>4169</v>
      </c>
      <c r="F26" t="s">
        <v>4170</v>
      </c>
      <c r="G26">
        <v>1600375.5182918201</v>
      </c>
      <c r="H26">
        <v>159838023.45796299</v>
      </c>
    </row>
    <row r="27" spans="1:8" x14ac:dyDescent="0.25">
      <c r="A27">
        <v>419</v>
      </c>
      <c r="B27" t="s">
        <v>3723</v>
      </c>
      <c r="C27" t="s">
        <v>4219</v>
      </c>
      <c r="D27" t="s">
        <v>4220</v>
      </c>
      <c r="E27" t="s">
        <v>4169</v>
      </c>
      <c r="F27" t="s">
        <v>4170</v>
      </c>
      <c r="G27">
        <v>21917508.864282899</v>
      </c>
      <c r="H27">
        <v>159838023.45796299</v>
      </c>
    </row>
    <row r="28" spans="1:8" x14ac:dyDescent="0.25">
      <c r="A28">
        <v>29</v>
      </c>
      <c r="B28" t="s">
        <v>3567</v>
      </c>
      <c r="C28" t="s">
        <v>4221</v>
      </c>
      <c r="D28" t="s">
        <v>4222</v>
      </c>
      <c r="E28" t="s">
        <v>4169</v>
      </c>
      <c r="F28" t="s">
        <v>4170</v>
      </c>
      <c r="G28">
        <v>49336993.141742803</v>
      </c>
      <c r="H28">
        <v>159646223.74818599</v>
      </c>
    </row>
    <row r="29" spans="1:8" x14ac:dyDescent="0.25">
      <c r="A29">
        <v>109</v>
      </c>
      <c r="B29" t="s">
        <v>3567</v>
      </c>
      <c r="C29" t="s">
        <v>4223</v>
      </c>
      <c r="D29" t="s">
        <v>4224</v>
      </c>
      <c r="E29" t="s">
        <v>4169</v>
      </c>
      <c r="F29" t="s">
        <v>4170</v>
      </c>
      <c r="G29">
        <v>28910868.510570999</v>
      </c>
      <c r="H29">
        <v>159646223.74818599</v>
      </c>
    </row>
    <row r="30" spans="1:8" x14ac:dyDescent="0.25">
      <c r="A30">
        <v>123</v>
      </c>
      <c r="B30" t="s">
        <v>3567</v>
      </c>
      <c r="C30" t="s">
        <v>4225</v>
      </c>
      <c r="D30" t="s">
        <v>4226</v>
      </c>
      <c r="E30" t="s">
        <v>4169</v>
      </c>
      <c r="F30" t="s">
        <v>4170</v>
      </c>
      <c r="G30">
        <v>108903136.62999301</v>
      </c>
      <c r="H30">
        <v>159646223.74818599</v>
      </c>
    </row>
    <row r="31" spans="1:8" x14ac:dyDescent="0.25">
      <c r="A31">
        <v>232</v>
      </c>
      <c r="B31" t="s">
        <v>3567</v>
      </c>
      <c r="C31" t="s">
        <v>4227</v>
      </c>
      <c r="D31" t="s">
        <v>4228</v>
      </c>
      <c r="E31" t="s">
        <v>4169</v>
      </c>
      <c r="F31" t="s">
        <v>4170</v>
      </c>
      <c r="G31">
        <v>41946748.904798999</v>
      </c>
      <c r="H31">
        <v>159646223.74818599</v>
      </c>
    </row>
    <row r="32" spans="1:8" x14ac:dyDescent="0.25">
      <c r="A32">
        <v>255</v>
      </c>
      <c r="B32" t="s">
        <v>3567</v>
      </c>
      <c r="C32" t="s">
        <v>4229</v>
      </c>
      <c r="D32" t="s">
        <v>4230</v>
      </c>
      <c r="E32" t="s">
        <v>4169</v>
      </c>
      <c r="F32" t="s">
        <v>4170</v>
      </c>
      <c r="G32">
        <v>9161976.8697183598</v>
      </c>
      <c r="H32">
        <v>159646223.74818599</v>
      </c>
    </row>
    <row r="33" spans="1:8" x14ac:dyDescent="0.25">
      <c r="A33">
        <v>273</v>
      </c>
      <c r="B33" t="s">
        <v>3567</v>
      </c>
      <c r="C33" t="s">
        <v>4231</v>
      </c>
      <c r="D33" t="s">
        <v>4232</v>
      </c>
      <c r="E33" t="s">
        <v>4169</v>
      </c>
      <c r="F33" t="s">
        <v>4170</v>
      </c>
      <c r="G33">
        <v>10359291.5715841</v>
      </c>
      <c r="H33">
        <v>159646223.74818599</v>
      </c>
    </row>
    <row r="34" spans="1:8" x14ac:dyDescent="0.25">
      <c r="A34">
        <v>306</v>
      </c>
      <c r="B34" t="s">
        <v>3567</v>
      </c>
      <c r="C34" t="s">
        <v>4233</v>
      </c>
      <c r="D34" t="s">
        <v>4234</v>
      </c>
      <c r="E34" t="s">
        <v>4169</v>
      </c>
      <c r="F34" t="s">
        <v>4170</v>
      </c>
      <c r="G34">
        <v>2752420.1343179098</v>
      </c>
      <c r="H34">
        <v>159646223.74818599</v>
      </c>
    </row>
    <row r="35" spans="1:8" x14ac:dyDescent="0.25">
      <c r="A35">
        <v>364</v>
      </c>
      <c r="B35" t="s">
        <v>3567</v>
      </c>
      <c r="C35" t="s">
        <v>4235</v>
      </c>
      <c r="D35" t="s">
        <v>4236</v>
      </c>
      <c r="E35" t="s">
        <v>4169</v>
      </c>
      <c r="F35" t="s">
        <v>4170</v>
      </c>
      <c r="G35">
        <v>23914009.6762027</v>
      </c>
      <c r="H35">
        <v>159646223.74818599</v>
      </c>
    </row>
    <row r="36" spans="1:8" x14ac:dyDescent="0.25">
      <c r="A36">
        <v>20</v>
      </c>
      <c r="B36" t="s">
        <v>3715</v>
      </c>
      <c r="C36" t="s">
        <v>4237</v>
      </c>
      <c r="D36" t="s">
        <v>4238</v>
      </c>
      <c r="E36" t="s">
        <v>4169</v>
      </c>
      <c r="F36" t="s">
        <v>4170</v>
      </c>
      <c r="G36">
        <v>13878055.631955599</v>
      </c>
      <c r="H36">
        <v>153196999.43472299</v>
      </c>
    </row>
    <row r="37" spans="1:8" x14ac:dyDescent="0.25">
      <c r="A37">
        <v>53</v>
      </c>
      <c r="B37" t="s">
        <v>3715</v>
      </c>
      <c r="C37" t="s">
        <v>4239</v>
      </c>
      <c r="D37" t="s">
        <v>4240</v>
      </c>
      <c r="E37" t="s">
        <v>4169</v>
      </c>
      <c r="F37" t="s">
        <v>4170</v>
      </c>
      <c r="G37">
        <v>5105424.8767551202</v>
      </c>
      <c r="H37">
        <v>153196999.43472299</v>
      </c>
    </row>
    <row r="38" spans="1:8" x14ac:dyDescent="0.25">
      <c r="A38">
        <v>295</v>
      </c>
      <c r="B38" t="s">
        <v>3715</v>
      </c>
      <c r="C38" t="s">
        <v>4241</v>
      </c>
      <c r="D38" t="s">
        <v>4242</v>
      </c>
      <c r="E38" t="s">
        <v>4169</v>
      </c>
      <c r="F38" t="s">
        <v>4170</v>
      </c>
      <c r="G38">
        <v>27007498.197264899</v>
      </c>
      <c r="H38">
        <v>153196999.43472299</v>
      </c>
    </row>
    <row r="39" spans="1:8" x14ac:dyDescent="0.25">
      <c r="A39">
        <v>355</v>
      </c>
      <c r="B39" t="s">
        <v>3875</v>
      </c>
      <c r="C39" t="s">
        <v>4243</v>
      </c>
      <c r="D39" t="s">
        <v>4244</v>
      </c>
      <c r="E39" t="s">
        <v>4169</v>
      </c>
      <c r="F39" t="s">
        <v>4170</v>
      </c>
      <c r="G39">
        <v>570088358.90512395</v>
      </c>
      <c r="H39">
        <v>152508388.52226999</v>
      </c>
    </row>
    <row r="40" spans="1:8" x14ac:dyDescent="0.25">
      <c r="A40">
        <v>455</v>
      </c>
      <c r="B40" t="s">
        <v>3875</v>
      </c>
      <c r="C40" t="s">
        <v>4245</v>
      </c>
      <c r="D40" t="s">
        <v>4246</v>
      </c>
      <c r="E40" t="s">
        <v>4169</v>
      </c>
      <c r="F40" t="s">
        <v>4170</v>
      </c>
      <c r="G40">
        <v>4902394.3858100399</v>
      </c>
      <c r="H40">
        <v>152508388.52226999</v>
      </c>
    </row>
    <row r="41" spans="1:8" x14ac:dyDescent="0.25">
      <c r="A41">
        <v>0</v>
      </c>
      <c r="B41" t="s">
        <v>3586</v>
      </c>
      <c r="C41" t="s">
        <v>4247</v>
      </c>
      <c r="D41" t="s">
        <v>4248</v>
      </c>
      <c r="E41" t="s">
        <v>4169</v>
      </c>
      <c r="F41" t="s">
        <v>4170</v>
      </c>
      <c r="G41">
        <v>5874048.7413301496</v>
      </c>
      <c r="H41">
        <v>148007171.939549</v>
      </c>
    </row>
    <row r="42" spans="1:8" x14ac:dyDescent="0.25">
      <c r="A42">
        <v>168</v>
      </c>
      <c r="B42" t="s">
        <v>3586</v>
      </c>
      <c r="C42" t="s">
        <v>4249</v>
      </c>
      <c r="D42" t="s">
        <v>4250</v>
      </c>
      <c r="E42" t="s">
        <v>4169</v>
      </c>
      <c r="F42" t="s">
        <v>4170</v>
      </c>
      <c r="G42">
        <v>3796746.3677745298</v>
      </c>
      <c r="H42">
        <v>148007171.939549</v>
      </c>
    </row>
    <row r="43" spans="1:8" x14ac:dyDescent="0.25">
      <c r="A43">
        <v>229</v>
      </c>
      <c r="B43" t="s">
        <v>3586</v>
      </c>
      <c r="C43" t="s">
        <v>4251</v>
      </c>
      <c r="D43" t="s">
        <v>4252</v>
      </c>
      <c r="E43" t="s">
        <v>4169</v>
      </c>
      <c r="F43" t="s">
        <v>4170</v>
      </c>
      <c r="G43">
        <v>10256221.589242499</v>
      </c>
      <c r="H43">
        <v>148007171.939549</v>
      </c>
    </row>
    <row r="44" spans="1:8" x14ac:dyDescent="0.25">
      <c r="A44">
        <v>258</v>
      </c>
      <c r="B44" t="s">
        <v>3586</v>
      </c>
      <c r="C44" t="s">
        <v>4253</v>
      </c>
      <c r="D44" t="s">
        <v>4254</v>
      </c>
      <c r="E44" t="s">
        <v>4169</v>
      </c>
      <c r="F44" t="s">
        <v>4170</v>
      </c>
      <c r="G44">
        <v>6548401.22089577</v>
      </c>
      <c r="H44">
        <v>148007171.939549</v>
      </c>
    </row>
    <row r="45" spans="1:8" x14ac:dyDescent="0.25">
      <c r="A45">
        <v>383</v>
      </c>
      <c r="B45" t="s">
        <v>3586</v>
      </c>
      <c r="C45" t="s">
        <v>4255</v>
      </c>
      <c r="D45" t="s">
        <v>4256</v>
      </c>
      <c r="E45" t="s">
        <v>4169</v>
      </c>
      <c r="F45" t="s">
        <v>4170</v>
      </c>
      <c r="G45">
        <v>346164680.54764599</v>
      </c>
      <c r="H45">
        <v>148007171.939549</v>
      </c>
    </row>
    <row r="46" spans="1:8" x14ac:dyDescent="0.25">
      <c r="A46">
        <v>187</v>
      </c>
      <c r="B46" t="s">
        <v>3855</v>
      </c>
      <c r="C46" t="s">
        <v>4257</v>
      </c>
      <c r="D46" t="s">
        <v>4258</v>
      </c>
      <c r="E46" t="s">
        <v>4169</v>
      </c>
      <c r="F46" t="s">
        <v>4170</v>
      </c>
      <c r="G46">
        <v>7109225.66846353</v>
      </c>
      <c r="H46">
        <v>140990912.823383</v>
      </c>
    </row>
    <row r="47" spans="1:8" x14ac:dyDescent="0.25">
      <c r="A47">
        <v>47</v>
      </c>
      <c r="B47" t="s">
        <v>3625</v>
      </c>
      <c r="C47" t="s">
        <v>4259</v>
      </c>
      <c r="D47" t="s">
        <v>4260</v>
      </c>
      <c r="E47" t="s">
        <v>4169</v>
      </c>
      <c r="F47" t="s">
        <v>4170</v>
      </c>
      <c r="G47">
        <v>14460682.920194499</v>
      </c>
      <c r="H47">
        <v>139672661.35235801</v>
      </c>
    </row>
    <row r="48" spans="1:8" x14ac:dyDescent="0.25">
      <c r="A48">
        <v>49</v>
      </c>
      <c r="B48" t="s">
        <v>3625</v>
      </c>
      <c r="C48" t="s">
        <v>4261</v>
      </c>
      <c r="D48" t="s">
        <v>4262</v>
      </c>
      <c r="E48" t="s">
        <v>4169</v>
      </c>
      <c r="F48" t="s">
        <v>4170</v>
      </c>
      <c r="G48">
        <v>29483656.421490099</v>
      </c>
      <c r="H48">
        <v>139672661.35235801</v>
      </c>
    </row>
    <row r="49" spans="1:8" x14ac:dyDescent="0.25">
      <c r="A49">
        <v>80</v>
      </c>
      <c r="B49" t="s">
        <v>3625</v>
      </c>
      <c r="C49" t="s">
        <v>4263</v>
      </c>
      <c r="D49" t="s">
        <v>4264</v>
      </c>
      <c r="E49" t="s">
        <v>4169</v>
      </c>
      <c r="F49" t="s">
        <v>4170</v>
      </c>
      <c r="G49">
        <v>26911154.300235</v>
      </c>
      <c r="H49">
        <v>139672661.35235801</v>
      </c>
    </row>
    <row r="50" spans="1:8" x14ac:dyDescent="0.25">
      <c r="A50">
        <v>133</v>
      </c>
      <c r="B50" t="s">
        <v>3625</v>
      </c>
      <c r="C50" t="s">
        <v>4265</v>
      </c>
      <c r="D50" t="s">
        <v>4266</v>
      </c>
      <c r="E50" t="s">
        <v>4169</v>
      </c>
      <c r="F50" t="s">
        <v>4170</v>
      </c>
      <c r="G50">
        <v>12399211.010450101</v>
      </c>
      <c r="H50">
        <v>139672661.35235801</v>
      </c>
    </row>
    <row r="51" spans="1:8" x14ac:dyDescent="0.25">
      <c r="A51">
        <v>147</v>
      </c>
      <c r="B51" t="s">
        <v>3625</v>
      </c>
      <c r="C51" t="s">
        <v>4267</v>
      </c>
      <c r="D51" t="s">
        <v>4268</v>
      </c>
      <c r="E51" t="s">
        <v>4169</v>
      </c>
      <c r="F51" t="s">
        <v>4170</v>
      </c>
      <c r="G51">
        <v>11496992.094299</v>
      </c>
      <c r="H51">
        <v>139672661.35235801</v>
      </c>
    </row>
    <row r="52" spans="1:8" x14ac:dyDescent="0.25">
      <c r="A52">
        <v>281</v>
      </c>
      <c r="B52" t="s">
        <v>3625</v>
      </c>
      <c r="C52" t="s">
        <v>4269</v>
      </c>
      <c r="D52" t="s">
        <v>4270</v>
      </c>
      <c r="E52" t="s">
        <v>4169</v>
      </c>
      <c r="F52" t="s">
        <v>4170</v>
      </c>
      <c r="G52">
        <v>3131392.6719350801</v>
      </c>
      <c r="H52">
        <v>139672661.35235801</v>
      </c>
    </row>
    <row r="53" spans="1:8" x14ac:dyDescent="0.25">
      <c r="A53">
        <v>302</v>
      </c>
      <c r="B53" t="s">
        <v>3625</v>
      </c>
      <c r="C53" t="s">
        <v>4271</v>
      </c>
      <c r="D53" t="s">
        <v>4272</v>
      </c>
      <c r="E53" t="s">
        <v>4169</v>
      </c>
      <c r="F53" t="s">
        <v>4170</v>
      </c>
      <c r="G53">
        <v>25272876.579309601</v>
      </c>
      <c r="H53">
        <v>139672661.35235801</v>
      </c>
    </row>
    <row r="54" spans="1:8" x14ac:dyDescent="0.25">
      <c r="A54">
        <v>424</v>
      </c>
      <c r="B54" t="s">
        <v>3625</v>
      </c>
      <c r="C54" t="s">
        <v>4273</v>
      </c>
      <c r="D54" t="s">
        <v>4274</v>
      </c>
      <c r="E54" t="s">
        <v>4169</v>
      </c>
      <c r="F54" t="s">
        <v>4170</v>
      </c>
      <c r="G54">
        <v>9940577.8140233308</v>
      </c>
      <c r="H54">
        <v>139672661.35235801</v>
      </c>
    </row>
    <row r="55" spans="1:8" x14ac:dyDescent="0.25">
      <c r="A55">
        <v>433</v>
      </c>
      <c r="B55" t="s">
        <v>3625</v>
      </c>
      <c r="C55" t="s">
        <v>4275</v>
      </c>
      <c r="D55" t="s">
        <v>4276</v>
      </c>
      <c r="E55" t="s">
        <v>4169</v>
      </c>
      <c r="F55" t="s">
        <v>4170</v>
      </c>
      <c r="G55">
        <v>54869825.867312603</v>
      </c>
      <c r="H55">
        <v>139672661.35235801</v>
      </c>
    </row>
    <row r="56" spans="1:8" x14ac:dyDescent="0.25">
      <c r="A56">
        <v>449</v>
      </c>
      <c r="B56" t="s">
        <v>3625</v>
      </c>
      <c r="C56" t="s">
        <v>4277</v>
      </c>
      <c r="D56" t="s">
        <v>4278</v>
      </c>
      <c r="E56" t="s">
        <v>4169</v>
      </c>
      <c r="F56" t="s">
        <v>4170</v>
      </c>
      <c r="G56">
        <v>7351363.3606120301</v>
      </c>
      <c r="H56">
        <v>139672661.35235801</v>
      </c>
    </row>
    <row r="57" spans="1:8" x14ac:dyDescent="0.25">
      <c r="A57">
        <v>465</v>
      </c>
      <c r="B57" t="s">
        <v>3625</v>
      </c>
      <c r="C57" t="s">
        <v>4279</v>
      </c>
      <c r="D57" t="s">
        <v>4280</v>
      </c>
      <c r="E57" t="s">
        <v>4169</v>
      </c>
      <c r="F57" t="s">
        <v>4170</v>
      </c>
      <c r="G57">
        <v>21240906.490992699</v>
      </c>
      <c r="H57">
        <v>139672661.35235801</v>
      </c>
    </row>
    <row r="58" spans="1:8" x14ac:dyDescent="0.25">
      <c r="A58">
        <v>120</v>
      </c>
      <c r="B58" t="s">
        <v>3899</v>
      </c>
      <c r="C58" t="s">
        <v>4281</v>
      </c>
      <c r="D58" t="s">
        <v>4168</v>
      </c>
      <c r="E58" t="s">
        <v>4169</v>
      </c>
      <c r="F58" t="s">
        <v>4170</v>
      </c>
      <c r="G58">
        <v>1109319.8200185399</v>
      </c>
      <c r="H58">
        <v>125524653.059774</v>
      </c>
    </row>
    <row r="59" spans="1:8" x14ac:dyDescent="0.25">
      <c r="A59">
        <v>267</v>
      </c>
      <c r="B59" t="s">
        <v>3899</v>
      </c>
      <c r="C59" t="s">
        <v>4282</v>
      </c>
      <c r="D59" t="s">
        <v>4172</v>
      </c>
      <c r="E59" t="s">
        <v>4169</v>
      </c>
      <c r="F59" t="s">
        <v>4170</v>
      </c>
      <c r="G59">
        <v>202390385.48415399</v>
      </c>
      <c r="H59">
        <v>125524653.059774</v>
      </c>
    </row>
    <row r="60" spans="1:8" x14ac:dyDescent="0.25">
      <c r="A60">
        <v>361</v>
      </c>
      <c r="B60" t="s">
        <v>3899</v>
      </c>
      <c r="C60" t="s">
        <v>4283</v>
      </c>
      <c r="D60" t="s">
        <v>4174</v>
      </c>
      <c r="E60" t="s">
        <v>4169</v>
      </c>
      <c r="F60" t="s">
        <v>4170</v>
      </c>
      <c r="G60">
        <v>36811150.787015103</v>
      </c>
      <c r="H60">
        <v>125524653.059774</v>
      </c>
    </row>
    <row r="61" spans="1:8" x14ac:dyDescent="0.25">
      <c r="A61">
        <v>426</v>
      </c>
      <c r="B61" t="s">
        <v>4087</v>
      </c>
      <c r="C61" t="s">
        <v>4284</v>
      </c>
      <c r="D61" t="s">
        <v>4285</v>
      </c>
      <c r="E61" t="s">
        <v>4169</v>
      </c>
      <c r="F61" t="s">
        <v>4170</v>
      </c>
      <c r="G61">
        <v>1641692.0635546099</v>
      </c>
      <c r="H61">
        <v>115647428.787459</v>
      </c>
    </row>
    <row r="62" spans="1:8" x14ac:dyDescent="0.25">
      <c r="A62">
        <v>243</v>
      </c>
      <c r="B62" t="s">
        <v>3827</v>
      </c>
      <c r="C62" t="s">
        <v>4286</v>
      </c>
      <c r="D62" t="s">
        <v>4204</v>
      </c>
      <c r="E62" t="s">
        <v>4169</v>
      </c>
      <c r="F62" t="s">
        <v>4170</v>
      </c>
      <c r="G62">
        <v>51386544.631200202</v>
      </c>
      <c r="H62">
        <v>113740207.835118</v>
      </c>
    </row>
    <row r="63" spans="1:8" x14ac:dyDescent="0.25">
      <c r="A63">
        <v>447</v>
      </c>
      <c r="B63" t="s">
        <v>3827</v>
      </c>
      <c r="C63" t="s">
        <v>4287</v>
      </c>
      <c r="D63" t="s">
        <v>4206</v>
      </c>
      <c r="E63" t="s">
        <v>4169</v>
      </c>
      <c r="F63" t="s">
        <v>4170</v>
      </c>
      <c r="G63">
        <v>526113.00139283796</v>
      </c>
      <c r="H63">
        <v>113740207.835118</v>
      </c>
    </row>
    <row r="64" spans="1:8" x14ac:dyDescent="0.25">
      <c r="A64">
        <v>456</v>
      </c>
      <c r="B64" t="s">
        <v>3827</v>
      </c>
      <c r="C64" t="s">
        <v>4288</v>
      </c>
      <c r="D64" t="s">
        <v>4208</v>
      </c>
      <c r="E64" t="s">
        <v>4169</v>
      </c>
      <c r="F64" t="s">
        <v>4170</v>
      </c>
      <c r="G64">
        <v>71960579.580213502</v>
      </c>
      <c r="H64">
        <v>113740207.835118</v>
      </c>
    </row>
    <row r="65" spans="1:8" x14ac:dyDescent="0.25">
      <c r="A65">
        <v>22</v>
      </c>
      <c r="B65" t="s">
        <v>3711</v>
      </c>
      <c r="C65" t="s">
        <v>4289</v>
      </c>
      <c r="D65" t="s">
        <v>4238</v>
      </c>
      <c r="E65" t="s">
        <v>4169</v>
      </c>
      <c r="F65" t="s">
        <v>4170</v>
      </c>
      <c r="G65">
        <v>6039490.28610148</v>
      </c>
      <c r="H65">
        <v>107065359.451557</v>
      </c>
    </row>
    <row r="66" spans="1:8" x14ac:dyDescent="0.25">
      <c r="A66">
        <v>52</v>
      </c>
      <c r="B66" t="s">
        <v>3711</v>
      </c>
      <c r="C66" t="s">
        <v>4290</v>
      </c>
      <c r="D66" t="s">
        <v>4240</v>
      </c>
      <c r="E66" t="s">
        <v>4169</v>
      </c>
      <c r="F66" t="s">
        <v>4170</v>
      </c>
      <c r="G66">
        <v>2844208.6848446401</v>
      </c>
      <c r="H66">
        <v>107065359.451557</v>
      </c>
    </row>
    <row r="67" spans="1:8" x14ac:dyDescent="0.25">
      <c r="A67">
        <v>293</v>
      </c>
      <c r="B67" t="s">
        <v>3711</v>
      </c>
      <c r="C67" t="s">
        <v>4291</v>
      </c>
      <c r="D67" t="s">
        <v>4242</v>
      </c>
      <c r="E67" t="s">
        <v>4169</v>
      </c>
      <c r="F67" t="s">
        <v>4170</v>
      </c>
      <c r="G67">
        <v>14263052.1455412</v>
      </c>
      <c r="H67">
        <v>107065359.451557</v>
      </c>
    </row>
    <row r="68" spans="1:8" x14ac:dyDescent="0.25">
      <c r="A68">
        <v>15</v>
      </c>
      <c r="B68" t="s">
        <v>3649</v>
      </c>
      <c r="C68" t="s">
        <v>4292</v>
      </c>
      <c r="D68" t="s">
        <v>4293</v>
      </c>
      <c r="E68" t="s">
        <v>4169</v>
      </c>
      <c r="F68" t="s">
        <v>4170</v>
      </c>
      <c r="G68">
        <v>1952300.7254200999</v>
      </c>
      <c r="H68">
        <v>106389196.352901</v>
      </c>
    </row>
    <row r="69" spans="1:8" x14ac:dyDescent="0.25">
      <c r="A69">
        <v>25</v>
      </c>
      <c r="B69" t="s">
        <v>3649</v>
      </c>
      <c r="C69" t="s">
        <v>4294</v>
      </c>
      <c r="D69" t="s">
        <v>4295</v>
      </c>
      <c r="E69" t="s">
        <v>4169</v>
      </c>
      <c r="F69" t="s">
        <v>4170</v>
      </c>
      <c r="G69">
        <v>2864828.4017872801</v>
      </c>
      <c r="H69">
        <v>106389196.352901</v>
      </c>
    </row>
    <row r="70" spans="1:8" x14ac:dyDescent="0.25">
      <c r="A70">
        <v>77</v>
      </c>
      <c r="B70" t="s">
        <v>3649</v>
      </c>
      <c r="C70" t="s">
        <v>4296</v>
      </c>
      <c r="D70" t="s">
        <v>4297</v>
      </c>
      <c r="E70" t="s">
        <v>4169</v>
      </c>
      <c r="F70" t="s">
        <v>4170</v>
      </c>
      <c r="G70">
        <v>12972031.8225538</v>
      </c>
      <c r="H70">
        <v>106389196.352901</v>
      </c>
    </row>
    <row r="71" spans="1:8" x14ac:dyDescent="0.25">
      <c r="A71">
        <v>87</v>
      </c>
      <c r="B71" t="s">
        <v>3649</v>
      </c>
      <c r="C71" t="s">
        <v>4298</v>
      </c>
      <c r="D71" t="s">
        <v>4299</v>
      </c>
      <c r="E71" t="s">
        <v>4169</v>
      </c>
      <c r="F71" t="s">
        <v>4170</v>
      </c>
      <c r="G71">
        <v>3608442.8009768301</v>
      </c>
      <c r="H71">
        <v>106389196.352901</v>
      </c>
    </row>
    <row r="72" spans="1:8" x14ac:dyDescent="0.25">
      <c r="A72">
        <v>90</v>
      </c>
      <c r="B72" t="s">
        <v>3649</v>
      </c>
      <c r="C72" t="s">
        <v>4300</v>
      </c>
      <c r="D72" t="s">
        <v>4301</v>
      </c>
      <c r="E72" t="s">
        <v>4169</v>
      </c>
      <c r="F72" t="s">
        <v>4170</v>
      </c>
      <c r="G72">
        <v>1840438.6069328701</v>
      </c>
      <c r="H72">
        <v>106389196.352901</v>
      </c>
    </row>
    <row r="73" spans="1:8" x14ac:dyDescent="0.25">
      <c r="A73">
        <v>126</v>
      </c>
      <c r="B73" t="s">
        <v>3649</v>
      </c>
      <c r="C73" t="s">
        <v>4302</v>
      </c>
      <c r="D73" t="s">
        <v>4303</v>
      </c>
      <c r="E73" t="s">
        <v>4169</v>
      </c>
      <c r="F73" t="s">
        <v>4170</v>
      </c>
      <c r="G73">
        <v>3299282.7517715502</v>
      </c>
      <c r="H73">
        <v>106389196.352901</v>
      </c>
    </row>
    <row r="74" spans="1:8" x14ac:dyDescent="0.25">
      <c r="A74">
        <v>165</v>
      </c>
      <c r="B74" t="s">
        <v>3649</v>
      </c>
      <c r="C74" t="s">
        <v>4304</v>
      </c>
      <c r="D74" t="s">
        <v>4305</v>
      </c>
      <c r="E74" t="s">
        <v>4169</v>
      </c>
      <c r="F74" t="s">
        <v>4170</v>
      </c>
      <c r="G74">
        <v>18423194.185780801</v>
      </c>
      <c r="H74">
        <v>106389196.352901</v>
      </c>
    </row>
    <row r="75" spans="1:8" x14ac:dyDescent="0.25">
      <c r="A75">
        <v>200</v>
      </c>
      <c r="B75" t="s">
        <v>3649</v>
      </c>
      <c r="C75" t="s">
        <v>4306</v>
      </c>
      <c r="D75" t="s">
        <v>4307</v>
      </c>
      <c r="E75" t="s">
        <v>4169</v>
      </c>
      <c r="F75" t="s">
        <v>4170</v>
      </c>
      <c r="G75">
        <v>4698249.4140799996</v>
      </c>
      <c r="H75">
        <v>106389196.352901</v>
      </c>
    </row>
    <row r="76" spans="1:8" x14ac:dyDescent="0.25">
      <c r="A76">
        <v>283</v>
      </c>
      <c r="B76" t="s">
        <v>3649</v>
      </c>
      <c r="C76" t="s">
        <v>4308</v>
      </c>
      <c r="D76" t="s">
        <v>4309</v>
      </c>
      <c r="E76" t="s">
        <v>4169</v>
      </c>
      <c r="F76" t="s">
        <v>4170</v>
      </c>
      <c r="G76">
        <v>13582400.5902042</v>
      </c>
      <c r="H76">
        <v>106389196.352901</v>
      </c>
    </row>
    <row r="77" spans="1:8" x14ac:dyDescent="0.25">
      <c r="A77">
        <v>323</v>
      </c>
      <c r="B77" t="s">
        <v>3649</v>
      </c>
      <c r="C77" t="s">
        <v>4310</v>
      </c>
      <c r="D77" t="s">
        <v>4311</v>
      </c>
      <c r="E77" t="s">
        <v>4169</v>
      </c>
      <c r="F77" t="s">
        <v>4170</v>
      </c>
      <c r="G77">
        <v>16393973.3074689</v>
      </c>
      <c r="H77">
        <v>106389196.352901</v>
      </c>
    </row>
    <row r="78" spans="1:8" x14ac:dyDescent="0.25">
      <c r="A78">
        <v>386</v>
      </c>
      <c r="B78" t="s">
        <v>3649</v>
      </c>
      <c r="C78" t="s">
        <v>4312</v>
      </c>
      <c r="D78" t="s">
        <v>4313</v>
      </c>
      <c r="E78" t="s">
        <v>4169</v>
      </c>
      <c r="F78" t="s">
        <v>4170</v>
      </c>
      <c r="G78">
        <v>6257404.8578576101</v>
      </c>
      <c r="H78">
        <v>106389196.352901</v>
      </c>
    </row>
    <row r="79" spans="1:8" x14ac:dyDescent="0.25">
      <c r="A79">
        <v>431</v>
      </c>
      <c r="B79" t="s">
        <v>3649</v>
      </c>
      <c r="C79" t="s">
        <v>4314</v>
      </c>
      <c r="D79" t="s">
        <v>4315</v>
      </c>
      <c r="E79" t="s">
        <v>4169</v>
      </c>
      <c r="F79" t="s">
        <v>4170</v>
      </c>
      <c r="G79">
        <v>6452643.7912111497</v>
      </c>
      <c r="H79">
        <v>106389196.352901</v>
      </c>
    </row>
    <row r="80" spans="1:8" x14ac:dyDescent="0.25">
      <c r="A80">
        <v>459</v>
      </c>
      <c r="B80" t="s">
        <v>3649</v>
      </c>
      <c r="C80" t="s">
        <v>4316</v>
      </c>
      <c r="D80" t="s">
        <v>4317</v>
      </c>
      <c r="E80" t="s">
        <v>4169</v>
      </c>
      <c r="F80" t="s">
        <v>4170</v>
      </c>
      <c r="G80">
        <v>4146055.1510071899</v>
      </c>
      <c r="H80">
        <v>106389196.352901</v>
      </c>
    </row>
    <row r="81" spans="1:8" x14ac:dyDescent="0.25">
      <c r="A81">
        <v>10</v>
      </c>
      <c r="B81" t="s">
        <v>3559</v>
      </c>
      <c r="C81" t="s">
        <v>4318</v>
      </c>
      <c r="D81" t="s">
        <v>4319</v>
      </c>
      <c r="E81" t="s">
        <v>4169</v>
      </c>
      <c r="F81" t="s">
        <v>4170</v>
      </c>
      <c r="G81">
        <v>40626638.1981363</v>
      </c>
      <c r="H81">
        <v>103984248.64621601</v>
      </c>
    </row>
    <row r="82" spans="1:8" x14ac:dyDescent="0.25">
      <c r="A82">
        <v>41</v>
      </c>
      <c r="B82" t="s">
        <v>3559</v>
      </c>
      <c r="C82" t="s">
        <v>4320</v>
      </c>
      <c r="D82" t="s">
        <v>4321</v>
      </c>
      <c r="E82" t="s">
        <v>4169</v>
      </c>
      <c r="F82" t="s">
        <v>4170</v>
      </c>
      <c r="G82">
        <v>27260560.535088301</v>
      </c>
      <c r="H82">
        <v>103984248.64621601</v>
      </c>
    </row>
    <row r="83" spans="1:8" x14ac:dyDescent="0.25">
      <c r="A83">
        <v>69</v>
      </c>
      <c r="B83" t="s">
        <v>3559</v>
      </c>
      <c r="C83" t="s">
        <v>4322</v>
      </c>
      <c r="D83" t="s">
        <v>4323</v>
      </c>
      <c r="E83" t="s">
        <v>4169</v>
      </c>
      <c r="F83" t="s">
        <v>4170</v>
      </c>
      <c r="G83">
        <v>991294.17627840699</v>
      </c>
      <c r="H83">
        <v>103984248.64621601</v>
      </c>
    </row>
    <row r="84" spans="1:8" x14ac:dyDescent="0.25">
      <c r="A84">
        <v>75</v>
      </c>
      <c r="B84" t="s">
        <v>3559</v>
      </c>
      <c r="C84" t="s">
        <v>4324</v>
      </c>
      <c r="D84" t="s">
        <v>4325</v>
      </c>
      <c r="E84" t="s">
        <v>4169</v>
      </c>
      <c r="F84" t="s">
        <v>4170</v>
      </c>
      <c r="G84">
        <v>10353491.6636067</v>
      </c>
      <c r="H84">
        <v>103984248.64621601</v>
      </c>
    </row>
    <row r="85" spans="1:8" x14ac:dyDescent="0.25">
      <c r="A85">
        <v>137</v>
      </c>
      <c r="B85" t="s">
        <v>3559</v>
      </c>
      <c r="C85" t="s">
        <v>4326</v>
      </c>
      <c r="D85" t="s">
        <v>4327</v>
      </c>
      <c r="E85" t="s">
        <v>4169</v>
      </c>
      <c r="F85" t="s">
        <v>4170</v>
      </c>
      <c r="G85">
        <v>7192709.5178888598</v>
      </c>
      <c r="H85">
        <v>103984248.64621601</v>
      </c>
    </row>
    <row r="86" spans="1:8" x14ac:dyDescent="0.25">
      <c r="A86">
        <v>171</v>
      </c>
      <c r="B86" t="s">
        <v>3559</v>
      </c>
      <c r="C86" t="s">
        <v>4328</v>
      </c>
      <c r="D86" t="s">
        <v>4329</v>
      </c>
      <c r="E86" t="s">
        <v>4169</v>
      </c>
      <c r="F86" t="s">
        <v>4170</v>
      </c>
      <c r="G86">
        <v>11075997.344214801</v>
      </c>
      <c r="H86">
        <v>103984248.64621601</v>
      </c>
    </row>
    <row r="87" spans="1:8" x14ac:dyDescent="0.25">
      <c r="A87">
        <v>183</v>
      </c>
      <c r="B87" t="s">
        <v>3559</v>
      </c>
      <c r="C87" t="s">
        <v>4330</v>
      </c>
      <c r="D87" t="s">
        <v>4331</v>
      </c>
      <c r="E87" t="s">
        <v>4169</v>
      </c>
      <c r="F87" t="s">
        <v>4170</v>
      </c>
      <c r="G87">
        <v>3215040.0802449002</v>
      </c>
      <c r="H87">
        <v>103984248.64621601</v>
      </c>
    </row>
    <row r="88" spans="1:8" x14ac:dyDescent="0.25">
      <c r="A88">
        <v>238</v>
      </c>
      <c r="B88" t="s">
        <v>3559</v>
      </c>
      <c r="C88" t="s">
        <v>4332</v>
      </c>
      <c r="D88" t="s">
        <v>4333</v>
      </c>
      <c r="E88" t="s">
        <v>4169</v>
      </c>
      <c r="F88" t="s">
        <v>4170</v>
      </c>
      <c r="G88">
        <v>2929370.1075642598</v>
      </c>
      <c r="H88">
        <v>103984248.64621601</v>
      </c>
    </row>
    <row r="89" spans="1:8" x14ac:dyDescent="0.25">
      <c r="A89">
        <v>251</v>
      </c>
      <c r="B89" t="s">
        <v>3559</v>
      </c>
      <c r="C89" t="s">
        <v>4334</v>
      </c>
      <c r="D89" t="s">
        <v>4335</v>
      </c>
      <c r="E89" t="s">
        <v>4169</v>
      </c>
      <c r="F89" t="s">
        <v>4170</v>
      </c>
      <c r="G89">
        <v>1479564.03602752</v>
      </c>
      <c r="H89">
        <v>103984248.64621601</v>
      </c>
    </row>
    <row r="90" spans="1:8" x14ac:dyDescent="0.25">
      <c r="A90">
        <v>317</v>
      </c>
      <c r="B90" t="s">
        <v>3559</v>
      </c>
      <c r="C90" t="s">
        <v>4336</v>
      </c>
      <c r="D90" t="s">
        <v>4337</v>
      </c>
      <c r="E90" t="s">
        <v>4169</v>
      </c>
      <c r="F90" t="s">
        <v>4170</v>
      </c>
      <c r="G90">
        <v>9169131.1170992292</v>
      </c>
      <c r="H90">
        <v>103984248.64621601</v>
      </c>
    </row>
    <row r="91" spans="1:8" x14ac:dyDescent="0.25">
      <c r="A91">
        <v>373</v>
      </c>
      <c r="B91" t="s">
        <v>3559</v>
      </c>
      <c r="C91" t="s">
        <v>4338</v>
      </c>
      <c r="D91" t="s">
        <v>4339</v>
      </c>
      <c r="E91" t="s">
        <v>4169</v>
      </c>
      <c r="F91" t="s">
        <v>4170</v>
      </c>
      <c r="G91">
        <v>11826399.432913899</v>
      </c>
      <c r="H91">
        <v>103984248.64621601</v>
      </c>
    </row>
    <row r="92" spans="1:8" x14ac:dyDescent="0.25">
      <c r="A92">
        <v>375</v>
      </c>
      <c r="B92" t="s">
        <v>3559</v>
      </c>
      <c r="C92" t="s">
        <v>4340</v>
      </c>
      <c r="D92" t="s">
        <v>4341</v>
      </c>
      <c r="E92" t="s">
        <v>4169</v>
      </c>
      <c r="F92" t="s">
        <v>4170</v>
      </c>
      <c r="G92">
        <v>9806205.9980011508</v>
      </c>
      <c r="H92">
        <v>103984248.64621601</v>
      </c>
    </row>
    <row r="93" spans="1:8" x14ac:dyDescent="0.25">
      <c r="A93">
        <v>400</v>
      </c>
      <c r="B93" t="s">
        <v>3559</v>
      </c>
      <c r="C93" t="s">
        <v>4342</v>
      </c>
      <c r="D93" t="s">
        <v>4343</v>
      </c>
      <c r="E93" t="s">
        <v>4169</v>
      </c>
      <c r="F93" t="s">
        <v>4170</v>
      </c>
      <c r="G93">
        <v>10642772.4729561</v>
      </c>
      <c r="H93">
        <v>103984248.64621601</v>
      </c>
    </row>
    <row r="94" spans="1:8" x14ac:dyDescent="0.25">
      <c r="A94">
        <v>407</v>
      </c>
      <c r="B94" t="s">
        <v>3559</v>
      </c>
      <c r="C94" t="s">
        <v>4344</v>
      </c>
      <c r="D94" t="s">
        <v>4345</v>
      </c>
      <c r="E94" t="s">
        <v>4169</v>
      </c>
      <c r="F94" t="s">
        <v>4170</v>
      </c>
      <c r="G94">
        <v>14364663.758730801</v>
      </c>
      <c r="H94">
        <v>103984248.64621601</v>
      </c>
    </row>
    <row r="95" spans="1:8" x14ac:dyDescent="0.25">
      <c r="A95">
        <v>414</v>
      </c>
      <c r="B95" t="s">
        <v>3559</v>
      </c>
      <c r="C95" t="s">
        <v>4346</v>
      </c>
      <c r="D95" t="s">
        <v>4347</v>
      </c>
      <c r="E95" t="s">
        <v>4169</v>
      </c>
      <c r="F95" t="s">
        <v>4170</v>
      </c>
      <c r="G95">
        <v>5446910.8562262198</v>
      </c>
      <c r="H95">
        <v>103984248.64621601</v>
      </c>
    </row>
    <row r="96" spans="1:8" x14ac:dyDescent="0.25">
      <c r="A96">
        <v>437</v>
      </c>
      <c r="B96" t="s">
        <v>3559</v>
      </c>
      <c r="C96" t="s">
        <v>4348</v>
      </c>
      <c r="D96" t="s">
        <v>4349</v>
      </c>
      <c r="E96" t="s">
        <v>4169</v>
      </c>
      <c r="F96" t="s">
        <v>4170</v>
      </c>
      <c r="G96">
        <v>8496929.06560665</v>
      </c>
      <c r="H96">
        <v>103984248.64621601</v>
      </c>
    </row>
    <row r="97" spans="1:8" x14ac:dyDescent="0.25">
      <c r="A97">
        <v>12</v>
      </c>
      <c r="B97" t="s">
        <v>3627</v>
      </c>
      <c r="C97" t="s">
        <v>4350</v>
      </c>
      <c r="D97" t="s">
        <v>4351</v>
      </c>
      <c r="E97" t="s">
        <v>4169</v>
      </c>
      <c r="F97" t="s">
        <v>4170</v>
      </c>
      <c r="G97">
        <v>43683068.9581673</v>
      </c>
      <c r="H97">
        <v>97827721</v>
      </c>
    </row>
    <row r="98" spans="1:8" x14ac:dyDescent="0.25">
      <c r="A98">
        <v>27</v>
      </c>
      <c r="B98" t="s">
        <v>3571</v>
      </c>
      <c r="C98" t="s">
        <v>4352</v>
      </c>
      <c r="D98" t="s">
        <v>4222</v>
      </c>
      <c r="E98" t="s">
        <v>4169</v>
      </c>
      <c r="F98" t="s">
        <v>4170</v>
      </c>
      <c r="G98">
        <v>5481888.1268603103</v>
      </c>
      <c r="H98">
        <v>97210245.738440499</v>
      </c>
    </row>
    <row r="99" spans="1:8" x14ac:dyDescent="0.25">
      <c r="A99">
        <v>107</v>
      </c>
      <c r="B99" t="s">
        <v>3571</v>
      </c>
      <c r="C99" t="s">
        <v>4353</v>
      </c>
      <c r="D99" t="s">
        <v>4354</v>
      </c>
      <c r="E99" t="s">
        <v>4169</v>
      </c>
      <c r="F99" t="s">
        <v>4170</v>
      </c>
      <c r="G99">
        <v>1460738.31482622</v>
      </c>
      <c r="H99">
        <v>97210245.738440499</v>
      </c>
    </row>
    <row r="100" spans="1:8" x14ac:dyDescent="0.25">
      <c r="A100">
        <v>209</v>
      </c>
      <c r="B100" t="s">
        <v>3571</v>
      </c>
      <c r="C100" t="s">
        <v>4355</v>
      </c>
      <c r="D100" t="s">
        <v>4356</v>
      </c>
      <c r="E100" t="s">
        <v>4169</v>
      </c>
      <c r="F100" t="s">
        <v>4170</v>
      </c>
      <c r="G100">
        <v>18613242.233973399</v>
      </c>
      <c r="H100">
        <v>97210245.738440499</v>
      </c>
    </row>
    <row r="101" spans="1:8" x14ac:dyDescent="0.25">
      <c r="A101">
        <v>254</v>
      </c>
      <c r="B101" t="s">
        <v>3571</v>
      </c>
      <c r="C101" t="s">
        <v>4357</v>
      </c>
      <c r="D101" t="s">
        <v>4230</v>
      </c>
      <c r="E101" t="s">
        <v>4169</v>
      </c>
      <c r="F101" t="s">
        <v>4170</v>
      </c>
      <c r="G101">
        <v>186979.11979016999</v>
      </c>
      <c r="H101">
        <v>97210245.738440499</v>
      </c>
    </row>
    <row r="102" spans="1:8" x14ac:dyDescent="0.25">
      <c r="A102">
        <v>275</v>
      </c>
      <c r="B102" t="s">
        <v>3571</v>
      </c>
      <c r="C102" t="s">
        <v>4358</v>
      </c>
      <c r="D102" t="s">
        <v>4232</v>
      </c>
      <c r="E102" t="s">
        <v>4169</v>
      </c>
      <c r="F102" t="s">
        <v>4170</v>
      </c>
      <c r="G102">
        <v>2121782.6110473499</v>
      </c>
      <c r="H102">
        <v>97210245.738440499</v>
      </c>
    </row>
    <row r="103" spans="1:8" x14ac:dyDescent="0.25">
      <c r="A103">
        <v>367</v>
      </c>
      <c r="B103" t="s">
        <v>3571</v>
      </c>
      <c r="C103" t="s">
        <v>4359</v>
      </c>
      <c r="D103" t="s">
        <v>4236</v>
      </c>
      <c r="E103" t="s">
        <v>4169</v>
      </c>
      <c r="F103" t="s">
        <v>4170</v>
      </c>
      <c r="G103">
        <v>1258632.08822119</v>
      </c>
      <c r="H103">
        <v>97210245.738440499</v>
      </c>
    </row>
    <row r="104" spans="1:8" x14ac:dyDescent="0.25">
      <c r="A104">
        <v>221</v>
      </c>
      <c r="B104" t="s">
        <v>3847</v>
      </c>
      <c r="C104" t="s">
        <v>4360</v>
      </c>
      <c r="D104" t="s">
        <v>4361</v>
      </c>
      <c r="E104" t="s">
        <v>4169</v>
      </c>
      <c r="F104" t="s">
        <v>4170</v>
      </c>
      <c r="G104">
        <v>1439999.7989069901</v>
      </c>
      <c r="H104">
        <v>97011233.222951293</v>
      </c>
    </row>
    <row r="105" spans="1:8" x14ac:dyDescent="0.25">
      <c r="A105">
        <v>210</v>
      </c>
      <c r="B105" t="s">
        <v>4019</v>
      </c>
      <c r="C105" t="s">
        <v>4362</v>
      </c>
      <c r="D105" t="s">
        <v>4363</v>
      </c>
      <c r="E105" t="s">
        <v>4169</v>
      </c>
      <c r="F105" t="s">
        <v>4170</v>
      </c>
      <c r="G105">
        <v>5847808.2593789799</v>
      </c>
      <c r="H105">
        <v>92788280</v>
      </c>
    </row>
    <row r="106" spans="1:8" x14ac:dyDescent="0.25">
      <c r="A106">
        <v>358</v>
      </c>
      <c r="B106" t="s">
        <v>4019</v>
      </c>
      <c r="C106" t="s">
        <v>4364</v>
      </c>
      <c r="D106" t="s">
        <v>4365</v>
      </c>
      <c r="E106" t="s">
        <v>4169</v>
      </c>
      <c r="F106" t="s">
        <v>4170</v>
      </c>
      <c r="G106">
        <v>1327474.2235991999</v>
      </c>
      <c r="H106">
        <v>92788280</v>
      </c>
    </row>
    <row r="107" spans="1:8" x14ac:dyDescent="0.25">
      <c r="A107">
        <v>43</v>
      </c>
      <c r="B107" t="s">
        <v>3573</v>
      </c>
      <c r="C107" t="s">
        <v>4366</v>
      </c>
      <c r="D107" t="s">
        <v>4367</v>
      </c>
      <c r="E107" t="s">
        <v>4169</v>
      </c>
      <c r="F107" t="s">
        <v>4170</v>
      </c>
      <c r="G107">
        <v>3914156.6260751002</v>
      </c>
      <c r="H107">
        <v>79916913.810530394</v>
      </c>
    </row>
    <row r="108" spans="1:8" x14ac:dyDescent="0.25">
      <c r="A108">
        <v>79</v>
      </c>
      <c r="B108" t="s">
        <v>3573</v>
      </c>
      <c r="C108" t="s">
        <v>4368</v>
      </c>
      <c r="D108" t="s">
        <v>4369</v>
      </c>
      <c r="E108" t="s">
        <v>4169</v>
      </c>
      <c r="F108" t="s">
        <v>4170</v>
      </c>
      <c r="G108">
        <v>3352636.8460677098</v>
      </c>
      <c r="H108">
        <v>79916913.810530394</v>
      </c>
    </row>
    <row r="109" spans="1:8" x14ac:dyDescent="0.25">
      <c r="A109">
        <v>85</v>
      </c>
      <c r="B109" t="s">
        <v>3573</v>
      </c>
      <c r="C109" t="s">
        <v>4370</v>
      </c>
      <c r="D109" t="s">
        <v>4371</v>
      </c>
      <c r="E109" t="s">
        <v>4169</v>
      </c>
      <c r="F109" t="s">
        <v>4170</v>
      </c>
      <c r="G109">
        <v>5403673.7102680597</v>
      </c>
      <c r="H109">
        <v>79916913.810530394</v>
      </c>
    </row>
    <row r="110" spans="1:8" x14ac:dyDescent="0.25">
      <c r="A110">
        <v>89</v>
      </c>
      <c r="B110" t="s">
        <v>3573</v>
      </c>
      <c r="C110" t="s">
        <v>4372</v>
      </c>
      <c r="D110" t="s">
        <v>4373</v>
      </c>
      <c r="E110" t="s">
        <v>4169</v>
      </c>
      <c r="F110" t="s">
        <v>4170</v>
      </c>
      <c r="G110">
        <v>14868110.992685201</v>
      </c>
      <c r="H110">
        <v>79916913.810530394</v>
      </c>
    </row>
    <row r="111" spans="1:8" x14ac:dyDescent="0.25">
      <c r="A111">
        <v>113</v>
      </c>
      <c r="B111" t="s">
        <v>3573</v>
      </c>
      <c r="C111" t="s">
        <v>4374</v>
      </c>
      <c r="D111" t="s">
        <v>4375</v>
      </c>
      <c r="E111" t="s">
        <v>4169</v>
      </c>
      <c r="F111" t="s">
        <v>4170</v>
      </c>
      <c r="G111">
        <v>7574348.4298554603</v>
      </c>
      <c r="H111">
        <v>79916913.810530394</v>
      </c>
    </row>
    <row r="112" spans="1:8" x14ac:dyDescent="0.25">
      <c r="A112">
        <v>114</v>
      </c>
      <c r="B112" t="s">
        <v>3573</v>
      </c>
      <c r="C112" t="s">
        <v>4376</v>
      </c>
      <c r="D112" t="s">
        <v>4377</v>
      </c>
      <c r="E112" t="s">
        <v>4169</v>
      </c>
      <c r="F112" t="s">
        <v>4170</v>
      </c>
      <c r="G112">
        <v>3350652.2653529001</v>
      </c>
      <c r="H112">
        <v>79916913.810530394</v>
      </c>
    </row>
    <row r="113" spans="1:8" x14ac:dyDescent="0.25">
      <c r="A113">
        <v>142</v>
      </c>
      <c r="B113" t="s">
        <v>3573</v>
      </c>
      <c r="C113" t="s">
        <v>4378</v>
      </c>
      <c r="D113" t="s">
        <v>4379</v>
      </c>
      <c r="E113" t="s">
        <v>4169</v>
      </c>
      <c r="F113" t="s">
        <v>4170</v>
      </c>
      <c r="G113">
        <v>14500627.7400408</v>
      </c>
      <c r="H113">
        <v>79916913.810530394</v>
      </c>
    </row>
    <row r="114" spans="1:8" x14ac:dyDescent="0.25">
      <c r="A114">
        <v>223</v>
      </c>
      <c r="B114" t="s">
        <v>3573</v>
      </c>
      <c r="C114" t="s">
        <v>4380</v>
      </c>
      <c r="D114" t="s">
        <v>4381</v>
      </c>
      <c r="E114" t="s">
        <v>4169</v>
      </c>
      <c r="F114" t="s">
        <v>4170</v>
      </c>
      <c r="G114">
        <v>6384242.3447511801</v>
      </c>
      <c r="H114">
        <v>79916913.810530394</v>
      </c>
    </row>
    <row r="115" spans="1:8" x14ac:dyDescent="0.25">
      <c r="A115">
        <v>248</v>
      </c>
      <c r="B115" t="s">
        <v>3573</v>
      </c>
      <c r="C115" t="s">
        <v>4382</v>
      </c>
      <c r="D115" t="s">
        <v>4383</v>
      </c>
      <c r="E115" t="s">
        <v>4169</v>
      </c>
      <c r="F115" t="s">
        <v>4170</v>
      </c>
      <c r="G115">
        <v>6952653.3004852301</v>
      </c>
      <c r="H115">
        <v>79916913.810530394</v>
      </c>
    </row>
    <row r="116" spans="1:8" x14ac:dyDescent="0.25">
      <c r="A116">
        <v>308</v>
      </c>
      <c r="B116" t="s">
        <v>3573</v>
      </c>
      <c r="C116" t="s">
        <v>4384</v>
      </c>
      <c r="D116" t="s">
        <v>4385</v>
      </c>
      <c r="E116" t="s">
        <v>4169</v>
      </c>
      <c r="F116" t="s">
        <v>4170</v>
      </c>
      <c r="G116">
        <v>5918156.1090539796</v>
      </c>
      <c r="H116">
        <v>79916913.810530394</v>
      </c>
    </row>
    <row r="117" spans="1:8" x14ac:dyDescent="0.25">
      <c r="A117">
        <v>319</v>
      </c>
      <c r="B117" t="s">
        <v>3573</v>
      </c>
      <c r="C117" t="s">
        <v>4386</v>
      </c>
      <c r="D117" t="s">
        <v>4387</v>
      </c>
      <c r="E117" t="s">
        <v>4169</v>
      </c>
      <c r="F117" t="s">
        <v>4170</v>
      </c>
      <c r="G117">
        <v>16334029.1419906</v>
      </c>
      <c r="H117">
        <v>79916913.810530394</v>
      </c>
    </row>
    <row r="118" spans="1:8" x14ac:dyDescent="0.25">
      <c r="A118">
        <v>321</v>
      </c>
      <c r="B118" t="s">
        <v>3573</v>
      </c>
      <c r="C118" t="s">
        <v>4388</v>
      </c>
      <c r="D118" t="s">
        <v>4389</v>
      </c>
      <c r="E118" t="s">
        <v>4169</v>
      </c>
      <c r="F118" t="s">
        <v>4170</v>
      </c>
      <c r="G118">
        <v>5766116.9950929303</v>
      </c>
      <c r="H118">
        <v>79916913.810530394</v>
      </c>
    </row>
    <row r="119" spans="1:8" x14ac:dyDescent="0.25">
      <c r="A119">
        <v>345</v>
      </c>
      <c r="B119" t="s">
        <v>3573</v>
      </c>
      <c r="C119" t="s">
        <v>4390</v>
      </c>
      <c r="D119" t="s">
        <v>4391</v>
      </c>
      <c r="E119" t="s">
        <v>4169</v>
      </c>
      <c r="F119" t="s">
        <v>4170</v>
      </c>
      <c r="G119">
        <v>591570.05485672795</v>
      </c>
      <c r="H119">
        <v>79916913.810530394</v>
      </c>
    </row>
    <row r="120" spans="1:8" x14ac:dyDescent="0.25">
      <c r="A120">
        <v>429</v>
      </c>
      <c r="B120" t="s">
        <v>3573</v>
      </c>
      <c r="C120" t="s">
        <v>4392</v>
      </c>
      <c r="D120" t="s">
        <v>4393</v>
      </c>
      <c r="E120" t="s">
        <v>4169</v>
      </c>
      <c r="F120" t="s">
        <v>4170</v>
      </c>
      <c r="G120">
        <v>1590852.04046906</v>
      </c>
      <c r="H120">
        <v>79916913.810530394</v>
      </c>
    </row>
    <row r="121" spans="1:8" x14ac:dyDescent="0.25">
      <c r="A121">
        <v>443</v>
      </c>
      <c r="B121" t="s">
        <v>3573</v>
      </c>
      <c r="C121" t="s">
        <v>4394</v>
      </c>
      <c r="D121" t="s">
        <v>4395</v>
      </c>
      <c r="E121" t="s">
        <v>4169</v>
      </c>
      <c r="F121" t="s">
        <v>4170</v>
      </c>
      <c r="G121">
        <v>297102.89910642197</v>
      </c>
      <c r="H121">
        <v>79916913.810530394</v>
      </c>
    </row>
    <row r="122" spans="1:8" x14ac:dyDescent="0.25">
      <c r="A122">
        <v>462</v>
      </c>
      <c r="B122" t="s">
        <v>3573</v>
      </c>
      <c r="C122" t="s">
        <v>4396</v>
      </c>
      <c r="D122" t="s">
        <v>4397</v>
      </c>
      <c r="E122" t="s">
        <v>4169</v>
      </c>
      <c r="F122" t="s">
        <v>4170</v>
      </c>
      <c r="G122">
        <v>8289041.1532308301</v>
      </c>
      <c r="H122">
        <v>79916913.810530394</v>
      </c>
    </row>
    <row r="123" spans="1:8" x14ac:dyDescent="0.25">
      <c r="A123">
        <v>354</v>
      </c>
      <c r="B123" t="s">
        <v>3873</v>
      </c>
      <c r="C123" t="s">
        <v>4398</v>
      </c>
      <c r="D123" t="s">
        <v>4244</v>
      </c>
      <c r="E123" t="s">
        <v>4169</v>
      </c>
      <c r="F123" t="s">
        <v>4170</v>
      </c>
      <c r="G123">
        <v>294308285.72090602</v>
      </c>
      <c r="H123">
        <v>78837693.429452002</v>
      </c>
    </row>
    <row r="124" spans="1:8" x14ac:dyDescent="0.25">
      <c r="A124">
        <v>454</v>
      </c>
      <c r="B124" t="s">
        <v>3873</v>
      </c>
      <c r="C124" t="s">
        <v>4399</v>
      </c>
      <c r="D124" t="s">
        <v>4246</v>
      </c>
      <c r="E124" t="s">
        <v>4169</v>
      </c>
      <c r="F124" t="s">
        <v>4170</v>
      </c>
      <c r="G124">
        <v>2242083.4905634602</v>
      </c>
      <c r="H124">
        <v>78837693.429452002</v>
      </c>
    </row>
    <row r="125" spans="1:8" x14ac:dyDescent="0.25">
      <c r="A125">
        <v>3</v>
      </c>
      <c r="B125" t="s">
        <v>3584</v>
      </c>
      <c r="C125" t="s">
        <v>4400</v>
      </c>
      <c r="D125" t="s">
        <v>4248</v>
      </c>
      <c r="E125" t="s">
        <v>4169</v>
      </c>
      <c r="F125" t="s">
        <v>4170</v>
      </c>
      <c r="G125">
        <v>3161565.57562932</v>
      </c>
      <c r="H125">
        <v>78452740.401203394</v>
      </c>
    </row>
    <row r="126" spans="1:8" x14ac:dyDescent="0.25">
      <c r="A126">
        <v>167</v>
      </c>
      <c r="B126" t="s">
        <v>3584</v>
      </c>
      <c r="C126" t="s">
        <v>4401</v>
      </c>
      <c r="D126" t="s">
        <v>4250</v>
      </c>
      <c r="E126" t="s">
        <v>4169</v>
      </c>
      <c r="F126" t="s">
        <v>4170</v>
      </c>
      <c r="G126">
        <v>2139365.2376417802</v>
      </c>
      <c r="H126">
        <v>78452740.401203394</v>
      </c>
    </row>
    <row r="127" spans="1:8" x14ac:dyDescent="0.25">
      <c r="A127">
        <v>227</v>
      </c>
      <c r="B127" t="s">
        <v>3584</v>
      </c>
      <c r="C127" t="s">
        <v>4402</v>
      </c>
      <c r="D127" t="s">
        <v>4252</v>
      </c>
      <c r="E127" t="s">
        <v>4169</v>
      </c>
      <c r="F127" t="s">
        <v>4170</v>
      </c>
      <c r="G127">
        <v>4806274.3709650803</v>
      </c>
      <c r="H127">
        <v>78452740.401203394</v>
      </c>
    </row>
    <row r="128" spans="1:8" x14ac:dyDescent="0.25">
      <c r="A128">
        <v>259</v>
      </c>
      <c r="B128" t="s">
        <v>3584</v>
      </c>
      <c r="C128" t="s">
        <v>4403</v>
      </c>
      <c r="D128" t="s">
        <v>4254</v>
      </c>
      <c r="E128" t="s">
        <v>4169</v>
      </c>
      <c r="F128" t="s">
        <v>4170</v>
      </c>
      <c r="G128">
        <v>3231577.4860768099</v>
      </c>
      <c r="H128">
        <v>78452740.401203394</v>
      </c>
    </row>
    <row r="129" spans="1:8" x14ac:dyDescent="0.25">
      <c r="A129">
        <v>384</v>
      </c>
      <c r="B129" t="s">
        <v>3584</v>
      </c>
      <c r="C129" t="s">
        <v>4404</v>
      </c>
      <c r="D129" t="s">
        <v>4256</v>
      </c>
      <c r="E129" t="s">
        <v>4169</v>
      </c>
      <c r="F129" t="s">
        <v>4170</v>
      </c>
      <c r="G129">
        <v>160437142.47185799</v>
      </c>
      <c r="H129">
        <v>78452740.401203394</v>
      </c>
    </row>
    <row r="130" spans="1:8" x14ac:dyDescent="0.25">
      <c r="A130">
        <v>7</v>
      </c>
      <c r="B130" t="s">
        <v>3681</v>
      </c>
      <c r="C130" t="s">
        <v>4405</v>
      </c>
      <c r="D130" t="s">
        <v>4406</v>
      </c>
      <c r="E130" t="s">
        <v>4407</v>
      </c>
      <c r="F130" t="s">
        <v>4408</v>
      </c>
      <c r="G130">
        <v>4716326.4082771102</v>
      </c>
      <c r="H130">
        <v>77567893.919245094</v>
      </c>
    </row>
    <row r="131" spans="1:8" x14ac:dyDescent="0.25">
      <c r="A131">
        <v>124</v>
      </c>
      <c r="B131" t="s">
        <v>3681</v>
      </c>
      <c r="C131" t="s">
        <v>4409</v>
      </c>
      <c r="D131" t="s">
        <v>4410</v>
      </c>
      <c r="E131" t="s">
        <v>4411</v>
      </c>
      <c r="F131" t="s">
        <v>4408</v>
      </c>
      <c r="G131">
        <v>6729518.9466456501</v>
      </c>
      <c r="H131">
        <v>77567893.919245094</v>
      </c>
    </row>
    <row r="132" spans="1:8" x14ac:dyDescent="0.25">
      <c r="A132">
        <v>156</v>
      </c>
      <c r="B132" t="s">
        <v>3681</v>
      </c>
      <c r="C132" t="s">
        <v>4412</v>
      </c>
      <c r="D132" t="s">
        <v>4413</v>
      </c>
      <c r="E132" t="s">
        <v>4414</v>
      </c>
      <c r="F132" t="s">
        <v>4408</v>
      </c>
      <c r="G132">
        <v>2076081.4279917099</v>
      </c>
      <c r="H132">
        <v>77567893.919245094</v>
      </c>
    </row>
    <row r="133" spans="1:8" x14ac:dyDescent="0.25">
      <c r="A133">
        <v>203</v>
      </c>
      <c r="B133" t="s">
        <v>3681</v>
      </c>
      <c r="C133" t="s">
        <v>4415</v>
      </c>
      <c r="D133" t="s">
        <v>4416</v>
      </c>
      <c r="E133" t="s">
        <v>4411</v>
      </c>
      <c r="F133" t="s">
        <v>4408</v>
      </c>
      <c r="G133">
        <v>1394272.04227988</v>
      </c>
      <c r="H133">
        <v>77567893.919245094</v>
      </c>
    </row>
    <row r="134" spans="1:8" x14ac:dyDescent="0.25">
      <c r="A134">
        <v>206</v>
      </c>
      <c r="B134" t="s">
        <v>3681</v>
      </c>
      <c r="C134" t="s">
        <v>4417</v>
      </c>
      <c r="D134" t="s">
        <v>4418</v>
      </c>
      <c r="E134" t="s">
        <v>4414</v>
      </c>
      <c r="F134" t="s">
        <v>4408</v>
      </c>
      <c r="G134">
        <v>34169.272674321801</v>
      </c>
      <c r="H134">
        <v>77567893.919245094</v>
      </c>
    </row>
    <row r="135" spans="1:8" x14ac:dyDescent="0.25">
      <c r="A135">
        <v>28</v>
      </c>
      <c r="B135" t="s">
        <v>3565</v>
      </c>
      <c r="C135" t="s">
        <v>4419</v>
      </c>
      <c r="D135" t="s">
        <v>4222</v>
      </c>
      <c r="E135" t="s">
        <v>4169</v>
      </c>
      <c r="F135" t="s">
        <v>4170</v>
      </c>
      <c r="G135">
        <v>22887088.211002801</v>
      </c>
      <c r="H135">
        <v>74613458.544619307</v>
      </c>
    </row>
    <row r="136" spans="1:8" x14ac:dyDescent="0.25">
      <c r="A136">
        <v>108</v>
      </c>
      <c r="B136" t="s">
        <v>3565</v>
      </c>
      <c r="C136" t="s">
        <v>4420</v>
      </c>
      <c r="D136" t="s">
        <v>4224</v>
      </c>
      <c r="E136" t="s">
        <v>4169</v>
      </c>
      <c r="F136" t="s">
        <v>4170</v>
      </c>
      <c r="G136">
        <v>16488953.6725004</v>
      </c>
      <c r="H136">
        <v>74613458.544619307</v>
      </c>
    </row>
    <row r="137" spans="1:8" x14ac:dyDescent="0.25">
      <c r="A137">
        <v>122</v>
      </c>
      <c r="B137" t="s">
        <v>3565</v>
      </c>
      <c r="C137" t="s">
        <v>4421</v>
      </c>
      <c r="D137" t="s">
        <v>4226</v>
      </c>
      <c r="E137" t="s">
        <v>4169</v>
      </c>
      <c r="F137" t="s">
        <v>4170</v>
      </c>
      <c r="G137">
        <v>55369304.133193001</v>
      </c>
      <c r="H137">
        <v>74613458.544619307</v>
      </c>
    </row>
    <row r="138" spans="1:8" x14ac:dyDescent="0.25">
      <c r="A138">
        <v>234</v>
      </c>
      <c r="B138" t="s">
        <v>3565</v>
      </c>
      <c r="C138" t="s">
        <v>4422</v>
      </c>
      <c r="D138" t="s">
        <v>4228</v>
      </c>
      <c r="E138" t="s">
        <v>4169</v>
      </c>
      <c r="F138" t="s">
        <v>4170</v>
      </c>
      <c r="G138">
        <v>20935278.942710601</v>
      </c>
      <c r="H138">
        <v>74613458.544619307</v>
      </c>
    </row>
    <row r="139" spans="1:8" x14ac:dyDescent="0.25">
      <c r="A139">
        <v>252</v>
      </c>
      <c r="B139" t="s">
        <v>3565</v>
      </c>
      <c r="C139" t="s">
        <v>4423</v>
      </c>
      <c r="D139" t="s">
        <v>4230</v>
      </c>
      <c r="E139" t="s">
        <v>4169</v>
      </c>
      <c r="F139" t="s">
        <v>4170</v>
      </c>
      <c r="G139">
        <v>5133604.96089435</v>
      </c>
      <c r="H139">
        <v>74613458.544619307</v>
      </c>
    </row>
    <row r="140" spans="1:8" x14ac:dyDescent="0.25">
      <c r="A140">
        <v>272</v>
      </c>
      <c r="B140" t="s">
        <v>3565</v>
      </c>
      <c r="C140" t="s">
        <v>4424</v>
      </c>
      <c r="D140" t="s">
        <v>4232</v>
      </c>
      <c r="E140" t="s">
        <v>4169</v>
      </c>
      <c r="F140" t="s">
        <v>4170</v>
      </c>
      <c r="G140">
        <v>5443552.9792440096</v>
      </c>
      <c r="H140">
        <v>74613458.544619307</v>
      </c>
    </row>
    <row r="141" spans="1:8" x14ac:dyDescent="0.25">
      <c r="A141">
        <v>307</v>
      </c>
      <c r="B141" t="s">
        <v>3565</v>
      </c>
      <c r="C141" t="s">
        <v>4425</v>
      </c>
      <c r="D141" t="s">
        <v>4234</v>
      </c>
      <c r="E141" t="s">
        <v>4169</v>
      </c>
      <c r="F141" t="s">
        <v>4170</v>
      </c>
      <c r="G141">
        <v>1481402.8929324399</v>
      </c>
      <c r="H141">
        <v>74613458.544619307</v>
      </c>
    </row>
    <row r="142" spans="1:8" x14ac:dyDescent="0.25">
      <c r="A142">
        <v>365</v>
      </c>
      <c r="B142" t="s">
        <v>3565</v>
      </c>
      <c r="C142" t="s">
        <v>4426</v>
      </c>
      <c r="D142" t="s">
        <v>4236</v>
      </c>
      <c r="E142" t="s">
        <v>4169</v>
      </c>
      <c r="F142" t="s">
        <v>4170</v>
      </c>
      <c r="G142">
        <v>11622033.5157141</v>
      </c>
      <c r="H142">
        <v>74613458.544619307</v>
      </c>
    </row>
    <row r="143" spans="1:8" x14ac:dyDescent="0.25">
      <c r="A143">
        <v>185</v>
      </c>
      <c r="B143" t="s">
        <v>3851</v>
      </c>
      <c r="C143" t="s">
        <v>4427</v>
      </c>
      <c r="D143" t="s">
        <v>4258</v>
      </c>
      <c r="E143" t="s">
        <v>4169</v>
      </c>
      <c r="F143" t="s">
        <v>4170</v>
      </c>
      <c r="G143">
        <v>3320895.5372693301</v>
      </c>
      <c r="H143">
        <v>64896028.322460301</v>
      </c>
    </row>
    <row r="144" spans="1:8" x14ac:dyDescent="0.25">
      <c r="A144">
        <v>9</v>
      </c>
      <c r="B144" t="s">
        <v>3725</v>
      </c>
      <c r="C144" t="s">
        <v>4428</v>
      </c>
      <c r="D144" t="s">
        <v>4429</v>
      </c>
      <c r="E144" t="s">
        <v>4169</v>
      </c>
      <c r="F144" t="s">
        <v>4170</v>
      </c>
      <c r="G144">
        <v>11811067.5559448</v>
      </c>
      <c r="H144">
        <v>64708868.493319698</v>
      </c>
    </row>
    <row r="145" spans="1:8" x14ac:dyDescent="0.25">
      <c r="A145">
        <v>71</v>
      </c>
      <c r="B145" t="s">
        <v>3725</v>
      </c>
      <c r="C145" t="s">
        <v>4430</v>
      </c>
      <c r="D145" t="s">
        <v>4431</v>
      </c>
      <c r="E145" t="s">
        <v>4169</v>
      </c>
      <c r="F145" t="s">
        <v>4170</v>
      </c>
      <c r="G145">
        <v>1294181.3467665699</v>
      </c>
      <c r="H145">
        <v>64708868.493319698</v>
      </c>
    </row>
    <row r="146" spans="1:8" x14ac:dyDescent="0.25">
      <c r="A146">
        <v>73</v>
      </c>
      <c r="B146" t="s">
        <v>3725</v>
      </c>
      <c r="C146" t="s">
        <v>4432</v>
      </c>
      <c r="D146" t="s">
        <v>4433</v>
      </c>
      <c r="E146" t="s">
        <v>4169</v>
      </c>
      <c r="F146" t="s">
        <v>4170</v>
      </c>
      <c r="G146">
        <v>5837210.2753075603</v>
      </c>
      <c r="H146">
        <v>64708868.493319698</v>
      </c>
    </row>
    <row r="147" spans="1:8" x14ac:dyDescent="0.25">
      <c r="A147">
        <v>380</v>
      </c>
      <c r="B147" t="s">
        <v>3725</v>
      </c>
      <c r="C147" t="s">
        <v>4434</v>
      </c>
      <c r="D147" t="s">
        <v>4435</v>
      </c>
      <c r="E147" t="s">
        <v>4169</v>
      </c>
      <c r="F147" t="s">
        <v>4170</v>
      </c>
      <c r="G147">
        <v>36257.389858401097</v>
      </c>
      <c r="H147">
        <v>64708868.493319698</v>
      </c>
    </row>
    <row r="148" spans="1:8" x14ac:dyDescent="0.25">
      <c r="A148">
        <v>174</v>
      </c>
      <c r="B148" t="s">
        <v>3580</v>
      </c>
      <c r="C148" t="s">
        <v>4436</v>
      </c>
      <c r="D148" t="s">
        <v>4437</v>
      </c>
      <c r="E148" t="s">
        <v>4411</v>
      </c>
      <c r="F148" t="s">
        <v>4408</v>
      </c>
      <c r="G148">
        <v>4924149.3667639503</v>
      </c>
      <c r="H148">
        <v>64588571.583176903</v>
      </c>
    </row>
    <row r="149" spans="1:8" x14ac:dyDescent="0.25">
      <c r="A149">
        <v>177</v>
      </c>
      <c r="B149" t="s">
        <v>3580</v>
      </c>
      <c r="C149" t="s">
        <v>4438</v>
      </c>
      <c r="D149" t="s">
        <v>4437</v>
      </c>
      <c r="E149" t="s">
        <v>4439</v>
      </c>
      <c r="F149" t="s">
        <v>4408</v>
      </c>
      <c r="G149">
        <v>1046876.82279848</v>
      </c>
      <c r="H149">
        <v>64588571.583176903</v>
      </c>
    </row>
    <row r="150" spans="1:8" x14ac:dyDescent="0.25">
      <c r="A150">
        <v>376</v>
      </c>
      <c r="B150" t="s">
        <v>3580</v>
      </c>
      <c r="C150" t="s">
        <v>4440</v>
      </c>
      <c r="D150" t="s">
        <v>4441</v>
      </c>
      <c r="E150" t="s">
        <v>4407</v>
      </c>
      <c r="F150" t="s">
        <v>4408</v>
      </c>
      <c r="G150">
        <v>1681387.11475639</v>
      </c>
      <c r="H150">
        <v>64588571.583176903</v>
      </c>
    </row>
    <row r="151" spans="1:8" x14ac:dyDescent="0.25">
      <c r="A151">
        <v>394</v>
      </c>
      <c r="B151" t="s">
        <v>3580</v>
      </c>
      <c r="C151" t="s">
        <v>4442</v>
      </c>
      <c r="D151" t="s">
        <v>4443</v>
      </c>
      <c r="E151" t="s">
        <v>4414</v>
      </c>
      <c r="F151" t="s">
        <v>4408</v>
      </c>
      <c r="G151">
        <v>9761548.4065653495</v>
      </c>
      <c r="H151">
        <v>64588571.583176903</v>
      </c>
    </row>
    <row r="152" spans="1:8" x14ac:dyDescent="0.25">
      <c r="A152">
        <v>445</v>
      </c>
      <c r="B152" t="s">
        <v>3580</v>
      </c>
      <c r="C152" t="s">
        <v>4444</v>
      </c>
      <c r="D152" t="s">
        <v>4445</v>
      </c>
      <c r="E152" t="s">
        <v>4446</v>
      </c>
      <c r="F152" t="s">
        <v>4408</v>
      </c>
      <c r="G152">
        <v>1027456.07657086</v>
      </c>
      <c r="H152">
        <v>64588571.583176903</v>
      </c>
    </row>
    <row r="153" spans="1:8" x14ac:dyDescent="0.25">
      <c r="A153">
        <v>1</v>
      </c>
      <c r="B153" t="s">
        <v>3555</v>
      </c>
      <c r="C153" t="s">
        <v>4447</v>
      </c>
      <c r="D153" t="s">
        <v>4248</v>
      </c>
      <c r="E153" t="s">
        <v>4169</v>
      </c>
      <c r="F153" t="s">
        <v>4170</v>
      </c>
      <c r="G153">
        <v>1754585.98767004</v>
      </c>
      <c r="H153">
        <v>64281544.820395201</v>
      </c>
    </row>
    <row r="154" spans="1:8" x14ac:dyDescent="0.25">
      <c r="A154">
        <v>116</v>
      </c>
      <c r="B154" t="s">
        <v>3555</v>
      </c>
      <c r="C154" t="s">
        <v>4448</v>
      </c>
      <c r="D154" t="s">
        <v>4449</v>
      </c>
      <c r="E154" t="s">
        <v>4169</v>
      </c>
      <c r="F154" t="s">
        <v>4170</v>
      </c>
      <c r="G154">
        <v>1744538.0708870599</v>
      </c>
      <c r="H154">
        <v>64281544.820395201</v>
      </c>
    </row>
    <row r="155" spans="1:8" x14ac:dyDescent="0.25">
      <c r="A155">
        <v>141</v>
      </c>
      <c r="B155" t="s">
        <v>3555</v>
      </c>
      <c r="C155" t="s">
        <v>4450</v>
      </c>
      <c r="D155" t="s">
        <v>4451</v>
      </c>
      <c r="E155" t="s">
        <v>4169</v>
      </c>
      <c r="F155" t="s">
        <v>4170</v>
      </c>
      <c r="G155">
        <v>635359.18651951605</v>
      </c>
      <c r="H155">
        <v>64281544.820395201</v>
      </c>
    </row>
    <row r="156" spans="1:8" x14ac:dyDescent="0.25">
      <c r="A156">
        <v>158</v>
      </c>
      <c r="B156" t="s">
        <v>3555</v>
      </c>
      <c r="C156" t="s">
        <v>4452</v>
      </c>
      <c r="D156" t="s">
        <v>4453</v>
      </c>
      <c r="E156" t="s">
        <v>4169</v>
      </c>
      <c r="F156" t="s">
        <v>4170</v>
      </c>
      <c r="G156">
        <v>1126672.48314206</v>
      </c>
      <c r="H156">
        <v>64281544.820395201</v>
      </c>
    </row>
    <row r="157" spans="1:8" x14ac:dyDescent="0.25">
      <c r="A157">
        <v>163</v>
      </c>
      <c r="B157" t="s">
        <v>3555</v>
      </c>
      <c r="C157" t="s">
        <v>4454</v>
      </c>
      <c r="D157" t="s">
        <v>4455</v>
      </c>
      <c r="E157" t="s">
        <v>4169</v>
      </c>
      <c r="F157" t="s">
        <v>4170</v>
      </c>
      <c r="G157">
        <v>2029317.4913721101</v>
      </c>
      <c r="H157">
        <v>64281544.820395201</v>
      </c>
    </row>
    <row r="158" spans="1:8" x14ac:dyDescent="0.25">
      <c r="A158">
        <v>166</v>
      </c>
      <c r="B158" t="s">
        <v>3555</v>
      </c>
      <c r="C158" t="s">
        <v>4456</v>
      </c>
      <c r="D158" t="s">
        <v>4250</v>
      </c>
      <c r="E158" t="s">
        <v>4169</v>
      </c>
      <c r="F158" t="s">
        <v>4170</v>
      </c>
      <c r="G158">
        <v>618074.99010282999</v>
      </c>
      <c r="H158">
        <v>64281544.820395201</v>
      </c>
    </row>
    <row r="159" spans="1:8" x14ac:dyDescent="0.25">
      <c r="A159">
        <v>194</v>
      </c>
      <c r="B159" t="s">
        <v>3555</v>
      </c>
      <c r="C159" t="s">
        <v>4457</v>
      </c>
      <c r="D159" t="s">
        <v>4458</v>
      </c>
      <c r="E159" t="s">
        <v>4169</v>
      </c>
      <c r="F159" t="s">
        <v>4170</v>
      </c>
      <c r="G159">
        <v>1517437.9541150201</v>
      </c>
      <c r="H159">
        <v>64281544.820395201</v>
      </c>
    </row>
    <row r="160" spans="1:8" x14ac:dyDescent="0.25">
      <c r="A160">
        <v>195</v>
      </c>
      <c r="B160" t="s">
        <v>3555</v>
      </c>
      <c r="C160" t="s">
        <v>4457</v>
      </c>
      <c r="D160" t="s">
        <v>4458</v>
      </c>
      <c r="E160" t="s">
        <v>4169</v>
      </c>
      <c r="F160" t="s">
        <v>4170</v>
      </c>
      <c r="G160">
        <v>1517437.9541150201</v>
      </c>
      <c r="H160">
        <v>64281544.820395201</v>
      </c>
    </row>
    <row r="161" spans="1:8" x14ac:dyDescent="0.25">
      <c r="A161">
        <v>226</v>
      </c>
      <c r="B161" t="s">
        <v>3555</v>
      </c>
      <c r="C161" t="s">
        <v>4459</v>
      </c>
      <c r="D161" t="s">
        <v>4252</v>
      </c>
      <c r="E161" t="s">
        <v>4169</v>
      </c>
      <c r="F161" t="s">
        <v>4170</v>
      </c>
      <c r="G161">
        <v>654652.44186654198</v>
      </c>
      <c r="H161">
        <v>64281544.820395201</v>
      </c>
    </row>
    <row r="162" spans="1:8" x14ac:dyDescent="0.25">
      <c r="A162">
        <v>230</v>
      </c>
      <c r="B162" t="s">
        <v>3555</v>
      </c>
      <c r="C162" t="s">
        <v>4460</v>
      </c>
      <c r="D162" t="s">
        <v>4461</v>
      </c>
      <c r="E162" t="s">
        <v>4169</v>
      </c>
      <c r="F162" t="s">
        <v>4170</v>
      </c>
      <c r="G162">
        <v>351300.37589205703</v>
      </c>
      <c r="H162">
        <v>64281544.820395201</v>
      </c>
    </row>
    <row r="163" spans="1:8" x14ac:dyDescent="0.25">
      <c r="A163">
        <v>287</v>
      </c>
      <c r="B163" t="s">
        <v>3555</v>
      </c>
      <c r="C163" t="s">
        <v>4462</v>
      </c>
      <c r="D163" t="s">
        <v>4463</v>
      </c>
      <c r="E163" t="s">
        <v>4169</v>
      </c>
      <c r="F163" t="s">
        <v>4170</v>
      </c>
      <c r="G163">
        <v>2267057.8936332902</v>
      </c>
      <c r="H163">
        <v>64281544.820395201</v>
      </c>
    </row>
    <row r="164" spans="1:8" x14ac:dyDescent="0.25">
      <c r="A164">
        <v>298</v>
      </c>
      <c r="B164" t="s">
        <v>3555</v>
      </c>
      <c r="C164" t="s">
        <v>4464</v>
      </c>
      <c r="D164" t="s">
        <v>4465</v>
      </c>
      <c r="E164" t="s">
        <v>4169</v>
      </c>
      <c r="F164" t="s">
        <v>4170</v>
      </c>
      <c r="G164">
        <v>9198588.8925270196</v>
      </c>
      <c r="H164">
        <v>64281544.820395201</v>
      </c>
    </row>
    <row r="165" spans="1:8" x14ac:dyDescent="0.25">
      <c r="A165">
        <v>337</v>
      </c>
      <c r="B165" t="s">
        <v>3555</v>
      </c>
      <c r="C165" t="s">
        <v>4466</v>
      </c>
      <c r="D165" t="s">
        <v>4467</v>
      </c>
      <c r="E165" t="s">
        <v>4169</v>
      </c>
      <c r="F165" t="s">
        <v>4170</v>
      </c>
      <c r="G165">
        <v>193274.43579156499</v>
      </c>
      <c r="H165">
        <v>64281544.820395201</v>
      </c>
    </row>
    <row r="166" spans="1:8" x14ac:dyDescent="0.25">
      <c r="A166">
        <v>351</v>
      </c>
      <c r="B166" t="s">
        <v>3555</v>
      </c>
      <c r="C166" t="s">
        <v>4468</v>
      </c>
      <c r="D166" t="s">
        <v>4469</v>
      </c>
      <c r="E166" t="s">
        <v>4169</v>
      </c>
      <c r="F166" t="s">
        <v>4170</v>
      </c>
      <c r="G166">
        <v>415335.83570275398</v>
      </c>
      <c r="H166">
        <v>64281544.820395201</v>
      </c>
    </row>
    <row r="167" spans="1:8" x14ac:dyDescent="0.25">
      <c r="A167">
        <v>385</v>
      </c>
      <c r="B167" t="s">
        <v>3555</v>
      </c>
      <c r="C167" t="s">
        <v>4470</v>
      </c>
      <c r="D167" t="s">
        <v>4256</v>
      </c>
      <c r="E167" t="s">
        <v>4169</v>
      </c>
      <c r="F167" t="s">
        <v>4170</v>
      </c>
      <c r="G167">
        <v>115388226.849215</v>
      </c>
      <c r="H167">
        <v>64281544.820395201</v>
      </c>
    </row>
    <row r="168" spans="1:8" x14ac:dyDescent="0.25">
      <c r="A168">
        <v>409</v>
      </c>
      <c r="B168" t="s">
        <v>3555</v>
      </c>
      <c r="C168" t="s">
        <v>4471</v>
      </c>
      <c r="D168" t="s">
        <v>4472</v>
      </c>
      <c r="E168" t="s">
        <v>4169</v>
      </c>
      <c r="F168" t="s">
        <v>4170</v>
      </c>
      <c r="G168">
        <v>1122364.3240127</v>
      </c>
      <c r="H168">
        <v>64281544.820395201</v>
      </c>
    </row>
    <row r="169" spans="1:8" x14ac:dyDescent="0.25">
      <c r="A169">
        <v>420</v>
      </c>
      <c r="B169" t="s">
        <v>3555</v>
      </c>
      <c r="C169" t="s">
        <v>4473</v>
      </c>
      <c r="D169" t="s">
        <v>4474</v>
      </c>
      <c r="E169" t="s">
        <v>4169</v>
      </c>
      <c r="F169" t="s">
        <v>4170</v>
      </c>
      <c r="G169">
        <v>7220036.2103862697</v>
      </c>
      <c r="H169">
        <v>64281544.820395201</v>
      </c>
    </row>
    <row r="170" spans="1:8" x14ac:dyDescent="0.25">
      <c r="A170">
        <v>150</v>
      </c>
      <c r="B170" t="s">
        <v>3613</v>
      </c>
      <c r="C170" t="s">
        <v>4475</v>
      </c>
      <c r="D170" t="s">
        <v>4476</v>
      </c>
      <c r="E170" t="s">
        <v>4169</v>
      </c>
      <c r="F170" t="s">
        <v>4170</v>
      </c>
      <c r="G170">
        <v>9849492.6366038807</v>
      </c>
      <c r="H170">
        <v>62788067</v>
      </c>
    </row>
    <row r="171" spans="1:8" x14ac:dyDescent="0.25">
      <c r="A171">
        <v>212</v>
      </c>
      <c r="B171" t="s">
        <v>3613</v>
      </c>
      <c r="C171" t="s">
        <v>4477</v>
      </c>
      <c r="D171" t="s">
        <v>4478</v>
      </c>
      <c r="E171" t="s">
        <v>4169</v>
      </c>
      <c r="F171" t="s">
        <v>4170</v>
      </c>
      <c r="G171">
        <v>8780181.3451826908</v>
      </c>
      <c r="H171">
        <v>62788067</v>
      </c>
    </row>
    <row r="172" spans="1:8" x14ac:dyDescent="0.25">
      <c r="A172">
        <v>257</v>
      </c>
      <c r="B172" t="s">
        <v>3613</v>
      </c>
      <c r="C172" t="s">
        <v>4479</v>
      </c>
      <c r="D172" t="s">
        <v>4480</v>
      </c>
      <c r="E172" t="s">
        <v>4169</v>
      </c>
      <c r="F172" t="s">
        <v>4170</v>
      </c>
      <c r="G172">
        <v>460273.61431408202</v>
      </c>
      <c r="H172">
        <v>62788067</v>
      </c>
    </row>
    <row r="173" spans="1:8" x14ac:dyDescent="0.25">
      <c r="A173">
        <v>304</v>
      </c>
      <c r="B173" t="s">
        <v>3613</v>
      </c>
      <c r="C173" t="s">
        <v>4481</v>
      </c>
      <c r="D173" t="s">
        <v>4482</v>
      </c>
      <c r="E173" t="s">
        <v>4169</v>
      </c>
      <c r="F173" t="s">
        <v>4170</v>
      </c>
      <c r="G173">
        <v>1245797.9899738601</v>
      </c>
      <c r="H173">
        <v>62788067</v>
      </c>
    </row>
    <row r="174" spans="1:8" x14ac:dyDescent="0.25">
      <c r="A174">
        <v>393</v>
      </c>
      <c r="B174" t="s">
        <v>3613</v>
      </c>
      <c r="C174" t="s">
        <v>4483</v>
      </c>
      <c r="D174" t="s">
        <v>4484</v>
      </c>
      <c r="E174" t="s">
        <v>4169</v>
      </c>
      <c r="F174" t="s">
        <v>4170</v>
      </c>
      <c r="G174">
        <v>19509132.146696702</v>
      </c>
      <c r="H174">
        <v>62788067</v>
      </c>
    </row>
    <row r="175" spans="1:8" x14ac:dyDescent="0.25">
      <c r="A175">
        <v>111</v>
      </c>
      <c r="B175" t="s">
        <v>3735</v>
      </c>
      <c r="C175" t="s">
        <v>4485</v>
      </c>
      <c r="D175" t="s">
        <v>4486</v>
      </c>
      <c r="E175" t="s">
        <v>4169</v>
      </c>
      <c r="F175" t="s">
        <v>4170</v>
      </c>
      <c r="G175">
        <v>8203123.1881716</v>
      </c>
      <c r="H175">
        <v>60623774.789384097</v>
      </c>
    </row>
    <row r="176" spans="1:8" x14ac:dyDescent="0.25">
      <c r="A176">
        <v>44</v>
      </c>
      <c r="B176" t="s">
        <v>3665</v>
      </c>
      <c r="C176" t="s">
        <v>4487</v>
      </c>
      <c r="D176" t="s">
        <v>4488</v>
      </c>
      <c r="E176" t="s">
        <v>4169</v>
      </c>
      <c r="F176" t="s">
        <v>4170</v>
      </c>
      <c r="G176">
        <v>75477391.797584295</v>
      </c>
      <c r="H176">
        <v>58556063</v>
      </c>
    </row>
    <row r="177" spans="1:8" x14ac:dyDescent="0.25">
      <c r="A177">
        <v>325</v>
      </c>
      <c r="B177" t="s">
        <v>3665</v>
      </c>
      <c r="C177" t="s">
        <v>4489</v>
      </c>
      <c r="D177" t="s">
        <v>4490</v>
      </c>
      <c r="E177" t="s">
        <v>4169</v>
      </c>
      <c r="F177" t="s">
        <v>4170</v>
      </c>
      <c r="G177">
        <v>4107502.9861025801</v>
      </c>
      <c r="H177">
        <v>58556063</v>
      </c>
    </row>
    <row r="178" spans="1:8" x14ac:dyDescent="0.25">
      <c r="A178">
        <v>439</v>
      </c>
      <c r="B178" t="s">
        <v>3665</v>
      </c>
      <c r="C178" t="s">
        <v>4491</v>
      </c>
      <c r="D178" t="s">
        <v>4492</v>
      </c>
      <c r="E178" t="s">
        <v>4169</v>
      </c>
      <c r="F178" t="s">
        <v>4170</v>
      </c>
      <c r="G178">
        <v>19586485.222166501</v>
      </c>
      <c r="H178">
        <v>58556063</v>
      </c>
    </row>
    <row r="179" spans="1:8" x14ac:dyDescent="0.25">
      <c r="A179">
        <v>97</v>
      </c>
      <c r="B179" t="s">
        <v>3691</v>
      </c>
      <c r="C179" t="s">
        <v>4493</v>
      </c>
      <c r="D179" t="s">
        <v>4494</v>
      </c>
      <c r="E179" t="s">
        <v>4169</v>
      </c>
      <c r="F179" t="s">
        <v>4170</v>
      </c>
      <c r="G179">
        <v>9762460.5666900799</v>
      </c>
      <c r="H179">
        <v>58139251</v>
      </c>
    </row>
    <row r="180" spans="1:8" x14ac:dyDescent="0.25">
      <c r="A180">
        <v>279</v>
      </c>
      <c r="B180" t="s">
        <v>3691</v>
      </c>
      <c r="C180" t="s">
        <v>4495</v>
      </c>
      <c r="D180" t="s">
        <v>4496</v>
      </c>
      <c r="E180" t="s">
        <v>4169</v>
      </c>
      <c r="F180" t="s">
        <v>4170</v>
      </c>
      <c r="G180">
        <v>58304634.9038167</v>
      </c>
      <c r="H180">
        <v>58139251</v>
      </c>
    </row>
    <row r="181" spans="1:8" x14ac:dyDescent="0.25">
      <c r="A181">
        <v>151</v>
      </c>
      <c r="B181" t="s">
        <v>3611</v>
      </c>
      <c r="C181" t="s">
        <v>4497</v>
      </c>
      <c r="D181" t="s">
        <v>4476</v>
      </c>
      <c r="E181" t="s">
        <v>4169</v>
      </c>
      <c r="F181" t="s">
        <v>4170</v>
      </c>
      <c r="G181">
        <v>5429865.6582613299</v>
      </c>
      <c r="H181">
        <v>57347349</v>
      </c>
    </row>
    <row r="182" spans="1:8" x14ac:dyDescent="0.25">
      <c r="A182">
        <v>213</v>
      </c>
      <c r="B182" t="s">
        <v>3611</v>
      </c>
      <c r="C182" t="s">
        <v>4498</v>
      </c>
      <c r="D182" t="s">
        <v>4478</v>
      </c>
      <c r="E182" t="s">
        <v>4169</v>
      </c>
      <c r="F182" t="s">
        <v>4170</v>
      </c>
      <c r="G182">
        <v>4730328.3069914896</v>
      </c>
      <c r="H182">
        <v>57347349</v>
      </c>
    </row>
    <row r="183" spans="1:8" x14ac:dyDescent="0.25">
      <c r="A183">
        <v>256</v>
      </c>
      <c r="B183" t="s">
        <v>3611</v>
      </c>
      <c r="C183" t="s">
        <v>4499</v>
      </c>
      <c r="D183" t="s">
        <v>4480</v>
      </c>
      <c r="E183" t="s">
        <v>4169</v>
      </c>
      <c r="F183" t="s">
        <v>4170</v>
      </c>
      <c r="G183">
        <v>192935.471993802</v>
      </c>
      <c r="H183">
        <v>57347349</v>
      </c>
    </row>
    <row r="184" spans="1:8" x14ac:dyDescent="0.25">
      <c r="A184">
        <v>305</v>
      </c>
      <c r="B184" t="s">
        <v>3611</v>
      </c>
      <c r="C184" t="s">
        <v>4500</v>
      </c>
      <c r="D184" t="s">
        <v>4482</v>
      </c>
      <c r="E184" t="s">
        <v>4169</v>
      </c>
      <c r="F184" t="s">
        <v>4170</v>
      </c>
      <c r="G184">
        <v>814586.72484630195</v>
      </c>
      <c r="H184">
        <v>57347349</v>
      </c>
    </row>
    <row r="185" spans="1:8" x14ac:dyDescent="0.25">
      <c r="A185">
        <v>392</v>
      </c>
      <c r="B185" t="s">
        <v>3611</v>
      </c>
      <c r="C185" t="s">
        <v>4501</v>
      </c>
      <c r="D185" t="s">
        <v>4484</v>
      </c>
      <c r="E185" t="s">
        <v>4169</v>
      </c>
      <c r="F185" t="s">
        <v>4170</v>
      </c>
      <c r="G185">
        <v>11904478.996448601</v>
      </c>
      <c r="H185">
        <v>57347349</v>
      </c>
    </row>
    <row r="186" spans="1:8" x14ac:dyDescent="0.25">
      <c r="A186">
        <v>236</v>
      </c>
      <c r="B186" t="s">
        <v>3763</v>
      </c>
      <c r="C186" t="s">
        <v>4502</v>
      </c>
      <c r="D186" t="s">
        <v>4503</v>
      </c>
      <c r="E186" t="s">
        <v>4169</v>
      </c>
      <c r="F186" t="s">
        <v>4170</v>
      </c>
      <c r="G186">
        <v>9561752.5968990307</v>
      </c>
      <c r="H186">
        <v>54827598</v>
      </c>
    </row>
    <row r="187" spans="1:8" x14ac:dyDescent="0.25">
      <c r="A187">
        <v>313</v>
      </c>
      <c r="B187" t="s">
        <v>3763</v>
      </c>
      <c r="C187" t="s">
        <v>4504</v>
      </c>
      <c r="D187" t="s">
        <v>4505</v>
      </c>
      <c r="E187" t="s">
        <v>4169</v>
      </c>
      <c r="F187" t="s">
        <v>4170</v>
      </c>
      <c r="G187">
        <v>3778126.1664768001</v>
      </c>
      <c r="H187">
        <v>54827598</v>
      </c>
    </row>
    <row r="188" spans="1:8" x14ac:dyDescent="0.25">
      <c r="A188">
        <v>37</v>
      </c>
      <c r="B188" t="s">
        <v>3793</v>
      </c>
      <c r="C188" t="s">
        <v>4506</v>
      </c>
      <c r="D188" t="s">
        <v>4507</v>
      </c>
      <c r="E188" t="s">
        <v>4169</v>
      </c>
      <c r="F188" t="s">
        <v>4170</v>
      </c>
      <c r="G188">
        <v>356634.18709647801</v>
      </c>
      <c r="H188">
        <v>52312477.847168803</v>
      </c>
    </row>
    <row r="189" spans="1:8" x14ac:dyDescent="0.25">
      <c r="A189">
        <v>404</v>
      </c>
      <c r="B189" t="s">
        <v>3793</v>
      </c>
      <c r="C189" t="s">
        <v>4508</v>
      </c>
      <c r="D189" t="s">
        <v>4509</v>
      </c>
      <c r="E189" t="s">
        <v>4169</v>
      </c>
      <c r="F189" t="s">
        <v>4170</v>
      </c>
      <c r="G189">
        <v>96977887.311172798</v>
      </c>
      <c r="H189">
        <v>52312477.847168803</v>
      </c>
    </row>
    <row r="190" spans="1:8" x14ac:dyDescent="0.25">
      <c r="A190">
        <v>128</v>
      </c>
      <c r="B190" t="s">
        <v>3857</v>
      </c>
      <c r="C190" t="s">
        <v>4510</v>
      </c>
      <c r="D190" t="s">
        <v>4511</v>
      </c>
      <c r="E190" t="s">
        <v>4169</v>
      </c>
      <c r="F190" t="s">
        <v>4170</v>
      </c>
      <c r="G190">
        <v>3742348.2532578702</v>
      </c>
      <c r="H190">
        <v>47250249.677707799</v>
      </c>
    </row>
    <row r="191" spans="1:8" x14ac:dyDescent="0.25">
      <c r="A191">
        <v>160</v>
      </c>
      <c r="B191" t="s">
        <v>3857</v>
      </c>
      <c r="C191" t="s">
        <v>4512</v>
      </c>
      <c r="D191" t="s">
        <v>4513</v>
      </c>
      <c r="E191" t="s">
        <v>4169</v>
      </c>
      <c r="F191" t="s">
        <v>4170</v>
      </c>
      <c r="G191">
        <v>2476717.93128866</v>
      </c>
      <c r="H191">
        <v>47250249.677707799</v>
      </c>
    </row>
    <row r="192" spans="1:8" x14ac:dyDescent="0.25">
      <c r="A192">
        <v>184</v>
      </c>
      <c r="B192" t="s">
        <v>3857</v>
      </c>
      <c r="C192" t="s">
        <v>4514</v>
      </c>
      <c r="D192" t="s">
        <v>4258</v>
      </c>
      <c r="E192" t="s">
        <v>4169</v>
      </c>
      <c r="F192" t="s">
        <v>4170</v>
      </c>
      <c r="G192">
        <v>3046811.0007700799</v>
      </c>
      <c r="H192">
        <v>47250249.677707799</v>
      </c>
    </row>
    <row r="193" spans="1:8" x14ac:dyDescent="0.25">
      <c r="A193">
        <v>57</v>
      </c>
      <c r="B193" t="s">
        <v>3755</v>
      </c>
      <c r="C193" t="s">
        <v>4515</v>
      </c>
      <c r="D193" t="s">
        <v>4516</v>
      </c>
      <c r="E193" t="s">
        <v>4169</v>
      </c>
      <c r="F193" t="s">
        <v>4170</v>
      </c>
      <c r="G193">
        <v>7696630.0897971001</v>
      </c>
      <c r="H193">
        <v>45341678.094902501</v>
      </c>
    </row>
    <row r="194" spans="1:8" x14ac:dyDescent="0.25">
      <c r="A194">
        <v>61</v>
      </c>
      <c r="B194" t="s">
        <v>3755</v>
      </c>
      <c r="C194" t="s">
        <v>4517</v>
      </c>
      <c r="D194" t="s">
        <v>4518</v>
      </c>
      <c r="E194" t="s">
        <v>4169</v>
      </c>
      <c r="F194" t="s">
        <v>4170</v>
      </c>
      <c r="G194">
        <v>1330919.2779208201</v>
      </c>
      <c r="H194">
        <v>45341678.094902501</v>
      </c>
    </row>
    <row r="195" spans="1:8" x14ac:dyDescent="0.25">
      <c r="A195">
        <v>154</v>
      </c>
      <c r="B195" t="s">
        <v>3921</v>
      </c>
      <c r="C195" t="s">
        <v>4519</v>
      </c>
      <c r="D195" t="s">
        <v>4520</v>
      </c>
      <c r="E195" t="s">
        <v>4414</v>
      </c>
      <c r="F195" t="s">
        <v>4521</v>
      </c>
      <c r="G195">
        <v>176919.37519204599</v>
      </c>
      <c r="H195">
        <v>36710419.671129502</v>
      </c>
    </row>
    <row r="196" spans="1:8" x14ac:dyDescent="0.25">
      <c r="A196">
        <v>56</v>
      </c>
      <c r="B196" t="s">
        <v>3753</v>
      </c>
      <c r="C196" t="s">
        <v>4522</v>
      </c>
      <c r="D196" t="s">
        <v>4516</v>
      </c>
      <c r="E196" t="s">
        <v>4169</v>
      </c>
      <c r="F196" t="s">
        <v>4170</v>
      </c>
      <c r="G196">
        <v>14164438.643962599</v>
      </c>
      <c r="H196">
        <v>34689719.407495901</v>
      </c>
    </row>
    <row r="197" spans="1:8" x14ac:dyDescent="0.25">
      <c r="A197">
        <v>60</v>
      </c>
      <c r="B197" t="s">
        <v>3753</v>
      </c>
      <c r="C197" t="s">
        <v>4523</v>
      </c>
      <c r="D197" t="s">
        <v>4518</v>
      </c>
      <c r="E197" t="s">
        <v>4169</v>
      </c>
      <c r="F197" t="s">
        <v>4170</v>
      </c>
      <c r="G197">
        <v>2933010.31075696</v>
      </c>
      <c r="H197">
        <v>34689719.407495901</v>
      </c>
    </row>
    <row r="198" spans="1:8" x14ac:dyDescent="0.25">
      <c r="A198">
        <v>36</v>
      </c>
      <c r="B198" t="s">
        <v>3791</v>
      </c>
      <c r="C198" t="s">
        <v>4524</v>
      </c>
      <c r="D198" t="s">
        <v>4507</v>
      </c>
      <c r="E198" t="s">
        <v>4169</v>
      </c>
      <c r="F198" t="s">
        <v>4170</v>
      </c>
      <c r="G198">
        <v>842356.64883111895</v>
      </c>
      <c r="H198">
        <v>34209685.532672003</v>
      </c>
    </row>
    <row r="199" spans="1:8" x14ac:dyDescent="0.25">
      <c r="A199">
        <v>405</v>
      </c>
      <c r="B199" t="s">
        <v>3791</v>
      </c>
      <c r="C199" t="s">
        <v>4525</v>
      </c>
      <c r="D199" t="s">
        <v>4509</v>
      </c>
      <c r="E199" t="s">
        <v>4169</v>
      </c>
      <c r="F199" t="s">
        <v>4170</v>
      </c>
      <c r="G199">
        <v>215503819.56496999</v>
      </c>
      <c r="H199">
        <v>34209685.532672003</v>
      </c>
    </row>
    <row r="200" spans="1:8" x14ac:dyDescent="0.25">
      <c r="A200">
        <v>211</v>
      </c>
      <c r="B200" t="s">
        <v>4017</v>
      </c>
      <c r="C200" t="s">
        <v>4526</v>
      </c>
      <c r="D200" t="s">
        <v>4363</v>
      </c>
      <c r="E200" t="s">
        <v>4169</v>
      </c>
      <c r="F200" t="s">
        <v>4170</v>
      </c>
      <c r="G200">
        <v>11587731.580859501</v>
      </c>
      <c r="H200">
        <v>33790154</v>
      </c>
    </row>
    <row r="201" spans="1:8" x14ac:dyDescent="0.25">
      <c r="A201">
        <v>359</v>
      </c>
      <c r="B201" t="s">
        <v>4017</v>
      </c>
      <c r="C201" t="s">
        <v>4527</v>
      </c>
      <c r="D201" t="s">
        <v>4365</v>
      </c>
      <c r="E201" t="s">
        <v>4169</v>
      </c>
      <c r="F201" t="s">
        <v>4170</v>
      </c>
      <c r="G201">
        <v>2790011.39670341</v>
      </c>
      <c r="H201">
        <v>33790154</v>
      </c>
    </row>
    <row r="202" spans="1:8" x14ac:dyDescent="0.25">
      <c r="A202">
        <v>100</v>
      </c>
      <c r="B202" t="s">
        <v>3721</v>
      </c>
      <c r="C202" t="s">
        <v>4528</v>
      </c>
      <c r="D202" t="s">
        <v>4210</v>
      </c>
      <c r="E202" t="s">
        <v>4169</v>
      </c>
      <c r="F202" t="s">
        <v>4170</v>
      </c>
      <c r="G202">
        <v>4556905.5815774798</v>
      </c>
      <c r="H202">
        <v>33182937.106100801</v>
      </c>
    </row>
    <row r="203" spans="1:8" x14ac:dyDescent="0.25">
      <c r="A203">
        <v>145</v>
      </c>
      <c r="B203" t="s">
        <v>3721</v>
      </c>
      <c r="C203" t="s">
        <v>4529</v>
      </c>
      <c r="D203" t="s">
        <v>4212</v>
      </c>
      <c r="E203" t="s">
        <v>4169</v>
      </c>
      <c r="F203" t="s">
        <v>4170</v>
      </c>
      <c r="G203">
        <v>955147.43346556602</v>
      </c>
      <c r="H203">
        <v>33182937.106100801</v>
      </c>
    </row>
    <row r="204" spans="1:8" x14ac:dyDescent="0.25">
      <c r="A204">
        <v>198</v>
      </c>
      <c r="B204" t="s">
        <v>3721</v>
      </c>
      <c r="C204" t="s">
        <v>4530</v>
      </c>
      <c r="D204" t="s">
        <v>4214</v>
      </c>
      <c r="E204" t="s">
        <v>4169</v>
      </c>
      <c r="F204" t="s">
        <v>4170</v>
      </c>
      <c r="G204">
        <v>455228.85145225399</v>
      </c>
      <c r="H204">
        <v>33182937.106100801</v>
      </c>
    </row>
    <row r="205" spans="1:8" x14ac:dyDescent="0.25">
      <c r="A205">
        <v>288</v>
      </c>
      <c r="B205" t="s">
        <v>3721</v>
      </c>
      <c r="C205" t="s">
        <v>4531</v>
      </c>
      <c r="D205" t="s">
        <v>4216</v>
      </c>
      <c r="E205" t="s">
        <v>4169</v>
      </c>
      <c r="F205" t="s">
        <v>4170</v>
      </c>
      <c r="G205">
        <v>5430151.7829338899</v>
      </c>
      <c r="H205">
        <v>33182937.106100801</v>
      </c>
    </row>
    <row r="206" spans="1:8" x14ac:dyDescent="0.25">
      <c r="A206">
        <v>398</v>
      </c>
      <c r="B206" t="s">
        <v>3721</v>
      </c>
      <c r="C206" t="s">
        <v>4532</v>
      </c>
      <c r="D206" t="s">
        <v>4218</v>
      </c>
      <c r="E206" t="s">
        <v>4169</v>
      </c>
      <c r="F206" t="s">
        <v>4170</v>
      </c>
      <c r="G206">
        <v>893389.87641024299</v>
      </c>
      <c r="H206">
        <v>33182937.106100801</v>
      </c>
    </row>
    <row r="207" spans="1:8" x14ac:dyDescent="0.25">
      <c r="A207">
        <v>418</v>
      </c>
      <c r="B207" t="s">
        <v>3721</v>
      </c>
      <c r="C207" t="s">
        <v>4533</v>
      </c>
      <c r="D207" t="s">
        <v>4220</v>
      </c>
      <c r="E207" t="s">
        <v>4169</v>
      </c>
      <c r="F207" t="s">
        <v>4170</v>
      </c>
      <c r="G207">
        <v>13178596.946619101</v>
      </c>
      <c r="H207">
        <v>33182937.106100801</v>
      </c>
    </row>
    <row r="208" spans="1:8" x14ac:dyDescent="0.25">
      <c r="A208">
        <v>46</v>
      </c>
      <c r="B208" t="s">
        <v>3623</v>
      </c>
      <c r="C208" t="s">
        <v>4534</v>
      </c>
      <c r="D208" t="s">
        <v>4260</v>
      </c>
      <c r="E208" t="s">
        <v>4169</v>
      </c>
      <c r="F208" t="s">
        <v>4170</v>
      </c>
      <c r="G208">
        <v>5901722.7523393501</v>
      </c>
      <c r="H208">
        <v>32364410.210595801</v>
      </c>
    </row>
    <row r="209" spans="1:8" x14ac:dyDescent="0.25">
      <c r="A209">
        <v>48</v>
      </c>
      <c r="B209" t="s">
        <v>3623</v>
      </c>
      <c r="C209" t="s">
        <v>4535</v>
      </c>
      <c r="D209" t="s">
        <v>4262</v>
      </c>
      <c r="E209" t="s">
        <v>4169</v>
      </c>
      <c r="F209" t="s">
        <v>4170</v>
      </c>
      <c r="G209">
        <v>15538923.3900414</v>
      </c>
      <c r="H209">
        <v>32364410.210595801</v>
      </c>
    </row>
    <row r="210" spans="1:8" x14ac:dyDescent="0.25">
      <c r="A210">
        <v>81</v>
      </c>
      <c r="B210" t="s">
        <v>3623</v>
      </c>
      <c r="C210" t="s">
        <v>4536</v>
      </c>
      <c r="D210" t="s">
        <v>4264</v>
      </c>
      <c r="E210" t="s">
        <v>4169</v>
      </c>
      <c r="F210" t="s">
        <v>4170</v>
      </c>
      <c r="G210">
        <v>10563117.252708299</v>
      </c>
      <c r="H210">
        <v>32364410.210595801</v>
      </c>
    </row>
    <row r="211" spans="1:8" x14ac:dyDescent="0.25">
      <c r="A211">
        <v>132</v>
      </c>
      <c r="B211" t="s">
        <v>3623</v>
      </c>
      <c r="C211" t="s">
        <v>4537</v>
      </c>
      <c r="D211" t="s">
        <v>4266</v>
      </c>
      <c r="E211" t="s">
        <v>4169</v>
      </c>
      <c r="F211" t="s">
        <v>4170</v>
      </c>
      <c r="G211">
        <v>5731389.4629496001</v>
      </c>
      <c r="H211">
        <v>32364410.210595801</v>
      </c>
    </row>
    <row r="212" spans="1:8" x14ac:dyDescent="0.25">
      <c r="A212">
        <v>146</v>
      </c>
      <c r="B212" t="s">
        <v>3623</v>
      </c>
      <c r="C212" t="s">
        <v>4538</v>
      </c>
      <c r="D212" t="s">
        <v>4268</v>
      </c>
      <c r="E212" t="s">
        <v>4169</v>
      </c>
      <c r="F212" t="s">
        <v>4170</v>
      </c>
      <c r="G212">
        <v>6976105.9606526</v>
      </c>
      <c r="H212">
        <v>32364410.210595801</v>
      </c>
    </row>
    <row r="213" spans="1:8" x14ac:dyDescent="0.25">
      <c r="A213">
        <v>280</v>
      </c>
      <c r="B213" t="s">
        <v>3623</v>
      </c>
      <c r="C213" t="s">
        <v>4539</v>
      </c>
      <c r="D213" t="s">
        <v>4270</v>
      </c>
      <c r="E213" t="s">
        <v>4169</v>
      </c>
      <c r="F213" t="s">
        <v>4170</v>
      </c>
      <c r="G213">
        <v>1351812.9792182201</v>
      </c>
      <c r="H213">
        <v>32364410.210595801</v>
      </c>
    </row>
    <row r="214" spans="1:8" x14ac:dyDescent="0.25">
      <c r="A214">
        <v>303</v>
      </c>
      <c r="B214" t="s">
        <v>3623</v>
      </c>
      <c r="C214" t="s">
        <v>4540</v>
      </c>
      <c r="D214" t="s">
        <v>4272</v>
      </c>
      <c r="E214" t="s">
        <v>4169</v>
      </c>
      <c r="F214" t="s">
        <v>4170</v>
      </c>
      <c r="G214">
        <v>11164868.869671199</v>
      </c>
      <c r="H214">
        <v>32364410.210595801</v>
      </c>
    </row>
    <row r="215" spans="1:8" x14ac:dyDescent="0.25">
      <c r="A215">
        <v>425</v>
      </c>
      <c r="B215" t="s">
        <v>3623</v>
      </c>
      <c r="C215" t="s">
        <v>4541</v>
      </c>
      <c r="D215" t="s">
        <v>4274</v>
      </c>
      <c r="E215" t="s">
        <v>4169</v>
      </c>
      <c r="F215" t="s">
        <v>4170</v>
      </c>
      <c r="G215">
        <v>5402392.4217266198</v>
      </c>
      <c r="H215">
        <v>32364410.210595801</v>
      </c>
    </row>
    <row r="216" spans="1:8" x14ac:dyDescent="0.25">
      <c r="A216">
        <v>432</v>
      </c>
      <c r="B216" t="s">
        <v>3623</v>
      </c>
      <c r="C216" t="s">
        <v>4542</v>
      </c>
      <c r="D216" t="s">
        <v>4276</v>
      </c>
      <c r="E216" t="s">
        <v>4169</v>
      </c>
      <c r="F216" t="s">
        <v>4170</v>
      </c>
      <c r="G216">
        <v>30920365.7516862</v>
      </c>
      <c r="H216">
        <v>32364410.210595801</v>
      </c>
    </row>
    <row r="217" spans="1:8" x14ac:dyDescent="0.25">
      <c r="A217">
        <v>448</v>
      </c>
      <c r="B217" t="s">
        <v>3623</v>
      </c>
      <c r="C217" t="s">
        <v>4543</v>
      </c>
      <c r="D217" t="s">
        <v>4278</v>
      </c>
      <c r="E217" t="s">
        <v>4169</v>
      </c>
      <c r="F217" t="s">
        <v>4170</v>
      </c>
      <c r="G217">
        <v>3638718.2440522299</v>
      </c>
      <c r="H217">
        <v>32364410.210595801</v>
      </c>
    </row>
    <row r="218" spans="1:8" x14ac:dyDescent="0.25">
      <c r="A218">
        <v>464</v>
      </c>
      <c r="B218" t="s">
        <v>3623</v>
      </c>
      <c r="C218" t="s">
        <v>4544</v>
      </c>
      <c r="D218" t="s">
        <v>4280</v>
      </c>
      <c r="E218" t="s">
        <v>4169</v>
      </c>
      <c r="F218" t="s">
        <v>4170</v>
      </c>
      <c r="G218">
        <v>10345881.345656</v>
      </c>
      <c r="H218">
        <v>32364410.210595801</v>
      </c>
    </row>
    <row r="219" spans="1:8" x14ac:dyDescent="0.25">
      <c r="A219">
        <v>11</v>
      </c>
      <c r="B219" t="s">
        <v>3561</v>
      </c>
      <c r="C219" t="s">
        <v>4545</v>
      </c>
      <c r="D219" t="s">
        <v>4319</v>
      </c>
      <c r="E219" t="s">
        <v>4169</v>
      </c>
      <c r="F219" t="s">
        <v>4170</v>
      </c>
      <c r="G219">
        <v>21266359.440967999</v>
      </c>
      <c r="H219">
        <v>31841190.142281301</v>
      </c>
    </row>
    <row r="220" spans="1:8" x14ac:dyDescent="0.25">
      <c r="A220">
        <v>40</v>
      </c>
      <c r="B220" t="s">
        <v>3561</v>
      </c>
      <c r="C220" t="s">
        <v>4546</v>
      </c>
      <c r="D220" t="s">
        <v>4321</v>
      </c>
      <c r="E220" t="s">
        <v>4169</v>
      </c>
      <c r="F220" t="s">
        <v>4170</v>
      </c>
      <c r="G220">
        <v>10976654.7313937</v>
      </c>
      <c r="H220">
        <v>31841190.142281301</v>
      </c>
    </row>
    <row r="221" spans="1:8" x14ac:dyDescent="0.25">
      <c r="A221">
        <v>68</v>
      </c>
      <c r="B221" t="s">
        <v>3561</v>
      </c>
      <c r="C221" t="s">
        <v>4547</v>
      </c>
      <c r="D221" t="s">
        <v>4323</v>
      </c>
      <c r="E221" t="s">
        <v>4169</v>
      </c>
      <c r="F221" t="s">
        <v>4170</v>
      </c>
      <c r="G221">
        <v>393287.65711758402</v>
      </c>
      <c r="H221">
        <v>31841190.142281301</v>
      </c>
    </row>
    <row r="222" spans="1:8" x14ac:dyDescent="0.25">
      <c r="A222">
        <v>74</v>
      </c>
      <c r="B222" t="s">
        <v>3561</v>
      </c>
      <c r="C222" t="s">
        <v>4548</v>
      </c>
      <c r="D222" t="s">
        <v>4325</v>
      </c>
      <c r="E222" t="s">
        <v>4169</v>
      </c>
      <c r="F222" t="s">
        <v>4170</v>
      </c>
      <c r="G222">
        <v>4798994.9337148601</v>
      </c>
      <c r="H222">
        <v>31841190.142281301</v>
      </c>
    </row>
    <row r="223" spans="1:8" x14ac:dyDescent="0.25">
      <c r="A223">
        <v>136</v>
      </c>
      <c r="B223" t="s">
        <v>3561</v>
      </c>
      <c r="C223" t="s">
        <v>4549</v>
      </c>
      <c r="D223" t="s">
        <v>4327</v>
      </c>
      <c r="E223" t="s">
        <v>4169</v>
      </c>
      <c r="F223" t="s">
        <v>4170</v>
      </c>
      <c r="G223">
        <v>4375385.1869632099</v>
      </c>
      <c r="H223">
        <v>31841190.142281301</v>
      </c>
    </row>
    <row r="224" spans="1:8" x14ac:dyDescent="0.25">
      <c r="A224">
        <v>170</v>
      </c>
      <c r="B224" t="s">
        <v>3561</v>
      </c>
      <c r="C224" t="s">
        <v>4550</v>
      </c>
      <c r="D224" t="s">
        <v>4329</v>
      </c>
      <c r="E224" t="s">
        <v>4169</v>
      </c>
      <c r="F224" t="s">
        <v>4170</v>
      </c>
      <c r="G224">
        <v>5294420.40512117</v>
      </c>
      <c r="H224">
        <v>31841190.142281301</v>
      </c>
    </row>
    <row r="225" spans="1:8" x14ac:dyDescent="0.25">
      <c r="A225">
        <v>182</v>
      </c>
      <c r="B225" t="s">
        <v>3561</v>
      </c>
      <c r="C225" t="s">
        <v>4551</v>
      </c>
      <c r="D225" t="s">
        <v>4331</v>
      </c>
      <c r="E225" t="s">
        <v>4169</v>
      </c>
      <c r="F225" t="s">
        <v>4170</v>
      </c>
      <c r="G225">
        <v>1747882.23432194</v>
      </c>
      <c r="H225">
        <v>31841190.142281301</v>
      </c>
    </row>
    <row r="226" spans="1:8" x14ac:dyDescent="0.25">
      <c r="A226">
        <v>239</v>
      </c>
      <c r="B226" t="s">
        <v>3561</v>
      </c>
      <c r="C226" t="s">
        <v>4552</v>
      </c>
      <c r="D226" t="s">
        <v>4333</v>
      </c>
      <c r="E226" t="s">
        <v>4169</v>
      </c>
      <c r="F226" t="s">
        <v>4170</v>
      </c>
      <c r="G226">
        <v>1166283.89998616</v>
      </c>
      <c r="H226">
        <v>31841190.142281301</v>
      </c>
    </row>
    <row r="227" spans="1:8" x14ac:dyDescent="0.25">
      <c r="A227">
        <v>250</v>
      </c>
      <c r="B227" t="s">
        <v>3561</v>
      </c>
      <c r="C227" t="s">
        <v>4553</v>
      </c>
      <c r="D227" t="s">
        <v>4335</v>
      </c>
      <c r="E227" t="s">
        <v>4169</v>
      </c>
      <c r="F227" t="s">
        <v>4170</v>
      </c>
      <c r="G227">
        <v>680219.96600714605</v>
      </c>
      <c r="H227">
        <v>31841190.142281301</v>
      </c>
    </row>
    <row r="228" spans="1:8" x14ac:dyDescent="0.25">
      <c r="A228">
        <v>316</v>
      </c>
      <c r="B228" t="s">
        <v>3561</v>
      </c>
      <c r="C228" t="s">
        <v>4554</v>
      </c>
      <c r="D228" t="s">
        <v>4337</v>
      </c>
      <c r="E228" t="s">
        <v>4169</v>
      </c>
      <c r="F228" t="s">
        <v>4170</v>
      </c>
      <c r="G228">
        <v>3741093.6699124998</v>
      </c>
      <c r="H228">
        <v>31841190.142281301</v>
      </c>
    </row>
    <row r="229" spans="1:8" x14ac:dyDescent="0.25">
      <c r="A229">
        <v>372</v>
      </c>
      <c r="B229" t="s">
        <v>3561</v>
      </c>
      <c r="C229" t="s">
        <v>4555</v>
      </c>
      <c r="D229" t="s">
        <v>4339</v>
      </c>
      <c r="E229" t="s">
        <v>4169</v>
      </c>
      <c r="F229" t="s">
        <v>4170</v>
      </c>
      <c r="G229">
        <v>6430001.0863400605</v>
      </c>
      <c r="H229">
        <v>31841190.142281301</v>
      </c>
    </row>
    <row r="230" spans="1:8" x14ac:dyDescent="0.25">
      <c r="A230">
        <v>374</v>
      </c>
      <c r="B230" t="s">
        <v>3561</v>
      </c>
      <c r="C230" t="s">
        <v>4556</v>
      </c>
      <c r="D230" t="s">
        <v>4341</v>
      </c>
      <c r="E230" t="s">
        <v>4169</v>
      </c>
      <c r="F230" t="s">
        <v>4170</v>
      </c>
      <c r="G230">
        <v>3801942.1543953498</v>
      </c>
      <c r="H230">
        <v>31841190.142281301</v>
      </c>
    </row>
    <row r="231" spans="1:8" x14ac:dyDescent="0.25">
      <c r="A231">
        <v>401</v>
      </c>
      <c r="B231" t="s">
        <v>3561</v>
      </c>
      <c r="C231" t="s">
        <v>4557</v>
      </c>
      <c r="D231" t="s">
        <v>4343</v>
      </c>
      <c r="E231" t="s">
        <v>4169</v>
      </c>
      <c r="F231" t="s">
        <v>4170</v>
      </c>
      <c r="G231">
        <v>7109069.2703932896</v>
      </c>
      <c r="H231">
        <v>31841190.142281301</v>
      </c>
    </row>
    <row r="232" spans="1:8" x14ac:dyDescent="0.25">
      <c r="A232">
        <v>406</v>
      </c>
      <c r="B232" t="s">
        <v>3561</v>
      </c>
      <c r="C232" t="s">
        <v>4558</v>
      </c>
      <c r="D232" t="s">
        <v>4345</v>
      </c>
      <c r="E232" t="s">
        <v>4169</v>
      </c>
      <c r="F232" t="s">
        <v>4170</v>
      </c>
      <c r="G232">
        <v>9522215.1212198995</v>
      </c>
      <c r="H232">
        <v>31841190.142281301</v>
      </c>
    </row>
    <row r="233" spans="1:8" x14ac:dyDescent="0.25">
      <c r="A233">
        <v>415</v>
      </c>
      <c r="B233" t="s">
        <v>3561</v>
      </c>
      <c r="C233" t="s">
        <v>4559</v>
      </c>
      <c r="D233" t="s">
        <v>4347</v>
      </c>
      <c r="E233" t="s">
        <v>4169</v>
      </c>
      <c r="F233" t="s">
        <v>4170</v>
      </c>
      <c r="G233">
        <v>2565467.31767835</v>
      </c>
      <c r="H233">
        <v>31841190.142281301</v>
      </c>
    </row>
    <row r="234" spans="1:8" x14ac:dyDescent="0.25">
      <c r="A234">
        <v>436</v>
      </c>
      <c r="B234" t="s">
        <v>3561</v>
      </c>
      <c r="C234" t="s">
        <v>4560</v>
      </c>
      <c r="D234" t="s">
        <v>4349</v>
      </c>
      <c r="E234" t="s">
        <v>4169</v>
      </c>
      <c r="F234" t="s">
        <v>4170</v>
      </c>
      <c r="G234">
        <v>4287493.3548481297</v>
      </c>
      <c r="H234">
        <v>31841190.142281301</v>
      </c>
    </row>
    <row r="235" spans="1:8" x14ac:dyDescent="0.25">
      <c r="A235">
        <v>93</v>
      </c>
      <c r="B235" t="s">
        <v>3607</v>
      </c>
      <c r="C235" t="s">
        <v>4561</v>
      </c>
      <c r="D235" t="s">
        <v>4196</v>
      </c>
      <c r="E235" t="s">
        <v>4169</v>
      </c>
      <c r="F235" t="s">
        <v>4170</v>
      </c>
      <c r="G235">
        <v>6815667.1740010502</v>
      </c>
      <c r="H235">
        <v>31687500.377034899</v>
      </c>
    </row>
    <row r="236" spans="1:8" x14ac:dyDescent="0.25">
      <c r="A236">
        <v>94</v>
      </c>
      <c r="B236" t="s">
        <v>3607</v>
      </c>
      <c r="C236" t="s">
        <v>4562</v>
      </c>
      <c r="D236" t="s">
        <v>4198</v>
      </c>
      <c r="E236" t="s">
        <v>4169</v>
      </c>
      <c r="F236" t="s">
        <v>4170</v>
      </c>
      <c r="G236">
        <v>3978372.0771160801</v>
      </c>
      <c r="H236">
        <v>31687500.377034899</v>
      </c>
    </row>
    <row r="237" spans="1:8" x14ac:dyDescent="0.25">
      <c r="A237">
        <v>118</v>
      </c>
      <c r="B237" t="s">
        <v>3607</v>
      </c>
      <c r="C237" t="s">
        <v>4563</v>
      </c>
      <c r="D237" t="s">
        <v>4200</v>
      </c>
      <c r="E237" t="s">
        <v>4169</v>
      </c>
      <c r="F237" t="s">
        <v>4170</v>
      </c>
      <c r="G237">
        <v>4742911.4544495698</v>
      </c>
      <c r="H237">
        <v>31687500.377034899</v>
      </c>
    </row>
    <row r="238" spans="1:8" x14ac:dyDescent="0.25">
      <c r="A238">
        <v>290</v>
      </c>
      <c r="B238" t="s">
        <v>3607</v>
      </c>
      <c r="C238" t="s">
        <v>4564</v>
      </c>
      <c r="D238" t="s">
        <v>4202</v>
      </c>
      <c r="E238" t="s">
        <v>4169</v>
      </c>
      <c r="F238" t="s">
        <v>4170</v>
      </c>
      <c r="G238">
        <v>6939270.4049108699</v>
      </c>
      <c r="H238">
        <v>31687500.377034899</v>
      </c>
    </row>
    <row r="239" spans="1:8" x14ac:dyDescent="0.25">
      <c r="A239">
        <v>13</v>
      </c>
      <c r="B239" t="s">
        <v>3629</v>
      </c>
      <c r="C239" t="s">
        <v>4565</v>
      </c>
      <c r="D239" t="s">
        <v>4351</v>
      </c>
      <c r="E239" t="s">
        <v>4169</v>
      </c>
      <c r="F239" t="s">
        <v>4170</v>
      </c>
      <c r="G239">
        <v>96143097.5378647</v>
      </c>
      <c r="H239">
        <v>30735684</v>
      </c>
    </row>
    <row r="240" spans="1:8" x14ac:dyDescent="0.25">
      <c r="A240">
        <v>14</v>
      </c>
      <c r="B240" t="s">
        <v>3651</v>
      </c>
      <c r="C240" t="s">
        <v>4566</v>
      </c>
      <c r="D240" t="s">
        <v>4293</v>
      </c>
      <c r="E240" t="s">
        <v>4169</v>
      </c>
      <c r="F240" t="s">
        <v>4170</v>
      </c>
      <c r="G240">
        <v>1044720.05755823</v>
      </c>
      <c r="H240">
        <v>30384272.929985002</v>
      </c>
    </row>
    <row r="241" spans="1:8" x14ac:dyDescent="0.25">
      <c r="A241">
        <v>24</v>
      </c>
      <c r="B241" t="s">
        <v>3651</v>
      </c>
      <c r="C241" t="s">
        <v>4567</v>
      </c>
      <c r="D241" t="s">
        <v>4295</v>
      </c>
      <c r="E241" t="s">
        <v>4169</v>
      </c>
      <c r="F241" t="s">
        <v>4170</v>
      </c>
      <c r="G241">
        <v>1505188.31667492</v>
      </c>
      <c r="H241">
        <v>30384272.929985002</v>
      </c>
    </row>
    <row r="242" spans="1:8" x14ac:dyDescent="0.25">
      <c r="A242">
        <v>76</v>
      </c>
      <c r="B242" t="s">
        <v>3651</v>
      </c>
      <c r="C242" t="s">
        <v>4568</v>
      </c>
      <c r="D242" t="s">
        <v>4297</v>
      </c>
      <c r="E242" t="s">
        <v>4169</v>
      </c>
      <c r="F242" t="s">
        <v>4170</v>
      </c>
      <c r="G242">
        <v>6735584.5659794696</v>
      </c>
      <c r="H242">
        <v>30384272.929985002</v>
      </c>
    </row>
    <row r="243" spans="1:8" x14ac:dyDescent="0.25">
      <c r="A243">
        <v>86</v>
      </c>
      <c r="B243" t="s">
        <v>3651</v>
      </c>
      <c r="C243" t="s">
        <v>4569</v>
      </c>
      <c r="D243" t="s">
        <v>4299</v>
      </c>
      <c r="E243" t="s">
        <v>4169</v>
      </c>
      <c r="F243" t="s">
        <v>4170</v>
      </c>
      <c r="G243">
        <v>1726647.6038462799</v>
      </c>
      <c r="H243">
        <v>30384272.929985002</v>
      </c>
    </row>
    <row r="244" spans="1:8" x14ac:dyDescent="0.25">
      <c r="A244">
        <v>91</v>
      </c>
      <c r="B244" t="s">
        <v>3651</v>
      </c>
      <c r="C244" t="s">
        <v>4570</v>
      </c>
      <c r="D244" t="s">
        <v>4301</v>
      </c>
      <c r="E244" t="s">
        <v>4169</v>
      </c>
      <c r="F244" t="s">
        <v>4170</v>
      </c>
      <c r="G244">
        <v>1124164.3827438799</v>
      </c>
      <c r="H244">
        <v>30384272.929985002</v>
      </c>
    </row>
    <row r="245" spans="1:8" x14ac:dyDescent="0.25">
      <c r="A245">
        <v>127</v>
      </c>
      <c r="B245" t="s">
        <v>3651</v>
      </c>
      <c r="C245" t="s">
        <v>4571</v>
      </c>
      <c r="D245" t="s">
        <v>4303</v>
      </c>
      <c r="E245" t="s">
        <v>4169</v>
      </c>
      <c r="F245" t="s">
        <v>4170</v>
      </c>
      <c r="G245">
        <v>1671110.9721661999</v>
      </c>
      <c r="H245">
        <v>30384272.929985002</v>
      </c>
    </row>
    <row r="246" spans="1:8" x14ac:dyDescent="0.25">
      <c r="A246">
        <v>164</v>
      </c>
      <c r="B246" t="s">
        <v>3651</v>
      </c>
      <c r="C246" t="s">
        <v>4572</v>
      </c>
      <c r="D246" t="s">
        <v>4305</v>
      </c>
      <c r="E246" t="s">
        <v>4169</v>
      </c>
      <c r="F246" t="s">
        <v>4170</v>
      </c>
      <c r="G246">
        <v>11515947.858116699</v>
      </c>
      <c r="H246">
        <v>30384272.929985002</v>
      </c>
    </row>
    <row r="247" spans="1:8" x14ac:dyDescent="0.25">
      <c r="A247">
        <v>201</v>
      </c>
      <c r="B247" t="s">
        <v>3651</v>
      </c>
      <c r="C247" t="s">
        <v>4573</v>
      </c>
      <c r="D247" t="s">
        <v>4307</v>
      </c>
      <c r="E247" t="s">
        <v>4169</v>
      </c>
      <c r="F247" t="s">
        <v>4170</v>
      </c>
      <c r="G247">
        <v>3042951.0275790198</v>
      </c>
      <c r="H247">
        <v>30384272.929985002</v>
      </c>
    </row>
    <row r="248" spans="1:8" x14ac:dyDescent="0.25">
      <c r="A248">
        <v>282</v>
      </c>
      <c r="B248" t="s">
        <v>3651</v>
      </c>
      <c r="C248" t="s">
        <v>4574</v>
      </c>
      <c r="D248" t="s">
        <v>4309</v>
      </c>
      <c r="E248" t="s">
        <v>4169</v>
      </c>
      <c r="F248" t="s">
        <v>4170</v>
      </c>
      <c r="G248">
        <v>7010859.47569062</v>
      </c>
      <c r="H248">
        <v>30384272.929985002</v>
      </c>
    </row>
    <row r="249" spans="1:8" x14ac:dyDescent="0.25">
      <c r="A249">
        <v>322</v>
      </c>
      <c r="B249" t="s">
        <v>3651</v>
      </c>
      <c r="C249" t="s">
        <v>4575</v>
      </c>
      <c r="D249" t="s">
        <v>4311</v>
      </c>
      <c r="E249" t="s">
        <v>4169</v>
      </c>
      <c r="F249" t="s">
        <v>4170</v>
      </c>
      <c r="G249">
        <v>10866711.938280201</v>
      </c>
      <c r="H249">
        <v>30384272.929985002</v>
      </c>
    </row>
    <row r="250" spans="1:8" x14ac:dyDescent="0.25">
      <c r="A250">
        <v>387</v>
      </c>
      <c r="B250" t="s">
        <v>3651</v>
      </c>
      <c r="C250" t="s">
        <v>4576</v>
      </c>
      <c r="D250" t="s">
        <v>4313</v>
      </c>
      <c r="E250" t="s">
        <v>4169</v>
      </c>
      <c r="F250" t="s">
        <v>4170</v>
      </c>
      <c r="G250">
        <v>3338086.7047878602</v>
      </c>
      <c r="H250">
        <v>30384272.929985002</v>
      </c>
    </row>
    <row r="251" spans="1:8" x14ac:dyDescent="0.25">
      <c r="A251">
        <v>430</v>
      </c>
      <c r="B251" t="s">
        <v>3651</v>
      </c>
      <c r="C251" t="s">
        <v>4577</v>
      </c>
      <c r="D251" t="s">
        <v>4315</v>
      </c>
      <c r="E251" t="s">
        <v>4169</v>
      </c>
      <c r="F251" t="s">
        <v>4170</v>
      </c>
      <c r="G251">
        <v>3554650.7084040702</v>
      </c>
      <c r="H251">
        <v>30384272.929985002</v>
      </c>
    </row>
    <row r="252" spans="1:8" x14ac:dyDescent="0.25">
      <c r="A252">
        <v>458</v>
      </c>
      <c r="B252" t="s">
        <v>3651</v>
      </c>
      <c r="C252" t="s">
        <v>4578</v>
      </c>
      <c r="D252" t="s">
        <v>4317</v>
      </c>
      <c r="E252" t="s">
        <v>4169</v>
      </c>
      <c r="F252" t="s">
        <v>4170</v>
      </c>
      <c r="G252">
        <v>2095680.2270722799</v>
      </c>
      <c r="H252">
        <v>30384272.929985002</v>
      </c>
    </row>
    <row r="253" spans="1:8" x14ac:dyDescent="0.25">
      <c r="A253">
        <v>42</v>
      </c>
      <c r="B253" t="s">
        <v>3575</v>
      </c>
      <c r="C253" t="s">
        <v>4579</v>
      </c>
      <c r="D253" t="s">
        <v>4367</v>
      </c>
      <c r="E253" t="s">
        <v>4169</v>
      </c>
      <c r="F253" t="s">
        <v>4170</v>
      </c>
      <c r="G253">
        <v>1634158.5504628699</v>
      </c>
      <c r="H253">
        <v>29559262.1129364</v>
      </c>
    </row>
    <row r="254" spans="1:8" x14ac:dyDescent="0.25">
      <c r="A254">
        <v>78</v>
      </c>
      <c r="B254" t="s">
        <v>3575</v>
      </c>
      <c r="C254" t="s">
        <v>4580</v>
      </c>
      <c r="D254" t="s">
        <v>4369</v>
      </c>
      <c r="E254" t="s">
        <v>4169</v>
      </c>
      <c r="F254" t="s">
        <v>4170</v>
      </c>
      <c r="G254">
        <v>1761551.4572761201</v>
      </c>
      <c r="H254">
        <v>29559262.1129364</v>
      </c>
    </row>
    <row r="255" spans="1:8" x14ac:dyDescent="0.25">
      <c r="A255">
        <v>84</v>
      </c>
      <c r="B255" t="s">
        <v>3575</v>
      </c>
      <c r="C255" t="s">
        <v>4581</v>
      </c>
      <c r="D255" t="s">
        <v>4371</v>
      </c>
      <c r="E255" t="s">
        <v>4169</v>
      </c>
      <c r="F255" t="s">
        <v>4170</v>
      </c>
      <c r="G255">
        <v>2918811.1523539298</v>
      </c>
      <c r="H255">
        <v>29559262.1129364</v>
      </c>
    </row>
    <row r="256" spans="1:8" x14ac:dyDescent="0.25">
      <c r="A256">
        <v>88</v>
      </c>
      <c r="B256" t="s">
        <v>3575</v>
      </c>
      <c r="C256" t="s">
        <v>4582</v>
      </c>
      <c r="D256" t="s">
        <v>4373</v>
      </c>
      <c r="E256" t="s">
        <v>4169</v>
      </c>
      <c r="F256" t="s">
        <v>4170</v>
      </c>
      <c r="G256">
        <v>7725015.5305120097</v>
      </c>
      <c r="H256">
        <v>29559262.1129364</v>
      </c>
    </row>
    <row r="257" spans="1:8" x14ac:dyDescent="0.25">
      <c r="A257">
        <v>112</v>
      </c>
      <c r="B257" t="s">
        <v>3575</v>
      </c>
      <c r="C257" t="s">
        <v>4583</v>
      </c>
      <c r="D257" t="s">
        <v>4375</v>
      </c>
      <c r="E257" t="s">
        <v>4169</v>
      </c>
      <c r="F257" t="s">
        <v>4170</v>
      </c>
      <c r="G257">
        <v>4082284.7601130898</v>
      </c>
      <c r="H257">
        <v>29559262.1129364</v>
      </c>
    </row>
    <row r="258" spans="1:8" x14ac:dyDescent="0.25">
      <c r="A258">
        <v>115</v>
      </c>
      <c r="B258" t="s">
        <v>3575</v>
      </c>
      <c r="C258" t="s">
        <v>4584</v>
      </c>
      <c r="D258" t="s">
        <v>4377</v>
      </c>
      <c r="E258" t="s">
        <v>4169</v>
      </c>
      <c r="F258" t="s">
        <v>4170</v>
      </c>
      <c r="G258">
        <v>1500100.8409345199</v>
      </c>
      <c r="H258">
        <v>29559262.1129364</v>
      </c>
    </row>
    <row r="259" spans="1:8" x14ac:dyDescent="0.25">
      <c r="A259">
        <v>143</v>
      </c>
      <c r="B259" t="s">
        <v>3575</v>
      </c>
      <c r="C259" t="s">
        <v>4585</v>
      </c>
      <c r="D259" t="s">
        <v>4379</v>
      </c>
      <c r="E259" t="s">
        <v>4169</v>
      </c>
      <c r="F259" t="s">
        <v>4170</v>
      </c>
      <c r="G259">
        <v>7246365.1908928603</v>
      </c>
      <c r="H259">
        <v>29559262.1129364</v>
      </c>
    </row>
    <row r="260" spans="1:8" x14ac:dyDescent="0.25">
      <c r="A260">
        <v>222</v>
      </c>
      <c r="B260" t="s">
        <v>3575</v>
      </c>
      <c r="C260" t="s">
        <v>4586</v>
      </c>
      <c r="D260" t="s">
        <v>4381</v>
      </c>
      <c r="E260" t="s">
        <v>4169</v>
      </c>
      <c r="F260" t="s">
        <v>4170</v>
      </c>
      <c r="G260">
        <v>3030663.92014297</v>
      </c>
      <c r="H260">
        <v>29559262.1129364</v>
      </c>
    </row>
    <row r="261" spans="1:8" x14ac:dyDescent="0.25">
      <c r="A261">
        <v>249</v>
      </c>
      <c r="B261" t="s">
        <v>3575</v>
      </c>
      <c r="C261" t="s">
        <v>4587</v>
      </c>
      <c r="D261" t="s">
        <v>4383</v>
      </c>
      <c r="E261" t="s">
        <v>4169</v>
      </c>
      <c r="F261" t="s">
        <v>4170</v>
      </c>
      <c r="G261">
        <v>3308780.1313072601</v>
      </c>
      <c r="H261">
        <v>29559262.1129364</v>
      </c>
    </row>
    <row r="262" spans="1:8" x14ac:dyDescent="0.25">
      <c r="A262">
        <v>309</v>
      </c>
      <c r="B262" t="s">
        <v>3575</v>
      </c>
      <c r="C262" t="s">
        <v>4588</v>
      </c>
      <c r="D262" t="s">
        <v>4385</v>
      </c>
      <c r="E262" t="s">
        <v>4169</v>
      </c>
      <c r="F262" t="s">
        <v>4170</v>
      </c>
      <c r="G262">
        <v>3391879.3589102798</v>
      </c>
      <c r="H262">
        <v>29559262.1129364</v>
      </c>
    </row>
    <row r="263" spans="1:8" x14ac:dyDescent="0.25">
      <c r="A263">
        <v>318</v>
      </c>
      <c r="B263" t="s">
        <v>3575</v>
      </c>
      <c r="C263" t="s">
        <v>4589</v>
      </c>
      <c r="D263" t="s">
        <v>4387</v>
      </c>
      <c r="E263" t="s">
        <v>4169</v>
      </c>
      <c r="F263" t="s">
        <v>4170</v>
      </c>
      <c r="G263">
        <v>6833212.8304856</v>
      </c>
      <c r="H263">
        <v>29559262.1129364</v>
      </c>
    </row>
    <row r="264" spans="1:8" x14ac:dyDescent="0.25">
      <c r="A264">
        <v>320</v>
      </c>
      <c r="B264" t="s">
        <v>3575</v>
      </c>
      <c r="C264" t="s">
        <v>4590</v>
      </c>
      <c r="D264" t="s">
        <v>4389</v>
      </c>
      <c r="E264" t="s">
        <v>4169</v>
      </c>
      <c r="F264" t="s">
        <v>4170</v>
      </c>
      <c r="G264">
        <v>2284666.6557715498</v>
      </c>
      <c r="H264">
        <v>29559262.1129364</v>
      </c>
    </row>
    <row r="265" spans="1:8" x14ac:dyDescent="0.25">
      <c r="A265">
        <v>344</v>
      </c>
      <c r="B265" t="s">
        <v>3575</v>
      </c>
      <c r="C265" t="s">
        <v>4591</v>
      </c>
      <c r="D265" t="s">
        <v>4391</v>
      </c>
      <c r="E265" t="s">
        <v>4169</v>
      </c>
      <c r="F265" t="s">
        <v>4170</v>
      </c>
      <c r="G265">
        <v>300614.80211013102</v>
      </c>
      <c r="H265">
        <v>29559262.1129364</v>
      </c>
    </row>
    <row r="266" spans="1:8" x14ac:dyDescent="0.25">
      <c r="A266">
        <v>428</v>
      </c>
      <c r="B266" t="s">
        <v>3575</v>
      </c>
      <c r="C266" t="s">
        <v>4592</v>
      </c>
      <c r="D266" t="s">
        <v>4393</v>
      </c>
      <c r="E266" t="s">
        <v>4169</v>
      </c>
      <c r="F266" t="s">
        <v>4170</v>
      </c>
      <c r="G266">
        <v>765029.63600034697</v>
      </c>
      <c r="H266">
        <v>29559262.1129364</v>
      </c>
    </row>
    <row r="267" spans="1:8" x14ac:dyDescent="0.25">
      <c r="A267">
        <v>442</v>
      </c>
      <c r="B267" t="s">
        <v>3575</v>
      </c>
      <c r="C267" t="s">
        <v>4593</v>
      </c>
      <c r="D267" t="s">
        <v>4395</v>
      </c>
      <c r="E267" t="s">
        <v>4169</v>
      </c>
      <c r="F267" t="s">
        <v>4170</v>
      </c>
      <c r="G267">
        <v>139431.67628013401</v>
      </c>
      <c r="H267">
        <v>29559262.1129364</v>
      </c>
    </row>
    <row r="268" spans="1:8" x14ac:dyDescent="0.25">
      <c r="A268">
        <v>463</v>
      </c>
      <c r="B268" t="s">
        <v>3575</v>
      </c>
      <c r="C268" t="s">
        <v>4594</v>
      </c>
      <c r="D268" t="s">
        <v>4397</v>
      </c>
      <c r="E268" t="s">
        <v>4169</v>
      </c>
      <c r="F268" t="s">
        <v>4170</v>
      </c>
      <c r="G268">
        <v>3917366.5384664298</v>
      </c>
      <c r="H268">
        <v>29559262.1129364</v>
      </c>
    </row>
    <row r="269" spans="1:8" x14ac:dyDescent="0.25">
      <c r="A269">
        <v>427</v>
      </c>
      <c r="B269" t="s">
        <v>4089</v>
      </c>
      <c r="C269" t="s">
        <v>4595</v>
      </c>
      <c r="D269" t="s">
        <v>4285</v>
      </c>
      <c r="E269" t="s">
        <v>4169</v>
      </c>
      <c r="F269" t="s">
        <v>4170</v>
      </c>
      <c r="G269">
        <v>1048979.3811296499</v>
      </c>
      <c r="H269">
        <v>27850960.171438001</v>
      </c>
    </row>
    <row r="270" spans="1:8" x14ac:dyDescent="0.25">
      <c r="A270">
        <v>342</v>
      </c>
      <c r="B270" t="s">
        <v>4027</v>
      </c>
      <c r="C270" t="s">
        <v>4596</v>
      </c>
      <c r="D270" t="s">
        <v>4597</v>
      </c>
      <c r="E270" t="s">
        <v>4407</v>
      </c>
      <c r="F270" t="s">
        <v>4408</v>
      </c>
      <c r="G270">
        <v>2689059.3878087499</v>
      </c>
      <c r="H270">
        <v>24567373.8937205</v>
      </c>
    </row>
    <row r="271" spans="1:8" x14ac:dyDescent="0.25">
      <c r="A271">
        <v>412</v>
      </c>
      <c r="B271" t="s">
        <v>4027</v>
      </c>
      <c r="C271" t="s">
        <v>4598</v>
      </c>
      <c r="D271" t="s">
        <v>4599</v>
      </c>
      <c r="E271" t="s">
        <v>4407</v>
      </c>
      <c r="F271" t="s">
        <v>4408</v>
      </c>
      <c r="G271">
        <v>872448.38759537996</v>
      </c>
      <c r="H271">
        <v>24567373.8937205</v>
      </c>
    </row>
    <row r="272" spans="1:8" x14ac:dyDescent="0.25">
      <c r="A272">
        <v>260</v>
      </c>
      <c r="B272" t="s">
        <v>3699</v>
      </c>
      <c r="C272" t="s">
        <v>4600</v>
      </c>
      <c r="D272" t="s">
        <v>4601</v>
      </c>
      <c r="E272" t="s">
        <v>4407</v>
      </c>
      <c r="F272" t="s">
        <v>4521</v>
      </c>
      <c r="G272">
        <v>890151.55471948104</v>
      </c>
      <c r="H272">
        <v>23906199.692347199</v>
      </c>
    </row>
    <row r="273" spans="1:8" x14ac:dyDescent="0.25">
      <c r="A273">
        <v>277</v>
      </c>
      <c r="B273" t="s">
        <v>4063</v>
      </c>
      <c r="C273" t="s">
        <v>4602</v>
      </c>
      <c r="D273" t="s">
        <v>4603</v>
      </c>
      <c r="E273" t="s">
        <v>4169</v>
      </c>
      <c r="F273" t="s">
        <v>4170</v>
      </c>
      <c r="G273">
        <v>408451.17795376002</v>
      </c>
      <c r="H273">
        <v>20763331.809972499</v>
      </c>
    </row>
    <row r="274" spans="1:8" x14ac:dyDescent="0.25">
      <c r="A274">
        <v>331</v>
      </c>
      <c r="B274" t="s">
        <v>4063</v>
      </c>
      <c r="C274" t="s">
        <v>4604</v>
      </c>
      <c r="D274" t="s">
        <v>4605</v>
      </c>
      <c r="E274" t="s">
        <v>4169</v>
      </c>
      <c r="F274" t="s">
        <v>4170</v>
      </c>
      <c r="G274">
        <v>325750.87745219801</v>
      </c>
      <c r="H274">
        <v>20763331.809972499</v>
      </c>
    </row>
    <row r="275" spans="1:8" x14ac:dyDescent="0.25">
      <c r="A275">
        <v>435</v>
      </c>
      <c r="B275" t="s">
        <v>4063</v>
      </c>
      <c r="C275" t="s">
        <v>4606</v>
      </c>
      <c r="D275" t="s">
        <v>4607</v>
      </c>
      <c r="E275" t="s">
        <v>4169</v>
      </c>
      <c r="F275" t="s">
        <v>4170</v>
      </c>
      <c r="G275">
        <v>14953202.884824701</v>
      </c>
      <c r="H275">
        <v>20763331.809972499</v>
      </c>
    </row>
    <row r="276" spans="1:8" x14ac:dyDescent="0.25">
      <c r="A276">
        <v>65</v>
      </c>
      <c r="B276" t="s">
        <v>3673</v>
      </c>
      <c r="C276" t="s">
        <v>4608</v>
      </c>
      <c r="D276" t="s">
        <v>4609</v>
      </c>
      <c r="E276" t="s">
        <v>4610</v>
      </c>
      <c r="F276" t="s">
        <v>4521</v>
      </c>
      <c r="G276">
        <v>227915.24376616901</v>
      </c>
      <c r="H276">
        <v>19444837.902046099</v>
      </c>
    </row>
    <row r="277" spans="1:8" x14ac:dyDescent="0.25">
      <c r="A277">
        <v>82</v>
      </c>
      <c r="B277" t="s">
        <v>3673</v>
      </c>
      <c r="C277" t="s">
        <v>4611</v>
      </c>
      <c r="D277" t="s">
        <v>4612</v>
      </c>
      <c r="E277" t="s">
        <v>4610</v>
      </c>
      <c r="F277" t="s">
        <v>4521</v>
      </c>
      <c r="G277">
        <v>72077.035544895596</v>
      </c>
      <c r="H277">
        <v>19444837.902046099</v>
      </c>
    </row>
    <row r="278" spans="1:8" x14ac:dyDescent="0.25">
      <c r="A278">
        <v>96</v>
      </c>
      <c r="B278" t="s">
        <v>3693</v>
      </c>
      <c r="C278" t="s">
        <v>4613</v>
      </c>
      <c r="D278" t="s">
        <v>4494</v>
      </c>
      <c r="E278" t="s">
        <v>4169</v>
      </c>
      <c r="F278" t="s">
        <v>4170</v>
      </c>
      <c r="G278">
        <v>20409829.8604775</v>
      </c>
      <c r="H278">
        <v>18893073</v>
      </c>
    </row>
    <row r="279" spans="1:8" x14ac:dyDescent="0.25">
      <c r="A279">
        <v>278</v>
      </c>
      <c r="B279" t="s">
        <v>3693</v>
      </c>
      <c r="C279" t="s">
        <v>4614</v>
      </c>
      <c r="D279" t="s">
        <v>4496</v>
      </c>
      <c r="E279" t="s">
        <v>4169</v>
      </c>
      <c r="F279" t="s">
        <v>4170</v>
      </c>
      <c r="G279">
        <v>116405118.947822</v>
      </c>
      <c r="H279">
        <v>18893073</v>
      </c>
    </row>
    <row r="280" spans="1:8" x14ac:dyDescent="0.25">
      <c r="A280">
        <v>328</v>
      </c>
      <c r="B280" t="s">
        <v>3701</v>
      </c>
      <c r="C280" t="s">
        <v>4615</v>
      </c>
      <c r="D280" t="s">
        <v>4616</v>
      </c>
      <c r="E280" t="s">
        <v>4414</v>
      </c>
      <c r="F280" t="s">
        <v>4408</v>
      </c>
      <c r="G280">
        <v>531828.01004029403</v>
      </c>
      <c r="H280">
        <v>18786994.500013798</v>
      </c>
    </row>
    <row r="281" spans="1:8" x14ac:dyDescent="0.25">
      <c r="A281">
        <v>335</v>
      </c>
      <c r="B281" t="s">
        <v>3701</v>
      </c>
      <c r="C281" t="s">
        <v>4617</v>
      </c>
      <c r="D281" t="s">
        <v>4618</v>
      </c>
      <c r="E281" t="s">
        <v>4407</v>
      </c>
      <c r="F281" t="s">
        <v>4408</v>
      </c>
      <c r="G281">
        <v>7785798.3663283102</v>
      </c>
      <c r="H281">
        <v>18786994.500013798</v>
      </c>
    </row>
    <row r="282" spans="1:8" x14ac:dyDescent="0.25">
      <c r="A282">
        <v>45</v>
      </c>
      <c r="B282" t="s">
        <v>3667</v>
      </c>
      <c r="C282" t="s">
        <v>4619</v>
      </c>
      <c r="D282" t="s">
        <v>4488</v>
      </c>
      <c r="E282" t="s">
        <v>4169</v>
      </c>
      <c r="F282" t="s">
        <v>4170</v>
      </c>
      <c r="G282">
        <v>143646951.29225701</v>
      </c>
      <c r="H282">
        <v>17754596</v>
      </c>
    </row>
    <row r="283" spans="1:8" x14ac:dyDescent="0.25">
      <c r="A283">
        <v>324</v>
      </c>
      <c r="B283" t="s">
        <v>3667</v>
      </c>
      <c r="C283" t="s">
        <v>4620</v>
      </c>
      <c r="D283" t="s">
        <v>4490</v>
      </c>
      <c r="E283" t="s">
        <v>4169</v>
      </c>
      <c r="F283" t="s">
        <v>4170</v>
      </c>
      <c r="G283">
        <v>9090796.7676650807</v>
      </c>
      <c r="H283">
        <v>17754596</v>
      </c>
    </row>
    <row r="284" spans="1:8" x14ac:dyDescent="0.25">
      <c r="A284">
        <v>438</v>
      </c>
      <c r="B284" t="s">
        <v>3667</v>
      </c>
      <c r="C284" t="s">
        <v>4621</v>
      </c>
      <c r="D284" t="s">
        <v>4492</v>
      </c>
      <c r="E284" t="s">
        <v>4169</v>
      </c>
      <c r="F284" t="s">
        <v>4170</v>
      </c>
      <c r="G284">
        <v>47680025.943503499</v>
      </c>
      <c r="H284">
        <v>17754596</v>
      </c>
    </row>
    <row r="285" spans="1:8" x14ac:dyDescent="0.25">
      <c r="A285">
        <v>8</v>
      </c>
      <c r="B285" t="s">
        <v>3727</v>
      </c>
      <c r="C285" t="s">
        <v>4622</v>
      </c>
      <c r="D285" t="s">
        <v>4429</v>
      </c>
      <c r="E285" t="s">
        <v>4169</v>
      </c>
      <c r="F285" t="s">
        <v>4170</v>
      </c>
      <c r="G285">
        <v>23019947.018816199</v>
      </c>
      <c r="H285">
        <v>16568946.8391925</v>
      </c>
    </row>
    <row r="286" spans="1:8" x14ac:dyDescent="0.25">
      <c r="A286">
        <v>70</v>
      </c>
      <c r="B286" t="s">
        <v>3727</v>
      </c>
      <c r="C286" t="s">
        <v>4623</v>
      </c>
      <c r="D286" t="s">
        <v>4431</v>
      </c>
      <c r="E286" t="s">
        <v>4169</v>
      </c>
      <c r="F286" t="s">
        <v>4170</v>
      </c>
      <c r="G286">
        <v>2266924.18227281</v>
      </c>
      <c r="H286">
        <v>16568946.8391925</v>
      </c>
    </row>
    <row r="287" spans="1:8" x14ac:dyDescent="0.25">
      <c r="A287">
        <v>72</v>
      </c>
      <c r="B287" t="s">
        <v>3727</v>
      </c>
      <c r="C287" t="s">
        <v>4624</v>
      </c>
      <c r="D287" t="s">
        <v>4433</v>
      </c>
      <c r="E287" t="s">
        <v>4169</v>
      </c>
      <c r="F287" t="s">
        <v>4170</v>
      </c>
      <c r="G287">
        <v>9785607.9552594908</v>
      </c>
      <c r="H287">
        <v>16568946.8391925</v>
      </c>
    </row>
    <row r="288" spans="1:8" x14ac:dyDescent="0.25">
      <c r="A288">
        <v>381</v>
      </c>
      <c r="B288" t="s">
        <v>3727</v>
      </c>
      <c r="C288" t="s">
        <v>4625</v>
      </c>
      <c r="D288" t="s">
        <v>4435</v>
      </c>
      <c r="E288" t="s">
        <v>4169</v>
      </c>
      <c r="F288" t="s">
        <v>4170</v>
      </c>
      <c r="G288">
        <v>69277.060766152499</v>
      </c>
      <c r="H288">
        <v>16568946.8391925</v>
      </c>
    </row>
    <row r="289" spans="1:8" x14ac:dyDescent="0.25">
      <c r="A289">
        <v>276</v>
      </c>
      <c r="B289" t="s">
        <v>4061</v>
      </c>
      <c r="C289" t="s">
        <v>4626</v>
      </c>
      <c r="D289" t="s">
        <v>4603</v>
      </c>
      <c r="E289" t="s">
        <v>4169</v>
      </c>
      <c r="F289" t="s">
        <v>4170</v>
      </c>
      <c r="G289">
        <v>938655.43627664703</v>
      </c>
      <c r="H289">
        <v>16568141.199934</v>
      </c>
    </row>
    <row r="290" spans="1:8" x14ac:dyDescent="0.25">
      <c r="A290">
        <v>330</v>
      </c>
      <c r="B290" t="s">
        <v>4061</v>
      </c>
      <c r="C290" t="s">
        <v>4627</v>
      </c>
      <c r="D290" t="s">
        <v>4605</v>
      </c>
      <c r="E290" t="s">
        <v>4169</v>
      </c>
      <c r="F290" t="s">
        <v>4170</v>
      </c>
      <c r="G290">
        <v>699756.11931039602</v>
      </c>
      <c r="H290">
        <v>16568141.199934</v>
      </c>
    </row>
    <row r="291" spans="1:8" x14ac:dyDescent="0.25">
      <c r="A291">
        <v>434</v>
      </c>
      <c r="B291" t="s">
        <v>4061</v>
      </c>
      <c r="C291" t="s">
        <v>4628</v>
      </c>
      <c r="D291" t="s">
        <v>4607</v>
      </c>
      <c r="E291" t="s">
        <v>4169</v>
      </c>
      <c r="F291" t="s">
        <v>4170</v>
      </c>
      <c r="G291">
        <v>23679468.267380599</v>
      </c>
      <c r="H291">
        <v>16568141.199934</v>
      </c>
    </row>
    <row r="292" spans="1:8" x14ac:dyDescent="0.25">
      <c r="A292">
        <v>233</v>
      </c>
      <c r="B292" t="s">
        <v>3813</v>
      </c>
      <c r="C292" t="s">
        <v>4629</v>
      </c>
      <c r="D292" t="s">
        <v>4228</v>
      </c>
      <c r="E292" t="s">
        <v>4630</v>
      </c>
      <c r="F292" t="s">
        <v>4631</v>
      </c>
      <c r="G292">
        <v>500325.96892074298</v>
      </c>
      <c r="H292">
        <v>15915016.975939199</v>
      </c>
    </row>
    <row r="293" spans="1:8" x14ac:dyDescent="0.25">
      <c r="A293">
        <v>105</v>
      </c>
      <c r="B293" t="s">
        <v>3633</v>
      </c>
      <c r="C293" t="s">
        <v>4632</v>
      </c>
      <c r="D293" t="s">
        <v>4633</v>
      </c>
      <c r="E293" t="s">
        <v>4414</v>
      </c>
      <c r="F293" t="s">
        <v>4408</v>
      </c>
      <c r="G293">
        <v>193107.63084936299</v>
      </c>
      <c r="H293">
        <v>15513708.7223578</v>
      </c>
    </row>
    <row r="294" spans="1:8" x14ac:dyDescent="0.25">
      <c r="A294">
        <v>396</v>
      </c>
      <c r="B294" t="s">
        <v>3633</v>
      </c>
      <c r="C294" t="s">
        <v>4634</v>
      </c>
      <c r="D294" t="s">
        <v>4635</v>
      </c>
      <c r="E294" t="s">
        <v>4407</v>
      </c>
      <c r="F294" t="s">
        <v>4408</v>
      </c>
      <c r="G294">
        <v>89859.372768433503</v>
      </c>
      <c r="H294">
        <v>15513708.7223578</v>
      </c>
    </row>
    <row r="295" spans="1:8" x14ac:dyDescent="0.25">
      <c r="A295">
        <v>31</v>
      </c>
      <c r="B295" t="s">
        <v>3637</v>
      </c>
      <c r="C295" t="s">
        <v>4636</v>
      </c>
      <c r="D295" t="s">
        <v>4637</v>
      </c>
      <c r="E295" t="s">
        <v>4638</v>
      </c>
      <c r="F295" t="s">
        <v>4408</v>
      </c>
      <c r="G295">
        <v>2134020.2682777299</v>
      </c>
      <c r="H295">
        <v>15092347.4902493</v>
      </c>
    </row>
    <row r="296" spans="1:8" x14ac:dyDescent="0.25">
      <c r="A296">
        <v>34</v>
      </c>
      <c r="B296" t="s">
        <v>3637</v>
      </c>
      <c r="C296" t="s">
        <v>4639</v>
      </c>
      <c r="D296" t="s">
        <v>4637</v>
      </c>
      <c r="E296" t="s">
        <v>4439</v>
      </c>
      <c r="F296" t="s">
        <v>4408</v>
      </c>
      <c r="G296">
        <v>3171587.4467944698</v>
      </c>
      <c r="H296">
        <v>15092347.4902493</v>
      </c>
    </row>
    <row r="297" spans="1:8" x14ac:dyDescent="0.25">
      <c r="A297">
        <v>35</v>
      </c>
      <c r="B297" t="s">
        <v>3637</v>
      </c>
      <c r="C297" t="s">
        <v>4640</v>
      </c>
      <c r="D297" t="s">
        <v>4637</v>
      </c>
      <c r="E297" t="s">
        <v>4411</v>
      </c>
      <c r="F297" t="s">
        <v>4408</v>
      </c>
      <c r="G297">
        <v>4625288.4924002597</v>
      </c>
      <c r="H297">
        <v>15092347.4902493</v>
      </c>
    </row>
    <row r="298" spans="1:8" x14ac:dyDescent="0.25">
      <c r="A298">
        <v>217</v>
      </c>
      <c r="B298" t="s">
        <v>3905</v>
      </c>
      <c r="C298" t="s">
        <v>4641</v>
      </c>
      <c r="D298" t="s">
        <v>4642</v>
      </c>
      <c r="E298" t="s">
        <v>4630</v>
      </c>
      <c r="F298" t="s">
        <v>4631</v>
      </c>
      <c r="G298">
        <v>590881880.12008202</v>
      </c>
      <c r="H298">
        <v>14785987.406061901</v>
      </c>
    </row>
    <row r="299" spans="1:8" x14ac:dyDescent="0.25">
      <c r="A299">
        <v>266</v>
      </c>
      <c r="B299" t="s">
        <v>3905</v>
      </c>
      <c r="C299" t="s">
        <v>4643</v>
      </c>
      <c r="D299" t="s">
        <v>4172</v>
      </c>
      <c r="E299" t="s">
        <v>4644</v>
      </c>
      <c r="F299" t="s">
        <v>4631</v>
      </c>
      <c r="G299">
        <v>13612.5453581319</v>
      </c>
      <c r="H299">
        <v>14785987.406061901</v>
      </c>
    </row>
    <row r="300" spans="1:8" x14ac:dyDescent="0.25">
      <c r="A300">
        <v>16</v>
      </c>
      <c r="B300" t="s">
        <v>3705</v>
      </c>
      <c r="C300" t="s">
        <v>4645</v>
      </c>
      <c r="D300" t="s">
        <v>4238</v>
      </c>
      <c r="E300" t="s">
        <v>4644</v>
      </c>
      <c r="F300" t="s">
        <v>4631</v>
      </c>
      <c r="G300">
        <v>29756996.644166999</v>
      </c>
      <c r="H300">
        <v>13333977.5808906</v>
      </c>
    </row>
    <row r="301" spans="1:8" x14ac:dyDescent="0.25">
      <c r="A301">
        <v>220</v>
      </c>
      <c r="B301" t="s">
        <v>3849</v>
      </c>
      <c r="C301" t="s">
        <v>4646</v>
      </c>
      <c r="D301" t="s">
        <v>4361</v>
      </c>
      <c r="E301" t="s">
        <v>4169</v>
      </c>
      <c r="F301" t="s">
        <v>4170</v>
      </c>
      <c r="G301">
        <v>551241.44625959895</v>
      </c>
      <c r="H301">
        <v>12456957.035206599</v>
      </c>
    </row>
    <row r="302" spans="1:8" x14ac:dyDescent="0.25">
      <c r="A302">
        <v>152</v>
      </c>
      <c r="B302" t="s">
        <v>4075</v>
      </c>
      <c r="C302" t="s">
        <v>4647</v>
      </c>
      <c r="D302" t="s">
        <v>4648</v>
      </c>
      <c r="E302" t="s">
        <v>4169</v>
      </c>
      <c r="F302" t="s">
        <v>4170</v>
      </c>
      <c r="G302">
        <v>4738585.4944550004</v>
      </c>
      <c r="H302">
        <v>12406151.757564699</v>
      </c>
    </row>
    <row r="303" spans="1:8" x14ac:dyDescent="0.25">
      <c r="A303">
        <v>26</v>
      </c>
      <c r="B303" t="s">
        <v>3569</v>
      </c>
      <c r="C303" t="s">
        <v>4649</v>
      </c>
      <c r="D303" t="s">
        <v>4222</v>
      </c>
      <c r="E303" t="s">
        <v>4169</v>
      </c>
      <c r="F303" t="s">
        <v>4170</v>
      </c>
      <c r="G303">
        <v>2543009.8012225302</v>
      </c>
      <c r="H303">
        <v>11003311.2832203</v>
      </c>
    </row>
    <row r="304" spans="1:8" x14ac:dyDescent="0.25">
      <c r="A304">
        <v>106</v>
      </c>
      <c r="B304" t="s">
        <v>3569</v>
      </c>
      <c r="C304" t="s">
        <v>4650</v>
      </c>
      <c r="D304" t="s">
        <v>4354</v>
      </c>
      <c r="E304" t="s">
        <v>4169</v>
      </c>
      <c r="F304" t="s">
        <v>4170</v>
      </c>
      <c r="G304">
        <v>849371.85364359897</v>
      </c>
      <c r="H304">
        <v>11003311.2832203</v>
      </c>
    </row>
    <row r="305" spans="1:8" x14ac:dyDescent="0.25">
      <c r="A305">
        <v>208</v>
      </c>
      <c r="B305" t="s">
        <v>3569</v>
      </c>
      <c r="C305" t="s">
        <v>4651</v>
      </c>
      <c r="D305" t="s">
        <v>4356</v>
      </c>
      <c r="E305" t="s">
        <v>4169</v>
      </c>
      <c r="F305" t="s">
        <v>4170</v>
      </c>
      <c r="G305">
        <v>9379709.3928002492</v>
      </c>
      <c r="H305">
        <v>11003311.2832203</v>
      </c>
    </row>
    <row r="306" spans="1:8" x14ac:dyDescent="0.25">
      <c r="A306">
        <v>253</v>
      </c>
      <c r="B306" t="s">
        <v>3569</v>
      </c>
      <c r="C306" t="s">
        <v>4652</v>
      </c>
      <c r="D306" t="s">
        <v>4230</v>
      </c>
      <c r="E306" t="s">
        <v>4169</v>
      </c>
      <c r="F306" t="s">
        <v>4170</v>
      </c>
      <c r="G306">
        <v>104767.448181517</v>
      </c>
      <c r="H306">
        <v>11003311.2832203</v>
      </c>
    </row>
    <row r="307" spans="1:8" x14ac:dyDescent="0.25">
      <c r="A307">
        <v>274</v>
      </c>
      <c r="B307" t="s">
        <v>3569</v>
      </c>
      <c r="C307" t="s">
        <v>4653</v>
      </c>
      <c r="D307" t="s">
        <v>4232</v>
      </c>
      <c r="E307" t="s">
        <v>4169</v>
      </c>
      <c r="F307" t="s">
        <v>4170</v>
      </c>
      <c r="G307">
        <v>1114944.58611021</v>
      </c>
      <c r="H307">
        <v>11003311.2832203</v>
      </c>
    </row>
    <row r="308" spans="1:8" x14ac:dyDescent="0.25">
      <c r="A308">
        <v>366</v>
      </c>
      <c r="B308" t="s">
        <v>3569</v>
      </c>
      <c r="C308" t="s">
        <v>4654</v>
      </c>
      <c r="D308" t="s">
        <v>4236</v>
      </c>
      <c r="E308" t="s">
        <v>4169</v>
      </c>
      <c r="F308" t="s">
        <v>4170</v>
      </c>
      <c r="G308">
        <v>611685.97451127204</v>
      </c>
      <c r="H308">
        <v>11003311.2832203</v>
      </c>
    </row>
    <row r="309" spans="1:8" x14ac:dyDescent="0.25">
      <c r="A309">
        <v>2</v>
      </c>
      <c r="B309" t="s">
        <v>3557</v>
      </c>
      <c r="C309" t="s">
        <v>4655</v>
      </c>
      <c r="D309" t="s">
        <v>4248</v>
      </c>
      <c r="E309" t="s">
        <v>4169</v>
      </c>
      <c r="F309" t="s">
        <v>4170</v>
      </c>
      <c r="G309">
        <v>944363.74336979701</v>
      </c>
      <c r="H309">
        <v>10137456.259870199</v>
      </c>
    </row>
    <row r="310" spans="1:8" x14ac:dyDescent="0.25">
      <c r="A310">
        <v>117</v>
      </c>
      <c r="B310" t="s">
        <v>3557</v>
      </c>
      <c r="C310" t="s">
        <v>4656</v>
      </c>
      <c r="D310" t="s">
        <v>4449</v>
      </c>
      <c r="E310" t="s">
        <v>4169</v>
      </c>
      <c r="F310" t="s">
        <v>4170</v>
      </c>
      <c r="G310">
        <v>999788.575914482</v>
      </c>
      <c r="H310">
        <v>10137456.259870199</v>
      </c>
    </row>
    <row r="311" spans="1:8" x14ac:dyDescent="0.25">
      <c r="A311">
        <v>140</v>
      </c>
      <c r="B311" t="s">
        <v>3557</v>
      </c>
      <c r="C311" t="s">
        <v>4657</v>
      </c>
      <c r="D311" t="s">
        <v>4451</v>
      </c>
      <c r="E311" t="s">
        <v>4169</v>
      </c>
      <c r="F311" t="s">
        <v>4170</v>
      </c>
      <c r="G311">
        <v>269335.84192291502</v>
      </c>
      <c r="H311">
        <v>10137456.259870199</v>
      </c>
    </row>
    <row r="312" spans="1:8" x14ac:dyDescent="0.25">
      <c r="A312">
        <v>159</v>
      </c>
      <c r="B312" t="s">
        <v>3557</v>
      </c>
      <c r="C312" t="s">
        <v>4658</v>
      </c>
      <c r="D312" t="s">
        <v>4453</v>
      </c>
      <c r="E312" t="s">
        <v>4169</v>
      </c>
      <c r="F312" t="s">
        <v>4170</v>
      </c>
      <c r="G312">
        <v>613837.44382534001</v>
      </c>
      <c r="H312">
        <v>10137456.259870199</v>
      </c>
    </row>
    <row r="313" spans="1:8" x14ac:dyDescent="0.25">
      <c r="A313">
        <v>162</v>
      </c>
      <c r="B313" t="s">
        <v>3557</v>
      </c>
      <c r="C313" t="s">
        <v>4659</v>
      </c>
      <c r="D313" t="s">
        <v>4455</v>
      </c>
      <c r="E313" t="s">
        <v>4169</v>
      </c>
      <c r="F313" t="s">
        <v>4170</v>
      </c>
      <c r="G313">
        <v>1025379.2587755501</v>
      </c>
      <c r="H313">
        <v>10137456.259870199</v>
      </c>
    </row>
    <row r="314" spans="1:8" x14ac:dyDescent="0.25">
      <c r="A314">
        <v>169</v>
      </c>
      <c r="B314" t="s">
        <v>3557</v>
      </c>
      <c r="C314" t="s">
        <v>4660</v>
      </c>
      <c r="D314" t="s">
        <v>4250</v>
      </c>
      <c r="E314" t="s">
        <v>4169</v>
      </c>
      <c r="F314" t="s">
        <v>4170</v>
      </c>
      <c r="G314">
        <v>348268.75961610401</v>
      </c>
      <c r="H314">
        <v>10137456.259870199</v>
      </c>
    </row>
    <row r="315" spans="1:8" x14ac:dyDescent="0.25">
      <c r="A315">
        <v>190</v>
      </c>
      <c r="B315" t="s">
        <v>3557</v>
      </c>
      <c r="C315" t="s">
        <v>4661</v>
      </c>
      <c r="D315" t="s">
        <v>4458</v>
      </c>
      <c r="E315" t="s">
        <v>4169</v>
      </c>
      <c r="F315" t="s">
        <v>4170</v>
      </c>
      <c r="G315">
        <v>699842.90423833102</v>
      </c>
      <c r="H315">
        <v>10137456.259870199</v>
      </c>
    </row>
    <row r="316" spans="1:8" x14ac:dyDescent="0.25">
      <c r="A316">
        <v>191</v>
      </c>
      <c r="B316" t="s">
        <v>3557</v>
      </c>
      <c r="C316" t="s">
        <v>4661</v>
      </c>
      <c r="D316" t="s">
        <v>4458</v>
      </c>
      <c r="E316" t="s">
        <v>4169</v>
      </c>
      <c r="F316" t="s">
        <v>4170</v>
      </c>
      <c r="G316">
        <v>699842.90423833102</v>
      </c>
      <c r="H316">
        <v>10137456.259870199</v>
      </c>
    </row>
    <row r="317" spans="1:8" x14ac:dyDescent="0.25">
      <c r="A317">
        <v>228</v>
      </c>
      <c r="B317" t="s">
        <v>3557</v>
      </c>
      <c r="C317" t="s">
        <v>4662</v>
      </c>
      <c r="D317" t="s">
        <v>4252</v>
      </c>
      <c r="E317" t="s">
        <v>4169</v>
      </c>
      <c r="F317" t="s">
        <v>4170</v>
      </c>
      <c r="G317">
        <v>306783.47048713203</v>
      </c>
      <c r="H317">
        <v>10137456.259870199</v>
      </c>
    </row>
    <row r="318" spans="1:8" x14ac:dyDescent="0.25">
      <c r="A318">
        <v>231</v>
      </c>
      <c r="B318" t="s">
        <v>3557</v>
      </c>
      <c r="C318" t="s">
        <v>4663</v>
      </c>
      <c r="D318" t="s">
        <v>4461</v>
      </c>
      <c r="E318" t="s">
        <v>4169</v>
      </c>
      <c r="F318" t="s">
        <v>4170</v>
      </c>
      <c r="G318">
        <v>153435.236505587</v>
      </c>
      <c r="H318">
        <v>10137456.259870199</v>
      </c>
    </row>
    <row r="319" spans="1:8" x14ac:dyDescent="0.25">
      <c r="A319">
        <v>286</v>
      </c>
      <c r="B319" t="s">
        <v>3557</v>
      </c>
      <c r="C319" t="s">
        <v>4664</v>
      </c>
      <c r="D319" t="s">
        <v>4463</v>
      </c>
      <c r="E319" t="s">
        <v>4169</v>
      </c>
      <c r="F319" t="s">
        <v>4170</v>
      </c>
      <c r="G319">
        <v>1494418.92996985</v>
      </c>
      <c r="H319">
        <v>10137456.259870199</v>
      </c>
    </row>
    <row r="320" spans="1:8" x14ac:dyDescent="0.25">
      <c r="A320">
        <v>299</v>
      </c>
      <c r="B320" t="s">
        <v>3557</v>
      </c>
      <c r="C320" t="s">
        <v>4665</v>
      </c>
      <c r="D320" t="s">
        <v>4465</v>
      </c>
      <c r="E320" t="s">
        <v>4169</v>
      </c>
      <c r="F320" t="s">
        <v>4170</v>
      </c>
      <c r="G320">
        <v>5302147.5094851498</v>
      </c>
      <c r="H320">
        <v>10137456.259870199</v>
      </c>
    </row>
    <row r="321" spans="1:8" x14ac:dyDescent="0.25">
      <c r="A321">
        <v>336</v>
      </c>
      <c r="B321" t="s">
        <v>3557</v>
      </c>
      <c r="C321" t="s">
        <v>4666</v>
      </c>
      <c r="D321" t="s">
        <v>4467</v>
      </c>
      <c r="E321" t="s">
        <v>4169</v>
      </c>
      <c r="F321" t="s">
        <v>4170</v>
      </c>
      <c r="G321">
        <v>85236.669372502307</v>
      </c>
      <c r="H321">
        <v>10137456.259870199</v>
      </c>
    </row>
    <row r="322" spans="1:8" x14ac:dyDescent="0.25">
      <c r="A322">
        <v>350</v>
      </c>
      <c r="B322" t="s">
        <v>3557</v>
      </c>
      <c r="C322" t="s">
        <v>4667</v>
      </c>
      <c r="D322" t="s">
        <v>4469</v>
      </c>
      <c r="E322" t="s">
        <v>4169</v>
      </c>
      <c r="F322" t="s">
        <v>4170</v>
      </c>
      <c r="G322">
        <v>178846.35713199899</v>
      </c>
      <c r="H322">
        <v>10137456.259870199</v>
      </c>
    </row>
    <row r="323" spans="1:8" x14ac:dyDescent="0.25">
      <c r="A323">
        <v>382</v>
      </c>
      <c r="B323" t="s">
        <v>3557</v>
      </c>
      <c r="C323" t="s">
        <v>4668</v>
      </c>
      <c r="D323" t="s">
        <v>4256</v>
      </c>
      <c r="E323" t="s">
        <v>4169</v>
      </c>
      <c r="F323" t="s">
        <v>4170</v>
      </c>
      <c r="G323">
        <v>53479047.490619302</v>
      </c>
      <c r="H323">
        <v>10137456.259870199</v>
      </c>
    </row>
    <row r="324" spans="1:8" x14ac:dyDescent="0.25">
      <c r="A324">
        <v>408</v>
      </c>
      <c r="B324" t="s">
        <v>3557</v>
      </c>
      <c r="C324" t="s">
        <v>4669</v>
      </c>
      <c r="D324" t="s">
        <v>4472</v>
      </c>
      <c r="E324" t="s">
        <v>4169</v>
      </c>
      <c r="F324" t="s">
        <v>4170</v>
      </c>
      <c r="G324">
        <v>610533.68939860899</v>
      </c>
      <c r="H324">
        <v>10137456.259870199</v>
      </c>
    </row>
    <row r="325" spans="1:8" x14ac:dyDescent="0.25">
      <c r="A325">
        <v>421</v>
      </c>
      <c r="B325" t="s">
        <v>3557</v>
      </c>
      <c r="C325" t="s">
        <v>4670</v>
      </c>
      <c r="D325" t="s">
        <v>4474</v>
      </c>
      <c r="E325" t="s">
        <v>4169</v>
      </c>
      <c r="F325" t="s">
        <v>4170</v>
      </c>
      <c r="G325">
        <v>4789117.8898736304</v>
      </c>
      <c r="H325">
        <v>10137456.259870199</v>
      </c>
    </row>
    <row r="326" spans="1:8" x14ac:dyDescent="0.25">
      <c r="A326">
        <v>347</v>
      </c>
      <c r="B326" t="s">
        <v>3799</v>
      </c>
      <c r="C326" t="s">
        <v>4671</v>
      </c>
      <c r="D326" t="s">
        <v>4672</v>
      </c>
      <c r="E326" t="s">
        <v>4673</v>
      </c>
      <c r="F326" t="s">
        <v>4674</v>
      </c>
      <c r="G326">
        <v>2944289.8026248901</v>
      </c>
      <c r="H326">
        <v>7694537</v>
      </c>
    </row>
    <row r="327" spans="1:8" x14ac:dyDescent="0.25">
      <c r="A327">
        <v>153</v>
      </c>
      <c r="B327" t="s">
        <v>4073</v>
      </c>
      <c r="C327" t="s">
        <v>4675</v>
      </c>
      <c r="D327" t="s">
        <v>4648</v>
      </c>
      <c r="E327" t="s">
        <v>4169</v>
      </c>
      <c r="F327" t="s">
        <v>4170</v>
      </c>
      <c r="G327">
        <v>9434935.87865692</v>
      </c>
      <c r="H327">
        <v>7422370.3444844</v>
      </c>
    </row>
    <row r="328" spans="1:8" x14ac:dyDescent="0.25">
      <c r="A328">
        <v>63</v>
      </c>
      <c r="B328" t="s">
        <v>3997</v>
      </c>
      <c r="C328" t="s">
        <v>4676</v>
      </c>
      <c r="D328" t="s">
        <v>4677</v>
      </c>
      <c r="E328" t="s">
        <v>4673</v>
      </c>
      <c r="F328" t="s">
        <v>4674</v>
      </c>
      <c r="G328">
        <v>9656606.6979026496</v>
      </c>
      <c r="H328">
        <v>6846762</v>
      </c>
    </row>
    <row r="329" spans="1:8" x14ac:dyDescent="0.25">
      <c r="A329">
        <v>110</v>
      </c>
      <c r="B329" t="s">
        <v>3737</v>
      </c>
      <c r="C329" t="s">
        <v>4678</v>
      </c>
      <c r="D329" t="s">
        <v>4486</v>
      </c>
      <c r="E329" t="s">
        <v>4169</v>
      </c>
      <c r="F329" t="s">
        <v>4170</v>
      </c>
      <c r="G329">
        <v>3666737.7815547502</v>
      </c>
      <c r="H329">
        <v>6581475.8352901097</v>
      </c>
    </row>
    <row r="330" spans="1:8" x14ac:dyDescent="0.25">
      <c r="A330">
        <v>129</v>
      </c>
      <c r="B330" t="s">
        <v>3853</v>
      </c>
      <c r="C330" t="s">
        <v>4679</v>
      </c>
      <c r="D330" t="s">
        <v>4511</v>
      </c>
      <c r="E330" t="s">
        <v>4169</v>
      </c>
      <c r="F330" t="s">
        <v>4170</v>
      </c>
      <c r="G330">
        <v>1512605.4607925999</v>
      </c>
      <c r="H330">
        <v>5833748.4567493601</v>
      </c>
    </row>
    <row r="331" spans="1:8" x14ac:dyDescent="0.25">
      <c r="A331">
        <v>161</v>
      </c>
      <c r="B331" t="s">
        <v>3853</v>
      </c>
      <c r="C331" t="s">
        <v>4680</v>
      </c>
      <c r="D331" t="s">
        <v>4513</v>
      </c>
      <c r="E331" t="s">
        <v>4169</v>
      </c>
      <c r="F331" t="s">
        <v>4170</v>
      </c>
      <c r="G331">
        <v>1148498.53523015</v>
      </c>
      <c r="H331">
        <v>5833748.4567493601</v>
      </c>
    </row>
    <row r="332" spans="1:8" x14ac:dyDescent="0.25">
      <c r="A332">
        <v>186</v>
      </c>
      <c r="B332" t="s">
        <v>3853</v>
      </c>
      <c r="C332" t="s">
        <v>4681</v>
      </c>
      <c r="D332" t="s">
        <v>4258</v>
      </c>
      <c r="E332" t="s">
        <v>4169</v>
      </c>
      <c r="F332" t="s">
        <v>4170</v>
      </c>
      <c r="G332">
        <v>1423240.9445440001</v>
      </c>
      <c r="H332">
        <v>5833748.4567493601</v>
      </c>
    </row>
    <row r="333" spans="1:8" x14ac:dyDescent="0.25">
      <c r="A333">
        <v>353</v>
      </c>
      <c r="B333" t="s">
        <v>3917</v>
      </c>
      <c r="C333" t="s">
        <v>4682</v>
      </c>
      <c r="D333" t="s">
        <v>4683</v>
      </c>
      <c r="E333" t="s">
        <v>4630</v>
      </c>
      <c r="F333" t="s">
        <v>4631</v>
      </c>
      <c r="G333">
        <v>11577158.3948295</v>
      </c>
      <c r="H333">
        <v>4645070.3915823</v>
      </c>
    </row>
    <row r="334" spans="1:8" x14ac:dyDescent="0.25">
      <c r="A334">
        <v>173</v>
      </c>
      <c r="B334" t="s">
        <v>4043</v>
      </c>
      <c r="C334" t="s">
        <v>4684</v>
      </c>
      <c r="D334" t="s">
        <v>4685</v>
      </c>
      <c r="E334" t="s">
        <v>4673</v>
      </c>
      <c r="F334" t="s">
        <v>4674</v>
      </c>
      <c r="G334">
        <v>2441453.82767371</v>
      </c>
      <c r="H334">
        <v>4269483</v>
      </c>
    </row>
    <row r="335" spans="1:8" x14ac:dyDescent="0.25">
      <c r="A335">
        <v>5</v>
      </c>
      <c r="B335" t="s">
        <v>3783</v>
      </c>
      <c r="C335" t="s">
        <v>4686</v>
      </c>
      <c r="D335" t="s">
        <v>4687</v>
      </c>
      <c r="E335" t="s">
        <v>4407</v>
      </c>
      <c r="F335" t="s">
        <v>4408</v>
      </c>
      <c r="G335">
        <v>473136.392801359</v>
      </c>
      <c r="H335">
        <v>4141555</v>
      </c>
    </row>
    <row r="336" spans="1:8" x14ac:dyDescent="0.25">
      <c r="A336">
        <v>39</v>
      </c>
      <c r="B336" t="s">
        <v>3783</v>
      </c>
      <c r="C336" t="s">
        <v>4688</v>
      </c>
      <c r="D336" t="s">
        <v>4689</v>
      </c>
      <c r="E336" t="s">
        <v>4610</v>
      </c>
      <c r="F336" t="s">
        <v>4408</v>
      </c>
      <c r="G336">
        <v>243772.715384082</v>
      </c>
      <c r="H336">
        <v>4141555</v>
      </c>
    </row>
    <row r="337" spans="1:8" x14ac:dyDescent="0.25">
      <c r="A337">
        <v>348</v>
      </c>
      <c r="B337" t="s">
        <v>3783</v>
      </c>
      <c r="C337" t="s">
        <v>4690</v>
      </c>
      <c r="D337" t="s">
        <v>4691</v>
      </c>
      <c r="E337" t="s">
        <v>4414</v>
      </c>
      <c r="F337" t="s">
        <v>4408</v>
      </c>
      <c r="G337">
        <v>548638.78390653897</v>
      </c>
      <c r="H337">
        <v>4141555</v>
      </c>
    </row>
    <row r="338" spans="1:8" x14ac:dyDescent="0.25">
      <c r="A338">
        <v>368</v>
      </c>
      <c r="B338" t="s">
        <v>3783</v>
      </c>
      <c r="C338" t="s">
        <v>4692</v>
      </c>
      <c r="D338" t="s">
        <v>4693</v>
      </c>
      <c r="E338" t="s">
        <v>4414</v>
      </c>
      <c r="F338" t="s">
        <v>4408</v>
      </c>
      <c r="G338">
        <v>93016.293626641607</v>
      </c>
      <c r="H338">
        <v>4141555</v>
      </c>
    </row>
    <row r="339" spans="1:8" x14ac:dyDescent="0.25">
      <c r="A339">
        <v>244</v>
      </c>
      <c r="B339" t="s">
        <v>4039</v>
      </c>
      <c r="C339" t="s">
        <v>4694</v>
      </c>
      <c r="D339" t="s">
        <v>4695</v>
      </c>
      <c r="E339" t="s">
        <v>4630</v>
      </c>
      <c r="F339" t="s">
        <v>4696</v>
      </c>
      <c r="G339">
        <v>1280854.8157810599</v>
      </c>
      <c r="H339">
        <v>3695910.0956614702</v>
      </c>
    </row>
    <row r="340" spans="1:8" x14ac:dyDescent="0.25">
      <c r="A340">
        <v>390</v>
      </c>
      <c r="B340" t="s">
        <v>4039</v>
      </c>
      <c r="C340" t="s">
        <v>4697</v>
      </c>
      <c r="D340" t="s">
        <v>4698</v>
      </c>
      <c r="E340" t="s">
        <v>4630</v>
      </c>
      <c r="F340" t="s">
        <v>4696</v>
      </c>
      <c r="G340">
        <v>7375281.67227773</v>
      </c>
      <c r="H340">
        <v>3695910.0956614702</v>
      </c>
    </row>
    <row r="341" spans="1:8" x14ac:dyDescent="0.25">
      <c r="A341">
        <v>402</v>
      </c>
      <c r="B341" t="s">
        <v>4001</v>
      </c>
      <c r="C341" t="s">
        <v>4699</v>
      </c>
      <c r="D341" t="s">
        <v>4700</v>
      </c>
      <c r="E341" t="s">
        <v>4673</v>
      </c>
      <c r="F341" t="s">
        <v>4674</v>
      </c>
      <c r="G341">
        <v>177964.04700399601</v>
      </c>
      <c r="H341">
        <v>3546557.0309524601</v>
      </c>
    </row>
    <row r="342" spans="1:8" x14ac:dyDescent="0.25">
      <c r="A342">
        <v>59</v>
      </c>
      <c r="B342" t="s">
        <v>3973</v>
      </c>
      <c r="C342" t="s">
        <v>4701</v>
      </c>
      <c r="D342" t="s">
        <v>4516</v>
      </c>
      <c r="E342" t="s">
        <v>4673</v>
      </c>
      <c r="F342" t="s">
        <v>4674</v>
      </c>
      <c r="G342">
        <v>866279.39200341597</v>
      </c>
      <c r="H342">
        <v>3075552.35258517</v>
      </c>
    </row>
    <row r="343" spans="1:8" x14ac:dyDescent="0.25">
      <c r="A343">
        <v>30</v>
      </c>
      <c r="B343" t="s">
        <v>3641</v>
      </c>
      <c r="C343" t="s">
        <v>4702</v>
      </c>
      <c r="D343" t="s">
        <v>4637</v>
      </c>
      <c r="E343" t="s">
        <v>4439</v>
      </c>
      <c r="F343" t="s">
        <v>4408</v>
      </c>
      <c r="G343">
        <v>1965686.4990198901</v>
      </c>
      <c r="H343">
        <v>2197950.65942187</v>
      </c>
    </row>
    <row r="344" spans="1:8" x14ac:dyDescent="0.25">
      <c r="A344">
        <v>32</v>
      </c>
      <c r="B344" t="s">
        <v>3641</v>
      </c>
      <c r="C344" t="s">
        <v>4703</v>
      </c>
      <c r="D344" t="s">
        <v>4637</v>
      </c>
      <c r="E344" t="s">
        <v>4638</v>
      </c>
      <c r="F344" t="s">
        <v>4408</v>
      </c>
      <c r="G344">
        <v>1356191.0806839101</v>
      </c>
      <c r="H344">
        <v>2197950.65942187</v>
      </c>
    </row>
    <row r="345" spans="1:8" x14ac:dyDescent="0.25">
      <c r="A345">
        <v>33</v>
      </c>
      <c r="B345" t="s">
        <v>3641</v>
      </c>
      <c r="C345" t="s">
        <v>4704</v>
      </c>
      <c r="D345" t="s">
        <v>4637</v>
      </c>
      <c r="E345" t="s">
        <v>4411</v>
      </c>
      <c r="F345" t="s">
        <v>4408</v>
      </c>
      <c r="G345">
        <v>2602181.5944081699</v>
      </c>
      <c r="H345">
        <v>2197950.65942187</v>
      </c>
    </row>
    <row r="346" spans="1:8" x14ac:dyDescent="0.25">
      <c r="A346">
        <v>6</v>
      </c>
      <c r="B346" t="s">
        <v>3679</v>
      </c>
      <c r="C346" t="s">
        <v>4705</v>
      </c>
      <c r="D346" t="s">
        <v>4406</v>
      </c>
      <c r="E346" t="s">
        <v>4407</v>
      </c>
      <c r="F346" t="s">
        <v>4408</v>
      </c>
      <c r="G346">
        <v>2668396.8003929602</v>
      </c>
      <c r="H346">
        <v>1762851.7809428801</v>
      </c>
    </row>
    <row r="347" spans="1:8" x14ac:dyDescent="0.25">
      <c r="A347">
        <v>125</v>
      </c>
      <c r="B347" t="s">
        <v>3679</v>
      </c>
      <c r="C347" t="s">
        <v>4706</v>
      </c>
      <c r="D347" t="s">
        <v>4410</v>
      </c>
      <c r="E347" t="s">
        <v>4411</v>
      </c>
      <c r="F347" t="s">
        <v>4408</v>
      </c>
      <c r="G347">
        <v>3365078.9999489798</v>
      </c>
      <c r="H347">
        <v>1762851.7809428801</v>
      </c>
    </row>
    <row r="348" spans="1:8" x14ac:dyDescent="0.25">
      <c r="A348">
        <v>157</v>
      </c>
      <c r="B348" t="s">
        <v>3679</v>
      </c>
      <c r="C348" t="s">
        <v>4707</v>
      </c>
      <c r="D348" t="s">
        <v>4413</v>
      </c>
      <c r="E348" t="s">
        <v>4414</v>
      </c>
      <c r="F348" t="s">
        <v>4408</v>
      </c>
      <c r="G348">
        <v>792136.82839391904</v>
      </c>
      <c r="H348">
        <v>1762851.7809428801</v>
      </c>
    </row>
    <row r="349" spans="1:8" x14ac:dyDescent="0.25">
      <c r="A349">
        <v>202</v>
      </c>
      <c r="B349" t="s">
        <v>3679</v>
      </c>
      <c r="C349" t="s">
        <v>4708</v>
      </c>
      <c r="D349" t="s">
        <v>4416</v>
      </c>
      <c r="E349" t="s">
        <v>4411</v>
      </c>
      <c r="F349" t="s">
        <v>4408</v>
      </c>
      <c r="G349">
        <v>848255.72908869095</v>
      </c>
      <c r="H349">
        <v>1762851.7809428801</v>
      </c>
    </row>
    <row r="350" spans="1:8" x14ac:dyDescent="0.25">
      <c r="A350">
        <v>207</v>
      </c>
      <c r="B350" t="s">
        <v>3679</v>
      </c>
      <c r="C350" t="s">
        <v>4709</v>
      </c>
      <c r="D350" t="s">
        <v>4418</v>
      </c>
      <c r="E350" t="s">
        <v>4414</v>
      </c>
      <c r="F350" t="s">
        <v>4408</v>
      </c>
      <c r="G350">
        <v>12501.071587332201</v>
      </c>
      <c r="H350">
        <v>1762851.7809428801</v>
      </c>
    </row>
    <row r="351" spans="1:8" x14ac:dyDescent="0.25">
      <c r="A351">
        <v>155</v>
      </c>
      <c r="B351" t="s">
        <v>3919</v>
      </c>
      <c r="C351" t="s">
        <v>4710</v>
      </c>
      <c r="D351" t="s">
        <v>4520</v>
      </c>
      <c r="E351" t="s">
        <v>4414</v>
      </c>
      <c r="F351" t="s">
        <v>4521</v>
      </c>
      <c r="G351">
        <v>72245.120219721706</v>
      </c>
      <c r="H351">
        <v>632314.43294209999</v>
      </c>
    </row>
    <row r="352" spans="1:8" x14ac:dyDescent="0.25">
      <c r="A352">
        <v>214</v>
      </c>
      <c r="B352" t="s">
        <v>3909</v>
      </c>
      <c r="C352" t="s">
        <v>4711</v>
      </c>
      <c r="D352" t="s">
        <v>4642</v>
      </c>
      <c r="E352" t="s">
        <v>4630</v>
      </c>
      <c r="F352" t="s">
        <v>4631</v>
      </c>
      <c r="G352">
        <v>299178571.62216699</v>
      </c>
      <c r="H352">
        <v>567800.265018331</v>
      </c>
    </row>
    <row r="353" spans="1:8" x14ac:dyDescent="0.25">
      <c r="A353">
        <v>265</v>
      </c>
      <c r="B353" t="s">
        <v>3909</v>
      </c>
      <c r="C353" t="s">
        <v>4712</v>
      </c>
      <c r="D353" t="s">
        <v>4172</v>
      </c>
      <c r="E353" t="s">
        <v>4644</v>
      </c>
      <c r="F353" t="s">
        <v>4631</v>
      </c>
      <c r="G353">
        <v>8952.6684491891301</v>
      </c>
      <c r="H353">
        <v>567800.265018331</v>
      </c>
    </row>
    <row r="354" spans="1:8" x14ac:dyDescent="0.25">
      <c r="A354">
        <v>411</v>
      </c>
      <c r="B354" t="s">
        <v>3779</v>
      </c>
      <c r="C354" t="s">
        <v>4713</v>
      </c>
      <c r="D354" t="s">
        <v>4714</v>
      </c>
      <c r="E354" t="s">
        <v>4414</v>
      </c>
      <c r="F354" t="s">
        <v>4408</v>
      </c>
      <c r="G354">
        <v>503207.06561138999</v>
      </c>
      <c r="H354">
        <v>538858.88680928096</v>
      </c>
    </row>
    <row r="355" spans="1:8" x14ac:dyDescent="0.25">
      <c r="A355">
        <v>352</v>
      </c>
      <c r="B355" t="s">
        <v>3915</v>
      </c>
      <c r="C355" t="s">
        <v>4715</v>
      </c>
      <c r="D355" t="s">
        <v>4683</v>
      </c>
      <c r="E355" t="s">
        <v>4630</v>
      </c>
      <c r="F355" t="s">
        <v>4631</v>
      </c>
      <c r="G355">
        <v>7272556.9721404603</v>
      </c>
      <c r="H355">
        <v>493722.56857171102</v>
      </c>
    </row>
    <row r="356" spans="1:8" x14ac:dyDescent="0.25">
      <c r="A356">
        <v>64</v>
      </c>
      <c r="B356" t="s">
        <v>3675</v>
      </c>
      <c r="C356" t="s">
        <v>4716</v>
      </c>
      <c r="D356" t="s">
        <v>4609</v>
      </c>
      <c r="E356" t="s">
        <v>4610</v>
      </c>
      <c r="F356" t="s">
        <v>4521</v>
      </c>
      <c r="G356">
        <v>137071.25939842299</v>
      </c>
      <c r="H356">
        <v>419899.32577821502</v>
      </c>
    </row>
    <row r="357" spans="1:8" x14ac:dyDescent="0.25">
      <c r="A357">
        <v>83</v>
      </c>
      <c r="B357" t="s">
        <v>3675</v>
      </c>
      <c r="C357" t="s">
        <v>4717</v>
      </c>
      <c r="D357" t="s">
        <v>4612</v>
      </c>
      <c r="E357" t="s">
        <v>4610</v>
      </c>
      <c r="F357" t="s">
        <v>4521</v>
      </c>
      <c r="G357">
        <v>37955.933281718397</v>
      </c>
      <c r="H357">
        <v>419899.32577821502</v>
      </c>
    </row>
    <row r="358" spans="1:8" x14ac:dyDescent="0.25">
      <c r="A358">
        <v>104</v>
      </c>
      <c r="B358" t="s">
        <v>3631</v>
      </c>
      <c r="C358" t="s">
        <v>4718</v>
      </c>
      <c r="D358" t="s">
        <v>4633</v>
      </c>
      <c r="E358" t="s">
        <v>4414</v>
      </c>
      <c r="F358" t="s">
        <v>4408</v>
      </c>
      <c r="G358">
        <v>87643.023965794404</v>
      </c>
      <c r="H358">
        <v>33164.620111180302</v>
      </c>
    </row>
    <row r="359" spans="1:8" x14ac:dyDescent="0.25">
      <c r="A359">
        <v>397</v>
      </c>
      <c r="B359" t="s">
        <v>3631</v>
      </c>
      <c r="C359" t="s">
        <v>4719</v>
      </c>
      <c r="D359" t="s">
        <v>4635</v>
      </c>
      <c r="E359" t="s">
        <v>4407</v>
      </c>
      <c r="F359" t="s">
        <v>4408</v>
      </c>
      <c r="G359">
        <v>54963.954590679801</v>
      </c>
      <c r="H359">
        <v>33164.620111180302</v>
      </c>
    </row>
    <row r="360" spans="1:8" x14ac:dyDescent="0.25">
      <c r="A360">
        <v>261</v>
      </c>
      <c r="B360" t="s">
        <v>3697</v>
      </c>
      <c r="C360" t="s">
        <v>4720</v>
      </c>
      <c r="D360" t="s">
        <v>4601</v>
      </c>
      <c r="E360" t="s">
        <v>4407</v>
      </c>
      <c r="F360" t="s">
        <v>4521</v>
      </c>
      <c r="G360">
        <v>364732.53972936998</v>
      </c>
      <c r="H360">
        <v>22991.737451667901</v>
      </c>
    </row>
    <row r="361" spans="1:8" x14ac:dyDescent="0.25">
      <c r="A361">
        <v>4</v>
      </c>
      <c r="B361" t="s">
        <v>3781</v>
      </c>
      <c r="C361" t="s">
        <v>4721</v>
      </c>
      <c r="D361" t="s">
        <v>4687</v>
      </c>
      <c r="E361" t="s">
        <v>4407</v>
      </c>
      <c r="G361">
        <v>194154.69881959699</v>
      </c>
    </row>
    <row r="362" spans="1:8" x14ac:dyDescent="0.25">
      <c r="A362">
        <v>17</v>
      </c>
      <c r="B362" t="s">
        <v>3717</v>
      </c>
      <c r="C362" t="s">
        <v>4722</v>
      </c>
      <c r="D362" t="s">
        <v>4238</v>
      </c>
      <c r="E362" t="s">
        <v>4644</v>
      </c>
      <c r="G362">
        <v>12759551.7461983</v>
      </c>
    </row>
    <row r="363" spans="1:8" x14ac:dyDescent="0.25">
      <c r="A363">
        <v>18</v>
      </c>
      <c r="B363" t="s">
        <v>3719</v>
      </c>
      <c r="C363" t="s">
        <v>4723</v>
      </c>
      <c r="D363" t="s">
        <v>4238</v>
      </c>
      <c r="E363" t="s">
        <v>4169</v>
      </c>
      <c r="G363">
        <v>317867.90979481401</v>
      </c>
    </row>
    <row r="364" spans="1:8" x14ac:dyDescent="0.25">
      <c r="A364">
        <v>19</v>
      </c>
      <c r="B364" t="s">
        <v>3713</v>
      </c>
      <c r="C364" t="s">
        <v>4724</v>
      </c>
      <c r="D364" t="s">
        <v>4238</v>
      </c>
      <c r="E364" t="s">
        <v>4169</v>
      </c>
      <c r="G364">
        <v>730423.98062924296</v>
      </c>
    </row>
    <row r="365" spans="1:8" x14ac:dyDescent="0.25">
      <c r="A365">
        <v>21</v>
      </c>
      <c r="B365" t="s">
        <v>3709</v>
      </c>
      <c r="C365" t="s">
        <v>4725</v>
      </c>
      <c r="D365" t="s">
        <v>4238</v>
      </c>
      <c r="E365" t="s">
        <v>4644</v>
      </c>
      <c r="G365">
        <v>671555.35506306903</v>
      </c>
    </row>
    <row r="366" spans="1:8" x14ac:dyDescent="0.25">
      <c r="A366">
        <v>23</v>
      </c>
      <c r="B366" t="s">
        <v>3707</v>
      </c>
      <c r="C366" t="s">
        <v>4726</v>
      </c>
      <c r="D366" t="s">
        <v>4238</v>
      </c>
      <c r="E366" t="s">
        <v>4644</v>
      </c>
      <c r="G366">
        <v>1566157.7181140501</v>
      </c>
    </row>
    <row r="367" spans="1:8" x14ac:dyDescent="0.25">
      <c r="A367">
        <v>38</v>
      </c>
      <c r="B367" t="s">
        <v>3781</v>
      </c>
      <c r="C367" t="s">
        <v>4727</v>
      </c>
      <c r="D367" t="s">
        <v>4689</v>
      </c>
      <c r="E367" t="s">
        <v>4610</v>
      </c>
      <c r="G367">
        <v>132901.82901938699</v>
      </c>
    </row>
    <row r="368" spans="1:8" x14ac:dyDescent="0.25">
      <c r="A368">
        <v>51</v>
      </c>
      <c r="B368" t="s">
        <v>3619</v>
      </c>
      <c r="C368" t="s">
        <v>4728</v>
      </c>
      <c r="D368" t="s">
        <v>4176</v>
      </c>
      <c r="E368" t="s">
        <v>4169</v>
      </c>
      <c r="G368">
        <v>5031335.49767619</v>
      </c>
    </row>
    <row r="369" spans="1:7" x14ac:dyDescent="0.25">
      <c r="A369">
        <v>54</v>
      </c>
      <c r="B369" t="s">
        <v>3619</v>
      </c>
      <c r="C369" t="s">
        <v>4729</v>
      </c>
      <c r="D369" t="s">
        <v>4178</v>
      </c>
      <c r="E369" t="s">
        <v>4169</v>
      </c>
      <c r="G369">
        <v>9029751.1803124696</v>
      </c>
    </row>
    <row r="370" spans="1:7" x14ac:dyDescent="0.25">
      <c r="A370">
        <v>58</v>
      </c>
      <c r="B370" t="s">
        <v>3977</v>
      </c>
      <c r="C370" t="s">
        <v>4730</v>
      </c>
      <c r="D370" t="s">
        <v>4516</v>
      </c>
      <c r="E370" t="s">
        <v>4673</v>
      </c>
      <c r="G370">
        <v>363431.60618717602</v>
      </c>
    </row>
    <row r="371" spans="1:7" x14ac:dyDescent="0.25">
      <c r="A371">
        <v>62</v>
      </c>
      <c r="B371" t="s">
        <v>3995</v>
      </c>
      <c r="C371" t="s">
        <v>4731</v>
      </c>
      <c r="D371" t="s">
        <v>4677</v>
      </c>
      <c r="E371" t="s">
        <v>4673</v>
      </c>
      <c r="G371">
        <v>5550587.4959353702</v>
      </c>
    </row>
    <row r="372" spans="1:7" x14ac:dyDescent="0.25">
      <c r="A372">
        <v>66</v>
      </c>
      <c r="B372" t="s">
        <v>3785</v>
      </c>
      <c r="C372" t="s">
        <v>4732</v>
      </c>
      <c r="D372" t="s">
        <v>4733</v>
      </c>
      <c r="E372" t="s">
        <v>4169</v>
      </c>
      <c r="G372">
        <v>1114582.2326652701</v>
      </c>
    </row>
    <row r="373" spans="1:7" x14ac:dyDescent="0.25">
      <c r="A373">
        <v>67</v>
      </c>
      <c r="B373" t="s">
        <v>3787</v>
      </c>
      <c r="C373" t="s">
        <v>4734</v>
      </c>
      <c r="D373" t="s">
        <v>4733</v>
      </c>
      <c r="E373" t="s">
        <v>4169</v>
      </c>
      <c r="G373">
        <v>570291.326413795</v>
      </c>
    </row>
    <row r="374" spans="1:7" x14ac:dyDescent="0.25">
      <c r="A374">
        <v>98</v>
      </c>
      <c r="B374" t="s">
        <v>3619</v>
      </c>
      <c r="C374" t="s">
        <v>4735</v>
      </c>
      <c r="D374" t="s">
        <v>4180</v>
      </c>
      <c r="E374" t="s">
        <v>4169</v>
      </c>
      <c r="G374">
        <v>5497488.0853180299</v>
      </c>
    </row>
    <row r="375" spans="1:7" x14ac:dyDescent="0.25">
      <c r="A375">
        <v>102</v>
      </c>
      <c r="B375" t="s">
        <v>3739</v>
      </c>
      <c r="C375" t="s">
        <v>4736</v>
      </c>
      <c r="D375" t="s">
        <v>4737</v>
      </c>
      <c r="E375" t="s">
        <v>4673</v>
      </c>
      <c r="G375">
        <v>333805.69541599602</v>
      </c>
    </row>
    <row r="376" spans="1:7" x14ac:dyDescent="0.25">
      <c r="A376">
        <v>103</v>
      </c>
      <c r="B376" t="s">
        <v>3741</v>
      </c>
      <c r="C376" t="s">
        <v>4738</v>
      </c>
      <c r="D376" t="s">
        <v>4737</v>
      </c>
      <c r="E376" t="s">
        <v>4673</v>
      </c>
      <c r="G376">
        <v>666915.59280749096</v>
      </c>
    </row>
    <row r="377" spans="1:7" x14ac:dyDescent="0.25">
      <c r="A377">
        <v>131</v>
      </c>
      <c r="B377" t="s">
        <v>3619</v>
      </c>
      <c r="C377" t="s">
        <v>4739</v>
      </c>
      <c r="D377" t="s">
        <v>4182</v>
      </c>
      <c r="E377" t="s">
        <v>4169</v>
      </c>
      <c r="G377">
        <v>739296.31707953895</v>
      </c>
    </row>
    <row r="378" spans="1:7" x14ac:dyDescent="0.25">
      <c r="A378">
        <v>134</v>
      </c>
      <c r="B378" t="s">
        <v>3591</v>
      </c>
      <c r="C378" t="s">
        <v>4740</v>
      </c>
      <c r="D378" t="s">
        <v>4741</v>
      </c>
      <c r="E378" t="s">
        <v>4446</v>
      </c>
      <c r="G378">
        <v>1805442.0043240699</v>
      </c>
    </row>
    <row r="379" spans="1:7" x14ac:dyDescent="0.25">
      <c r="A379">
        <v>135</v>
      </c>
      <c r="B379" t="s">
        <v>3589</v>
      </c>
      <c r="C379" t="s">
        <v>4742</v>
      </c>
      <c r="D379" t="s">
        <v>4741</v>
      </c>
      <c r="E379" t="s">
        <v>4446</v>
      </c>
      <c r="G379">
        <v>4904893.4232971696</v>
      </c>
    </row>
    <row r="380" spans="1:7" x14ac:dyDescent="0.25">
      <c r="A380">
        <v>138</v>
      </c>
      <c r="B380" t="s">
        <v>3927</v>
      </c>
      <c r="C380" t="s">
        <v>4743</v>
      </c>
      <c r="D380" t="s">
        <v>4744</v>
      </c>
      <c r="E380" t="s">
        <v>4407</v>
      </c>
      <c r="G380">
        <v>1875483.3896550001</v>
      </c>
    </row>
    <row r="381" spans="1:7" x14ac:dyDescent="0.25">
      <c r="A381">
        <v>139</v>
      </c>
      <c r="B381" t="s">
        <v>3929</v>
      </c>
      <c r="C381" t="s">
        <v>4745</v>
      </c>
      <c r="D381" t="s">
        <v>4744</v>
      </c>
      <c r="E381" t="s">
        <v>4407</v>
      </c>
      <c r="G381">
        <v>3884008.8583790301</v>
      </c>
    </row>
    <row r="382" spans="1:7" x14ac:dyDescent="0.25">
      <c r="A382">
        <v>148</v>
      </c>
      <c r="B382" t="s">
        <v>3787</v>
      </c>
      <c r="C382" t="s">
        <v>4746</v>
      </c>
      <c r="D382" t="s">
        <v>4747</v>
      </c>
      <c r="E382" t="s">
        <v>4169</v>
      </c>
      <c r="G382">
        <v>916100.05982695799</v>
      </c>
    </row>
    <row r="383" spans="1:7" x14ac:dyDescent="0.25">
      <c r="A383">
        <v>149</v>
      </c>
      <c r="B383" t="s">
        <v>3785</v>
      </c>
      <c r="C383" t="s">
        <v>4748</v>
      </c>
      <c r="D383" t="s">
        <v>4747</v>
      </c>
      <c r="E383" t="s">
        <v>4169</v>
      </c>
      <c r="G383">
        <v>2337670.9194521499</v>
      </c>
    </row>
    <row r="384" spans="1:7" x14ac:dyDescent="0.25">
      <c r="A384">
        <v>172</v>
      </c>
      <c r="B384" t="s">
        <v>4045</v>
      </c>
      <c r="C384" t="s">
        <v>4749</v>
      </c>
      <c r="D384" t="s">
        <v>4685</v>
      </c>
      <c r="E384" t="s">
        <v>4673</v>
      </c>
      <c r="G384">
        <v>1235234.95642757</v>
      </c>
    </row>
    <row r="385" spans="1:7" x14ac:dyDescent="0.25">
      <c r="A385">
        <v>175</v>
      </c>
      <c r="B385" t="s">
        <v>3577</v>
      </c>
      <c r="C385" t="s">
        <v>4750</v>
      </c>
      <c r="D385" t="s">
        <v>4437</v>
      </c>
      <c r="E385" t="s">
        <v>4411</v>
      </c>
      <c r="G385">
        <v>2646241.03551772</v>
      </c>
    </row>
    <row r="386" spans="1:7" x14ac:dyDescent="0.25">
      <c r="A386">
        <v>176</v>
      </c>
      <c r="B386" t="s">
        <v>3577</v>
      </c>
      <c r="C386" t="s">
        <v>4751</v>
      </c>
      <c r="D386" t="s">
        <v>4437</v>
      </c>
      <c r="E386" t="s">
        <v>4439</v>
      </c>
      <c r="G386">
        <v>455027.297254059</v>
      </c>
    </row>
    <row r="387" spans="1:7" x14ac:dyDescent="0.25">
      <c r="A387">
        <v>178</v>
      </c>
      <c r="B387" t="s">
        <v>3881</v>
      </c>
      <c r="C387" t="s">
        <v>4752</v>
      </c>
      <c r="D387" t="s">
        <v>4753</v>
      </c>
      <c r="E387" t="s">
        <v>4673</v>
      </c>
      <c r="G387">
        <v>106987.80505018101</v>
      </c>
    </row>
    <row r="388" spans="1:7" x14ac:dyDescent="0.25">
      <c r="A388">
        <v>179</v>
      </c>
      <c r="B388" t="s">
        <v>3879</v>
      </c>
      <c r="C388" t="s">
        <v>4754</v>
      </c>
      <c r="D388" t="s">
        <v>4753</v>
      </c>
      <c r="E388" t="s">
        <v>4673</v>
      </c>
      <c r="G388">
        <v>224689.383553408</v>
      </c>
    </row>
    <row r="389" spans="1:7" x14ac:dyDescent="0.25">
      <c r="A389">
        <v>180</v>
      </c>
      <c r="B389" t="s">
        <v>3599</v>
      </c>
      <c r="C389" t="s">
        <v>4755</v>
      </c>
      <c r="D389" t="s">
        <v>4756</v>
      </c>
      <c r="E389" t="s">
        <v>4407</v>
      </c>
      <c r="G389">
        <v>35488.124359841597</v>
      </c>
    </row>
    <row r="390" spans="1:7" x14ac:dyDescent="0.25">
      <c r="A390">
        <v>181</v>
      </c>
      <c r="B390" t="s">
        <v>3597</v>
      </c>
      <c r="C390" t="s">
        <v>4757</v>
      </c>
      <c r="D390" t="s">
        <v>4756</v>
      </c>
      <c r="E390" t="s">
        <v>4407</v>
      </c>
      <c r="G390">
        <v>71375.234988667202</v>
      </c>
    </row>
    <row r="391" spans="1:7" x14ac:dyDescent="0.25">
      <c r="A391">
        <v>188</v>
      </c>
      <c r="B391" t="s">
        <v>3927</v>
      </c>
      <c r="C391" t="s">
        <v>4758</v>
      </c>
      <c r="D391" t="s">
        <v>4759</v>
      </c>
      <c r="E391" t="s">
        <v>4414</v>
      </c>
      <c r="G391">
        <v>11998106.675584201</v>
      </c>
    </row>
    <row r="392" spans="1:7" x14ac:dyDescent="0.25">
      <c r="A392">
        <v>189</v>
      </c>
      <c r="B392" t="s">
        <v>3929</v>
      </c>
      <c r="C392" t="s">
        <v>4760</v>
      </c>
      <c r="D392" t="s">
        <v>4759</v>
      </c>
      <c r="E392" t="s">
        <v>4414</v>
      </c>
      <c r="G392">
        <v>23497494.373710699</v>
      </c>
    </row>
    <row r="393" spans="1:7" x14ac:dyDescent="0.25">
      <c r="A393">
        <v>192</v>
      </c>
      <c r="B393" t="s">
        <v>4085</v>
      </c>
      <c r="C393" t="s">
        <v>4761</v>
      </c>
      <c r="D393" t="s">
        <v>4458</v>
      </c>
      <c r="E393" t="s">
        <v>4673</v>
      </c>
      <c r="G393">
        <v>7795273.7674540998</v>
      </c>
    </row>
    <row r="394" spans="1:7" x14ac:dyDescent="0.25">
      <c r="A394">
        <v>193</v>
      </c>
      <c r="B394" t="s">
        <v>4085</v>
      </c>
      <c r="C394" t="s">
        <v>4761</v>
      </c>
      <c r="D394" t="s">
        <v>4458</v>
      </c>
      <c r="E394" t="s">
        <v>4673</v>
      </c>
      <c r="G394">
        <v>7795273.7674540998</v>
      </c>
    </row>
    <row r="395" spans="1:7" x14ac:dyDescent="0.25">
      <c r="A395">
        <v>196</v>
      </c>
      <c r="B395" t="s">
        <v>4083</v>
      </c>
      <c r="C395" t="s">
        <v>4762</v>
      </c>
      <c r="D395" t="s">
        <v>4458</v>
      </c>
      <c r="E395" t="s">
        <v>4673</v>
      </c>
      <c r="G395">
        <v>14635960.239124799</v>
      </c>
    </row>
    <row r="396" spans="1:7" x14ac:dyDescent="0.25">
      <c r="A396">
        <v>197</v>
      </c>
      <c r="B396" t="s">
        <v>4083</v>
      </c>
      <c r="C396" t="s">
        <v>4762</v>
      </c>
      <c r="D396" t="s">
        <v>4458</v>
      </c>
      <c r="E396" t="s">
        <v>4673</v>
      </c>
      <c r="G396">
        <v>14635960.239124799</v>
      </c>
    </row>
    <row r="397" spans="1:7" x14ac:dyDescent="0.25">
      <c r="A397">
        <v>204</v>
      </c>
      <c r="B397" t="s">
        <v>4127</v>
      </c>
      <c r="C397" t="s">
        <v>4763</v>
      </c>
      <c r="D397" t="s">
        <v>4764</v>
      </c>
      <c r="E397" t="s">
        <v>4610</v>
      </c>
      <c r="G397">
        <v>357590.28482360701</v>
      </c>
    </row>
    <row r="398" spans="1:7" x14ac:dyDescent="0.25">
      <c r="A398">
        <v>205</v>
      </c>
      <c r="B398" t="s">
        <v>4129</v>
      </c>
      <c r="C398" t="s">
        <v>4765</v>
      </c>
      <c r="D398" t="s">
        <v>4764</v>
      </c>
      <c r="E398" t="s">
        <v>4610</v>
      </c>
      <c r="G398">
        <v>178132.140032492</v>
      </c>
    </row>
    <row r="399" spans="1:7" x14ac:dyDescent="0.25">
      <c r="A399">
        <v>215</v>
      </c>
      <c r="B399" t="s">
        <v>3901</v>
      </c>
      <c r="C399" t="s">
        <v>4766</v>
      </c>
      <c r="D399" t="s">
        <v>4642</v>
      </c>
      <c r="E399" t="s">
        <v>4630</v>
      </c>
      <c r="G399">
        <v>44474980.2240922</v>
      </c>
    </row>
    <row r="400" spans="1:7" x14ac:dyDescent="0.25">
      <c r="A400">
        <v>216</v>
      </c>
      <c r="B400" t="s">
        <v>3911</v>
      </c>
      <c r="C400" t="s">
        <v>4767</v>
      </c>
      <c r="D400" t="s">
        <v>4642</v>
      </c>
      <c r="E400" t="s">
        <v>4630</v>
      </c>
      <c r="G400">
        <v>22518817.2188728</v>
      </c>
    </row>
    <row r="401" spans="1:7" x14ac:dyDescent="0.25">
      <c r="A401">
        <v>218</v>
      </c>
      <c r="B401" t="s">
        <v>3669</v>
      </c>
      <c r="C401" t="s">
        <v>4768</v>
      </c>
      <c r="D401" t="s">
        <v>4769</v>
      </c>
      <c r="E401" t="s">
        <v>4414</v>
      </c>
      <c r="G401">
        <v>187309.58175536501</v>
      </c>
    </row>
    <row r="402" spans="1:7" x14ac:dyDescent="0.25">
      <c r="A402">
        <v>219</v>
      </c>
      <c r="B402" t="s">
        <v>3671</v>
      </c>
      <c r="C402" t="s">
        <v>4770</v>
      </c>
      <c r="D402" t="s">
        <v>4769</v>
      </c>
      <c r="E402" t="s">
        <v>4414</v>
      </c>
      <c r="G402">
        <v>415653.19499398</v>
      </c>
    </row>
    <row r="403" spans="1:7" x14ac:dyDescent="0.25">
      <c r="A403">
        <v>224</v>
      </c>
      <c r="B403" t="s">
        <v>3669</v>
      </c>
      <c r="C403" t="s">
        <v>4771</v>
      </c>
      <c r="D403" t="s">
        <v>4772</v>
      </c>
      <c r="E403" t="s">
        <v>4610</v>
      </c>
      <c r="G403">
        <v>1879625.0293896899</v>
      </c>
    </row>
    <row r="404" spans="1:7" x14ac:dyDescent="0.25">
      <c r="A404">
        <v>225</v>
      </c>
      <c r="B404" t="s">
        <v>3671</v>
      </c>
      <c r="C404" t="s">
        <v>4773</v>
      </c>
      <c r="D404" t="s">
        <v>4772</v>
      </c>
      <c r="E404" t="s">
        <v>4610</v>
      </c>
      <c r="G404">
        <v>5119358.4224576</v>
      </c>
    </row>
    <row r="405" spans="1:7" x14ac:dyDescent="0.25">
      <c r="A405">
        <v>235</v>
      </c>
      <c r="B405" t="s">
        <v>3817</v>
      </c>
      <c r="C405" t="s">
        <v>4774</v>
      </c>
      <c r="D405" t="s">
        <v>4228</v>
      </c>
      <c r="E405" t="s">
        <v>4630</v>
      </c>
      <c r="G405">
        <v>258764.99275300399</v>
      </c>
    </row>
    <row r="406" spans="1:7" x14ac:dyDescent="0.25">
      <c r="A406">
        <v>237</v>
      </c>
      <c r="B406" t="s">
        <v>3761</v>
      </c>
      <c r="C406" t="s">
        <v>4775</v>
      </c>
      <c r="D406" t="s">
        <v>4503</v>
      </c>
      <c r="E406" t="s">
        <v>4169</v>
      </c>
      <c r="G406">
        <v>4212789.0761278402</v>
      </c>
    </row>
    <row r="407" spans="1:7" x14ac:dyDescent="0.25">
      <c r="A407">
        <v>241</v>
      </c>
      <c r="B407" t="s">
        <v>3787</v>
      </c>
      <c r="C407" t="s">
        <v>4776</v>
      </c>
      <c r="D407" t="s">
        <v>4204</v>
      </c>
      <c r="E407" t="s">
        <v>4169</v>
      </c>
      <c r="G407">
        <v>7678449.1977655496</v>
      </c>
    </row>
    <row r="408" spans="1:7" x14ac:dyDescent="0.25">
      <c r="A408">
        <v>242</v>
      </c>
      <c r="B408" t="s">
        <v>3785</v>
      </c>
      <c r="C408" t="s">
        <v>4777</v>
      </c>
      <c r="D408" t="s">
        <v>4204</v>
      </c>
      <c r="E408" t="s">
        <v>4169</v>
      </c>
      <c r="G408">
        <v>16763128.782672601</v>
      </c>
    </row>
    <row r="409" spans="1:7" x14ac:dyDescent="0.25">
      <c r="A409">
        <v>245</v>
      </c>
      <c r="B409" t="s">
        <v>4041</v>
      </c>
      <c r="C409" t="s">
        <v>4778</v>
      </c>
      <c r="D409" t="s">
        <v>4695</v>
      </c>
      <c r="E409" t="s">
        <v>4630</v>
      </c>
      <c r="G409">
        <v>639464.45300008298</v>
      </c>
    </row>
    <row r="410" spans="1:7" x14ac:dyDescent="0.25">
      <c r="A410">
        <v>246</v>
      </c>
      <c r="B410" t="s">
        <v>3785</v>
      </c>
      <c r="C410" t="s">
        <v>4779</v>
      </c>
      <c r="D410" t="s">
        <v>4780</v>
      </c>
      <c r="E410" t="s">
        <v>4169</v>
      </c>
      <c r="G410">
        <v>3570861.07498611</v>
      </c>
    </row>
    <row r="411" spans="1:7" x14ac:dyDescent="0.25">
      <c r="A411">
        <v>247</v>
      </c>
      <c r="B411" t="s">
        <v>3787</v>
      </c>
      <c r="C411" t="s">
        <v>4781</v>
      </c>
      <c r="D411" t="s">
        <v>4780</v>
      </c>
      <c r="E411" t="s">
        <v>4169</v>
      </c>
      <c r="G411">
        <v>1929309.3790071199</v>
      </c>
    </row>
    <row r="412" spans="1:7" x14ac:dyDescent="0.25">
      <c r="A412">
        <v>262</v>
      </c>
      <c r="B412" t="s">
        <v>3647</v>
      </c>
      <c r="C412" t="s">
        <v>4782</v>
      </c>
      <c r="D412" t="s">
        <v>4172</v>
      </c>
      <c r="E412" t="s">
        <v>4169</v>
      </c>
      <c r="G412">
        <v>50597596.371038601</v>
      </c>
    </row>
    <row r="413" spans="1:7" x14ac:dyDescent="0.25">
      <c r="A413">
        <v>263</v>
      </c>
      <c r="B413" t="s">
        <v>3901</v>
      </c>
      <c r="C413" t="s">
        <v>4783</v>
      </c>
      <c r="D413" t="s">
        <v>4172</v>
      </c>
      <c r="E413" t="s">
        <v>4644</v>
      </c>
      <c r="G413">
        <v>3403.13633953299</v>
      </c>
    </row>
    <row r="414" spans="1:7" x14ac:dyDescent="0.25">
      <c r="A414">
        <v>268</v>
      </c>
      <c r="B414" t="s">
        <v>3645</v>
      </c>
      <c r="C414" t="s">
        <v>4784</v>
      </c>
      <c r="D414" t="s">
        <v>4172</v>
      </c>
      <c r="E414" t="s">
        <v>4169</v>
      </c>
      <c r="G414">
        <v>101111276.145835</v>
      </c>
    </row>
    <row r="415" spans="1:7" x14ac:dyDescent="0.25">
      <c r="A415">
        <v>269</v>
      </c>
      <c r="B415" t="s">
        <v>3911</v>
      </c>
      <c r="C415" t="s">
        <v>4785</v>
      </c>
      <c r="D415" t="s">
        <v>4172</v>
      </c>
      <c r="E415" t="s">
        <v>4644</v>
      </c>
      <c r="G415">
        <v>2238.1671122972798</v>
      </c>
    </row>
    <row r="416" spans="1:7" x14ac:dyDescent="0.25">
      <c r="A416">
        <v>270</v>
      </c>
      <c r="B416" t="s">
        <v>3599</v>
      </c>
      <c r="C416" t="s">
        <v>4786</v>
      </c>
      <c r="D416" t="s">
        <v>4787</v>
      </c>
      <c r="E416" t="s">
        <v>4407</v>
      </c>
      <c r="G416">
        <v>72080.670070457898</v>
      </c>
    </row>
    <row r="417" spans="1:7" x14ac:dyDescent="0.25">
      <c r="A417">
        <v>271</v>
      </c>
      <c r="B417" t="s">
        <v>3597</v>
      </c>
      <c r="C417" t="s">
        <v>4788</v>
      </c>
      <c r="D417" t="s">
        <v>4787</v>
      </c>
      <c r="E417" t="s">
        <v>4407</v>
      </c>
      <c r="G417">
        <v>179616.14536846901</v>
      </c>
    </row>
    <row r="418" spans="1:7" x14ac:dyDescent="0.25">
      <c r="A418">
        <v>284</v>
      </c>
      <c r="B418" t="s">
        <v>3961</v>
      </c>
      <c r="C418" t="s">
        <v>4789</v>
      </c>
      <c r="D418" t="s">
        <v>4790</v>
      </c>
      <c r="E418" t="s">
        <v>4673</v>
      </c>
      <c r="G418">
        <v>1824130.5227403899</v>
      </c>
    </row>
    <row r="419" spans="1:7" x14ac:dyDescent="0.25">
      <c r="A419">
        <v>285</v>
      </c>
      <c r="B419" t="s">
        <v>3963</v>
      </c>
      <c r="C419" t="s">
        <v>4791</v>
      </c>
      <c r="D419" t="s">
        <v>4790</v>
      </c>
      <c r="E419" t="s">
        <v>4673</v>
      </c>
      <c r="G419">
        <v>875215.282672634</v>
      </c>
    </row>
    <row r="420" spans="1:7" x14ac:dyDescent="0.25">
      <c r="A420">
        <v>292</v>
      </c>
      <c r="B420" t="s">
        <v>3719</v>
      </c>
      <c r="C420" t="s">
        <v>4792</v>
      </c>
      <c r="D420" t="s">
        <v>4242</v>
      </c>
      <c r="E420" t="s">
        <v>4169</v>
      </c>
      <c r="G420">
        <v>1240265.4039600999</v>
      </c>
    </row>
    <row r="421" spans="1:7" x14ac:dyDescent="0.25">
      <c r="A421">
        <v>294</v>
      </c>
      <c r="B421" t="s">
        <v>3713</v>
      </c>
      <c r="C421" t="s">
        <v>4793</v>
      </c>
      <c r="D421" t="s">
        <v>4242</v>
      </c>
      <c r="E421" t="s">
        <v>4169</v>
      </c>
      <c r="G421">
        <v>2348478.1041099899</v>
      </c>
    </row>
    <row r="422" spans="1:7" x14ac:dyDescent="0.25">
      <c r="A422">
        <v>296</v>
      </c>
      <c r="B422" t="s">
        <v>3657</v>
      </c>
      <c r="C422" t="s">
        <v>4794</v>
      </c>
      <c r="D422" t="s">
        <v>4795</v>
      </c>
      <c r="E422" t="s">
        <v>4407</v>
      </c>
      <c r="G422">
        <v>3148431.7003301498</v>
      </c>
    </row>
    <row r="423" spans="1:7" x14ac:dyDescent="0.25">
      <c r="A423">
        <v>297</v>
      </c>
      <c r="B423" t="s">
        <v>3659</v>
      </c>
      <c r="C423" t="s">
        <v>4796</v>
      </c>
      <c r="D423" t="s">
        <v>4795</v>
      </c>
      <c r="E423" t="s">
        <v>4407</v>
      </c>
      <c r="G423">
        <v>1467631.6371336801</v>
      </c>
    </row>
    <row r="424" spans="1:7" x14ac:dyDescent="0.25">
      <c r="A424">
        <v>300</v>
      </c>
      <c r="B424" t="s">
        <v>3655</v>
      </c>
      <c r="C424" t="s">
        <v>4797</v>
      </c>
      <c r="D424" t="s">
        <v>4798</v>
      </c>
      <c r="E424" t="s">
        <v>4169</v>
      </c>
      <c r="G424">
        <v>4002616.22594235</v>
      </c>
    </row>
    <row r="425" spans="1:7" x14ac:dyDescent="0.25">
      <c r="A425">
        <v>301</v>
      </c>
      <c r="B425" t="s">
        <v>3653</v>
      </c>
      <c r="C425" t="s">
        <v>4799</v>
      </c>
      <c r="D425" t="s">
        <v>4798</v>
      </c>
      <c r="E425" t="s">
        <v>4169</v>
      </c>
      <c r="G425">
        <v>7911738.0194383096</v>
      </c>
    </row>
    <row r="426" spans="1:7" x14ac:dyDescent="0.25">
      <c r="A426">
        <v>311</v>
      </c>
      <c r="B426" t="s">
        <v>3619</v>
      </c>
      <c r="C426" t="s">
        <v>4800</v>
      </c>
      <c r="D426" t="s">
        <v>4184</v>
      </c>
      <c r="E426" t="s">
        <v>4169</v>
      </c>
      <c r="G426">
        <v>1298012.23696999</v>
      </c>
    </row>
    <row r="427" spans="1:7" x14ac:dyDescent="0.25">
      <c r="A427">
        <v>312</v>
      </c>
      <c r="B427" t="s">
        <v>3761</v>
      </c>
      <c r="C427" t="s">
        <v>4801</v>
      </c>
      <c r="D427" t="s">
        <v>4505</v>
      </c>
      <c r="E427" t="s">
        <v>4169</v>
      </c>
      <c r="G427">
        <v>1759243.3174765499</v>
      </c>
    </row>
    <row r="428" spans="1:7" x14ac:dyDescent="0.25">
      <c r="A428">
        <v>314</v>
      </c>
      <c r="B428" t="s">
        <v>3619</v>
      </c>
      <c r="C428" t="s">
        <v>4802</v>
      </c>
      <c r="D428" t="s">
        <v>4186</v>
      </c>
      <c r="E428" t="s">
        <v>4169</v>
      </c>
      <c r="G428">
        <v>13420690.7463613</v>
      </c>
    </row>
    <row r="429" spans="1:7" x14ac:dyDescent="0.25">
      <c r="A429">
        <v>326</v>
      </c>
      <c r="B429" t="s">
        <v>3591</v>
      </c>
      <c r="C429" t="s">
        <v>4803</v>
      </c>
      <c r="D429" t="s">
        <v>4804</v>
      </c>
      <c r="E429" t="s">
        <v>4446</v>
      </c>
      <c r="G429">
        <v>1099176.87403368</v>
      </c>
    </row>
    <row r="430" spans="1:7" x14ac:dyDescent="0.25">
      <c r="A430">
        <v>327</v>
      </c>
      <c r="B430" t="s">
        <v>3589</v>
      </c>
      <c r="C430" t="s">
        <v>4805</v>
      </c>
      <c r="D430" t="s">
        <v>4804</v>
      </c>
      <c r="E430" t="s">
        <v>4446</v>
      </c>
      <c r="G430">
        <v>2112283.04810892</v>
      </c>
    </row>
    <row r="431" spans="1:7" x14ac:dyDescent="0.25">
      <c r="A431">
        <v>329</v>
      </c>
      <c r="B431" t="s">
        <v>3703</v>
      </c>
      <c r="C431" t="s">
        <v>4806</v>
      </c>
      <c r="D431" t="s">
        <v>4616</v>
      </c>
      <c r="E431" t="s">
        <v>4414</v>
      </c>
      <c r="G431">
        <v>261122.861081471</v>
      </c>
    </row>
    <row r="432" spans="1:7" x14ac:dyDescent="0.25">
      <c r="A432">
        <v>332</v>
      </c>
      <c r="B432" t="s">
        <v>3955</v>
      </c>
      <c r="C432" t="s">
        <v>4807</v>
      </c>
      <c r="D432" t="s">
        <v>4808</v>
      </c>
      <c r="E432" t="s">
        <v>4673</v>
      </c>
      <c r="G432">
        <v>292129.44662302401</v>
      </c>
    </row>
    <row r="433" spans="1:7" x14ac:dyDescent="0.25">
      <c r="A433">
        <v>333</v>
      </c>
      <c r="B433" t="s">
        <v>3953</v>
      </c>
      <c r="C433" t="s">
        <v>4809</v>
      </c>
      <c r="D433" t="s">
        <v>4808</v>
      </c>
      <c r="E433" t="s">
        <v>4673</v>
      </c>
      <c r="G433">
        <v>529991.62415082497</v>
      </c>
    </row>
    <row r="434" spans="1:7" x14ac:dyDescent="0.25">
      <c r="A434">
        <v>334</v>
      </c>
      <c r="B434" t="s">
        <v>3703</v>
      </c>
      <c r="C434" t="s">
        <v>4810</v>
      </c>
      <c r="D434" t="s">
        <v>4618</v>
      </c>
      <c r="E434" t="s">
        <v>4407</v>
      </c>
      <c r="G434">
        <v>4511540.7504008599</v>
      </c>
    </row>
    <row r="435" spans="1:7" x14ac:dyDescent="0.25">
      <c r="A435">
        <v>338</v>
      </c>
      <c r="B435" t="s">
        <v>3597</v>
      </c>
      <c r="C435" t="s">
        <v>4811</v>
      </c>
      <c r="D435" t="s">
        <v>4812</v>
      </c>
      <c r="E435" t="s">
        <v>4411</v>
      </c>
      <c r="G435">
        <v>277607391.20325601</v>
      </c>
    </row>
    <row r="436" spans="1:7" x14ac:dyDescent="0.25">
      <c r="A436">
        <v>339</v>
      </c>
      <c r="B436" t="s">
        <v>3599</v>
      </c>
      <c r="C436" t="s">
        <v>4813</v>
      </c>
      <c r="D436" t="s">
        <v>4812</v>
      </c>
      <c r="E436" t="s">
        <v>4411</v>
      </c>
      <c r="G436">
        <v>140316166.23848701</v>
      </c>
    </row>
    <row r="437" spans="1:7" x14ac:dyDescent="0.25">
      <c r="A437">
        <v>340</v>
      </c>
      <c r="B437" t="s">
        <v>3987</v>
      </c>
      <c r="C437" t="s">
        <v>4814</v>
      </c>
      <c r="D437" t="s">
        <v>4815</v>
      </c>
      <c r="E437" t="s">
        <v>4673</v>
      </c>
      <c r="G437">
        <v>6807271.7991533699</v>
      </c>
    </row>
    <row r="438" spans="1:7" x14ac:dyDescent="0.25">
      <c r="A438">
        <v>341</v>
      </c>
      <c r="B438" t="s">
        <v>3985</v>
      </c>
      <c r="C438" t="s">
        <v>4816</v>
      </c>
      <c r="D438" t="s">
        <v>4815</v>
      </c>
      <c r="E438" t="s">
        <v>4673</v>
      </c>
      <c r="G438">
        <v>3794371.9896145999</v>
      </c>
    </row>
    <row r="439" spans="1:7" x14ac:dyDescent="0.25">
      <c r="A439">
        <v>343</v>
      </c>
      <c r="B439" t="s">
        <v>4029</v>
      </c>
      <c r="C439" t="s">
        <v>4817</v>
      </c>
      <c r="D439" t="s">
        <v>4597</v>
      </c>
      <c r="E439" t="s">
        <v>4407</v>
      </c>
      <c r="G439">
        <v>1415398.48571246</v>
      </c>
    </row>
    <row r="440" spans="1:7" x14ac:dyDescent="0.25">
      <c r="A440">
        <v>346</v>
      </c>
      <c r="B440" t="s">
        <v>3797</v>
      </c>
      <c r="C440" t="s">
        <v>4818</v>
      </c>
      <c r="D440" t="s">
        <v>4672</v>
      </c>
      <c r="E440" t="s">
        <v>4673</v>
      </c>
      <c r="G440">
        <v>1433921.2385251301</v>
      </c>
    </row>
    <row r="441" spans="1:7" x14ac:dyDescent="0.25">
      <c r="A441">
        <v>349</v>
      </c>
      <c r="B441" t="s">
        <v>3781</v>
      </c>
      <c r="C441" t="s">
        <v>4819</v>
      </c>
      <c r="D441" t="s">
        <v>4691</v>
      </c>
      <c r="E441" t="s">
        <v>4414</v>
      </c>
      <c r="G441">
        <v>215799.40947385001</v>
      </c>
    </row>
    <row r="442" spans="1:7" x14ac:dyDescent="0.25">
      <c r="A442">
        <v>356</v>
      </c>
      <c r="B442" t="s">
        <v>3619</v>
      </c>
      <c r="C442" t="s">
        <v>4820</v>
      </c>
      <c r="D442" t="s">
        <v>4188</v>
      </c>
      <c r="E442" t="s">
        <v>4169</v>
      </c>
      <c r="G442">
        <v>9247477.3320707195</v>
      </c>
    </row>
    <row r="443" spans="1:7" x14ac:dyDescent="0.25">
      <c r="A443">
        <v>360</v>
      </c>
      <c r="B443" t="s">
        <v>3647</v>
      </c>
      <c r="C443" t="s">
        <v>4821</v>
      </c>
      <c r="D443" t="s">
        <v>4174</v>
      </c>
      <c r="E443" t="s">
        <v>4169</v>
      </c>
      <c r="G443">
        <v>331300357.08313602</v>
      </c>
    </row>
    <row r="444" spans="1:7" x14ac:dyDescent="0.25">
      <c r="A444">
        <v>363</v>
      </c>
      <c r="B444" t="s">
        <v>3645</v>
      </c>
      <c r="C444" t="s">
        <v>4822</v>
      </c>
      <c r="D444" t="s">
        <v>4174</v>
      </c>
      <c r="E444" t="s">
        <v>4169</v>
      </c>
      <c r="G444">
        <v>814119365.14683795</v>
      </c>
    </row>
    <row r="445" spans="1:7" x14ac:dyDescent="0.25">
      <c r="A445">
        <v>369</v>
      </c>
      <c r="B445" t="s">
        <v>3781</v>
      </c>
      <c r="C445" t="s">
        <v>4823</v>
      </c>
      <c r="D445" t="s">
        <v>4693</v>
      </c>
      <c r="E445" t="s">
        <v>4414</v>
      </c>
      <c r="G445">
        <v>35004.270021039403</v>
      </c>
    </row>
    <row r="446" spans="1:7" x14ac:dyDescent="0.25">
      <c r="A446">
        <v>370</v>
      </c>
      <c r="B446" t="s">
        <v>3713</v>
      </c>
      <c r="C446" t="s">
        <v>4824</v>
      </c>
      <c r="D446" t="s">
        <v>4825</v>
      </c>
      <c r="E446" t="s">
        <v>4169</v>
      </c>
      <c r="G446">
        <v>92585559.051822394</v>
      </c>
    </row>
    <row r="447" spans="1:7" x14ac:dyDescent="0.25">
      <c r="A447">
        <v>371</v>
      </c>
      <c r="B447" t="s">
        <v>3719</v>
      </c>
      <c r="C447" t="s">
        <v>4826</v>
      </c>
      <c r="D447" t="s">
        <v>4825</v>
      </c>
      <c r="E447" t="s">
        <v>4169</v>
      </c>
      <c r="G447">
        <v>40420707.934685402</v>
      </c>
    </row>
    <row r="448" spans="1:7" x14ac:dyDescent="0.25">
      <c r="A448">
        <v>377</v>
      </c>
      <c r="B448" t="s">
        <v>3686</v>
      </c>
      <c r="C448" t="s">
        <v>4827</v>
      </c>
      <c r="D448" t="s">
        <v>4441</v>
      </c>
      <c r="E448" t="s">
        <v>4407</v>
      </c>
      <c r="G448">
        <v>34314.022750130498</v>
      </c>
    </row>
    <row r="449" spans="1:7" x14ac:dyDescent="0.25">
      <c r="A449">
        <v>378</v>
      </c>
      <c r="B449" t="s">
        <v>3684</v>
      </c>
      <c r="C449" t="s">
        <v>4828</v>
      </c>
      <c r="D449" t="s">
        <v>4441</v>
      </c>
      <c r="E449" t="s">
        <v>4407</v>
      </c>
      <c r="G449">
        <v>20118.5609908896</v>
      </c>
    </row>
    <row r="450" spans="1:7" x14ac:dyDescent="0.25">
      <c r="A450">
        <v>379</v>
      </c>
      <c r="B450" t="s">
        <v>3577</v>
      </c>
      <c r="C450" t="s">
        <v>4829</v>
      </c>
      <c r="D450" t="s">
        <v>4441</v>
      </c>
      <c r="E450" t="s">
        <v>4407</v>
      </c>
      <c r="G450">
        <v>985809.48855359002</v>
      </c>
    </row>
    <row r="451" spans="1:7" x14ac:dyDescent="0.25">
      <c r="A451">
        <v>388</v>
      </c>
      <c r="B451" t="s">
        <v>3657</v>
      </c>
      <c r="C451" t="s">
        <v>4830</v>
      </c>
      <c r="D451" t="s">
        <v>4831</v>
      </c>
      <c r="E451" t="s">
        <v>4407</v>
      </c>
      <c r="G451">
        <v>3332718.81675871</v>
      </c>
    </row>
    <row r="452" spans="1:7" x14ac:dyDescent="0.25">
      <c r="A452">
        <v>389</v>
      </c>
      <c r="B452" t="s">
        <v>3659</v>
      </c>
      <c r="C452" t="s">
        <v>4832</v>
      </c>
      <c r="D452" t="s">
        <v>4831</v>
      </c>
      <c r="E452" t="s">
        <v>4407</v>
      </c>
      <c r="G452">
        <v>1633180.6016281301</v>
      </c>
    </row>
    <row r="453" spans="1:7" x14ac:dyDescent="0.25">
      <c r="A453">
        <v>391</v>
      </c>
      <c r="B453" t="s">
        <v>4041</v>
      </c>
      <c r="C453" t="s">
        <v>4833</v>
      </c>
      <c r="D453" t="s">
        <v>4698</v>
      </c>
      <c r="E453" t="s">
        <v>4630</v>
      </c>
      <c r="G453">
        <v>2965944.99710808</v>
      </c>
    </row>
    <row r="454" spans="1:7" x14ac:dyDescent="0.25">
      <c r="A454">
        <v>395</v>
      </c>
      <c r="B454" t="s">
        <v>3577</v>
      </c>
      <c r="C454" t="s">
        <v>4834</v>
      </c>
      <c r="D454" t="s">
        <v>4443</v>
      </c>
      <c r="E454" t="s">
        <v>4414</v>
      </c>
      <c r="G454">
        <v>5070578.6507470198</v>
      </c>
    </row>
    <row r="455" spans="1:7" x14ac:dyDescent="0.25">
      <c r="A455">
        <v>403</v>
      </c>
      <c r="B455" t="s">
        <v>4003</v>
      </c>
      <c r="C455" t="s">
        <v>4835</v>
      </c>
      <c r="D455" t="s">
        <v>4700</v>
      </c>
      <c r="E455" t="s">
        <v>4673</v>
      </c>
      <c r="G455">
        <v>80598.480788627407</v>
      </c>
    </row>
    <row r="456" spans="1:7" x14ac:dyDescent="0.25">
      <c r="A456">
        <v>410</v>
      </c>
      <c r="B456" t="s">
        <v>3777</v>
      </c>
      <c r="C456" t="s">
        <v>4836</v>
      </c>
      <c r="D456" t="s">
        <v>4714</v>
      </c>
      <c r="E456" t="s">
        <v>4414</v>
      </c>
      <c r="G456">
        <v>1158441.9734094799</v>
      </c>
    </row>
    <row r="457" spans="1:7" x14ac:dyDescent="0.25">
      <c r="A457">
        <v>413</v>
      </c>
      <c r="B457" t="s">
        <v>4029</v>
      </c>
      <c r="C457" t="s">
        <v>4837</v>
      </c>
      <c r="D457" t="s">
        <v>4599</v>
      </c>
      <c r="E457" t="s">
        <v>4407</v>
      </c>
      <c r="G457">
        <v>453326.99749028002</v>
      </c>
    </row>
    <row r="458" spans="1:7" x14ac:dyDescent="0.25">
      <c r="A458">
        <v>416</v>
      </c>
      <c r="B458" t="s">
        <v>3757</v>
      </c>
      <c r="C458" t="s">
        <v>4838</v>
      </c>
      <c r="D458" t="s">
        <v>4839</v>
      </c>
      <c r="E458" t="s">
        <v>4673</v>
      </c>
      <c r="G458">
        <v>4827736.1589992596</v>
      </c>
    </row>
    <row r="459" spans="1:7" x14ac:dyDescent="0.25">
      <c r="A459">
        <v>417</v>
      </c>
      <c r="B459" t="s">
        <v>3759</v>
      </c>
      <c r="C459" t="s">
        <v>4840</v>
      </c>
      <c r="D459" t="s">
        <v>4839</v>
      </c>
      <c r="E459" t="s">
        <v>4673</v>
      </c>
      <c r="G459">
        <v>11676229.855422501</v>
      </c>
    </row>
    <row r="460" spans="1:7" x14ac:dyDescent="0.25">
      <c r="A460">
        <v>423</v>
      </c>
      <c r="B460" t="s">
        <v>3619</v>
      </c>
      <c r="C460" t="s">
        <v>4841</v>
      </c>
      <c r="D460" t="s">
        <v>4190</v>
      </c>
      <c r="E460" t="s">
        <v>4169</v>
      </c>
      <c r="G460">
        <v>7306107.4476173297</v>
      </c>
    </row>
    <row r="461" spans="1:7" x14ac:dyDescent="0.25">
      <c r="A461">
        <v>440</v>
      </c>
      <c r="B461" t="s">
        <v>3619</v>
      </c>
      <c r="C461" t="s">
        <v>4842</v>
      </c>
      <c r="D461" t="s">
        <v>4192</v>
      </c>
      <c r="E461" t="s">
        <v>4169</v>
      </c>
      <c r="G461">
        <v>8514534.0249174908</v>
      </c>
    </row>
    <row r="462" spans="1:7" x14ac:dyDescent="0.25">
      <c r="A462">
        <v>444</v>
      </c>
      <c r="B462" t="s">
        <v>3577</v>
      </c>
      <c r="C462" t="s">
        <v>4843</v>
      </c>
      <c r="D462" t="s">
        <v>4445</v>
      </c>
      <c r="E462" t="s">
        <v>4446</v>
      </c>
      <c r="G462">
        <v>495073.82261788001</v>
      </c>
    </row>
    <row r="463" spans="1:7" x14ac:dyDescent="0.25">
      <c r="A463">
        <v>450</v>
      </c>
      <c r="B463" t="s">
        <v>3645</v>
      </c>
      <c r="C463" t="s">
        <v>4844</v>
      </c>
      <c r="D463" t="s">
        <v>4845</v>
      </c>
      <c r="E463" t="s">
        <v>4169</v>
      </c>
      <c r="G463">
        <v>15895923.8806643</v>
      </c>
    </row>
    <row r="464" spans="1:7" x14ac:dyDescent="0.25">
      <c r="A464">
        <v>451</v>
      </c>
      <c r="B464" t="s">
        <v>3647</v>
      </c>
      <c r="C464" t="s">
        <v>4846</v>
      </c>
      <c r="D464" t="s">
        <v>4845</v>
      </c>
      <c r="E464" t="s">
        <v>4169</v>
      </c>
      <c r="G464">
        <v>6703933.2638778798</v>
      </c>
    </row>
    <row r="465" spans="1:7" x14ac:dyDescent="0.25">
      <c r="A465">
        <v>453</v>
      </c>
      <c r="B465" t="s">
        <v>3619</v>
      </c>
      <c r="C465" t="s">
        <v>4847</v>
      </c>
      <c r="D465" t="s">
        <v>4194</v>
      </c>
      <c r="E465" t="s">
        <v>4169</v>
      </c>
      <c r="G465">
        <v>13439726.7317189</v>
      </c>
    </row>
    <row r="466" spans="1:7" x14ac:dyDescent="0.25">
      <c r="A466">
        <v>460</v>
      </c>
      <c r="B466" t="s">
        <v>3805</v>
      </c>
      <c r="C466" t="s">
        <v>4848</v>
      </c>
      <c r="D466" t="s">
        <v>4849</v>
      </c>
      <c r="E466" t="s">
        <v>4630</v>
      </c>
      <c r="G466">
        <v>94572.475575210294</v>
      </c>
    </row>
    <row r="467" spans="1:7" x14ac:dyDescent="0.25">
      <c r="A467">
        <v>461</v>
      </c>
      <c r="B467" t="s">
        <v>3803</v>
      </c>
      <c r="C467" t="s">
        <v>4850</v>
      </c>
      <c r="D467" t="s">
        <v>4849</v>
      </c>
      <c r="E467" t="s">
        <v>4630</v>
      </c>
      <c r="G467">
        <v>45081.324184243102</v>
      </c>
    </row>
  </sheetData>
  <autoFilter ref="A1:H467" xr:uid="{0242799C-1B36-4F9E-BEB6-D7EF558F211F}">
    <sortState xmlns:xlrd2="http://schemas.microsoft.com/office/spreadsheetml/2017/richdata2" ref="A2:H467">
      <sortCondition descending="1" ref="H1:H467"/>
    </sortState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C27FA-35B2-40FC-8806-0E96F8BF8DD2}">
  <sheetPr filterMode="1"/>
  <dimension ref="A1:AA463"/>
  <sheetViews>
    <sheetView topLeftCell="T1" workbookViewId="0">
      <selection activeCell="AA11" sqref="AA11:AA137"/>
    </sheetView>
  </sheetViews>
  <sheetFormatPr defaultRowHeight="15" x14ac:dyDescent="0.25"/>
  <cols>
    <col min="1" max="1" width="26.7109375" bestFit="1" customWidth="1"/>
    <col min="2" max="2" width="14.85546875" bestFit="1" customWidth="1"/>
    <col min="7" max="7" width="26.7109375" bestFit="1" customWidth="1"/>
    <col min="8" max="8" width="15.28515625" bestFit="1" customWidth="1"/>
    <col min="11" max="11" width="26.7109375" bestFit="1" customWidth="1"/>
    <col min="12" max="12" width="12.7109375" bestFit="1" customWidth="1"/>
    <col min="20" max="20" width="26.7109375" bestFit="1" customWidth="1"/>
    <col min="21" max="21" width="19.42578125" bestFit="1" customWidth="1"/>
    <col min="24" max="24" width="26.7109375" bestFit="1" customWidth="1"/>
    <col min="25" max="25" width="12" bestFit="1" customWidth="1"/>
    <col min="26" max="26" width="13.140625" bestFit="1" customWidth="1"/>
  </cols>
  <sheetData>
    <row r="1" spans="1:27" x14ac:dyDescent="0.25">
      <c r="A1" t="s">
        <v>3551</v>
      </c>
      <c r="B1" t="s">
        <v>4166</v>
      </c>
      <c r="G1" t="s">
        <v>3551</v>
      </c>
      <c r="H1" t="s">
        <v>4165</v>
      </c>
      <c r="K1" s="15" t="s">
        <v>3130</v>
      </c>
      <c r="L1" t="s">
        <v>4851</v>
      </c>
      <c r="T1" s="15" t="s">
        <v>3130</v>
      </c>
      <c r="U1" t="s">
        <v>4852</v>
      </c>
      <c r="X1" s="17" t="s">
        <v>3130</v>
      </c>
      <c r="Y1" s="17" t="s">
        <v>4853</v>
      </c>
      <c r="Z1" s="17" t="s">
        <v>4854</v>
      </c>
      <c r="AA1" s="18" t="s">
        <v>4855</v>
      </c>
    </row>
    <row r="2" spans="1:27" hidden="1" x14ac:dyDescent="0.25">
      <c r="A2" t="s">
        <v>3903</v>
      </c>
      <c r="B2">
        <v>248559680.75148901</v>
      </c>
      <c r="G2" t="s">
        <v>3903</v>
      </c>
      <c r="H2" s="14">
        <v>2341074.7858130098</v>
      </c>
      <c r="K2" s="16" t="s">
        <v>3589</v>
      </c>
      <c r="L2">
        <v>7017176.4714060891</v>
      </c>
      <c r="T2" s="16" t="s">
        <v>3589</v>
      </c>
      <c r="X2" s="16" t="s">
        <v>3589</v>
      </c>
      <c r="Y2">
        <v>7017176.4714060891</v>
      </c>
      <c r="AA2">
        <f>IF(Z2=0,-100,Y2/Z2)</f>
        <v>-100</v>
      </c>
    </row>
    <row r="3" spans="1:27" hidden="1" x14ac:dyDescent="0.25">
      <c r="A3" t="s">
        <v>3621</v>
      </c>
      <c r="B3">
        <v>235202293</v>
      </c>
      <c r="G3" t="s">
        <v>3903</v>
      </c>
      <c r="H3" s="14">
        <v>404445104.58333999</v>
      </c>
      <c r="K3" s="16" t="s">
        <v>3693</v>
      </c>
      <c r="L3">
        <v>136814948.80829951</v>
      </c>
      <c r="T3" s="16" t="s">
        <v>3693</v>
      </c>
      <c r="U3">
        <v>18893073</v>
      </c>
      <c r="X3" s="16" t="s">
        <v>3693</v>
      </c>
      <c r="Y3">
        <v>136814948.80829951</v>
      </c>
      <c r="Z3">
        <v>18893073</v>
      </c>
      <c r="AA3">
        <f t="shared" ref="AA3:AA66" si="0">IF(Z3=0,-100,Y3/Z3)</f>
        <v>7.2415402623119869</v>
      </c>
    </row>
    <row r="4" spans="1:27" hidden="1" x14ac:dyDescent="0.25">
      <c r="A4" t="s">
        <v>3609</v>
      </c>
      <c r="B4">
        <v>226362739.153855</v>
      </c>
      <c r="G4" t="s">
        <v>3903</v>
      </c>
      <c r="H4" s="14">
        <v>90457707.238537595</v>
      </c>
      <c r="K4" s="16" t="s">
        <v>3961</v>
      </c>
      <c r="L4">
        <v>1824130.5227403899</v>
      </c>
      <c r="T4" s="16" t="s">
        <v>3961</v>
      </c>
      <c r="X4" s="16" t="s">
        <v>3961</v>
      </c>
      <c r="Y4">
        <v>1824130.5227403899</v>
      </c>
      <c r="AA4">
        <f t="shared" si="0"/>
        <v>-100</v>
      </c>
    </row>
    <row r="5" spans="1:27" hidden="1" x14ac:dyDescent="0.25">
      <c r="A5" t="s">
        <v>3825</v>
      </c>
      <c r="B5">
        <v>216427506.98863101</v>
      </c>
      <c r="G5" t="s">
        <v>3621</v>
      </c>
      <c r="H5" s="14">
        <v>10323673.3044497</v>
      </c>
      <c r="K5" s="16" t="s">
        <v>3901</v>
      </c>
      <c r="L5">
        <v>44478383.360431731</v>
      </c>
      <c r="T5" s="16" t="s">
        <v>3901</v>
      </c>
      <c r="X5" s="16" t="s">
        <v>3901</v>
      </c>
      <c r="Y5">
        <v>44478383.360431731</v>
      </c>
      <c r="AA5">
        <f t="shared" si="0"/>
        <v>-100</v>
      </c>
    </row>
    <row r="6" spans="1:27" hidden="1" x14ac:dyDescent="0.25">
      <c r="A6" t="s">
        <v>3723</v>
      </c>
      <c r="B6">
        <v>159838023.45796299</v>
      </c>
      <c r="G6" t="s">
        <v>3621</v>
      </c>
      <c r="H6" s="14">
        <v>17335179.916804001</v>
      </c>
      <c r="K6" s="16" t="s">
        <v>3777</v>
      </c>
      <c r="L6">
        <v>1158441.9734094799</v>
      </c>
      <c r="T6" s="16" t="s">
        <v>3777</v>
      </c>
      <c r="X6" s="16" t="s">
        <v>3777</v>
      </c>
      <c r="Y6">
        <v>1158441.9734094799</v>
      </c>
      <c r="AA6">
        <f t="shared" si="0"/>
        <v>-100</v>
      </c>
    </row>
    <row r="7" spans="1:27" hidden="1" x14ac:dyDescent="0.25">
      <c r="A7" t="s">
        <v>3567</v>
      </c>
      <c r="B7">
        <v>159646223.74818599</v>
      </c>
      <c r="G7" t="s">
        <v>3621</v>
      </c>
      <c r="H7" s="14">
        <v>14737392.520119799</v>
      </c>
      <c r="K7" s="16" t="s">
        <v>3645</v>
      </c>
      <c r="L7">
        <v>931126565.17333734</v>
      </c>
      <c r="T7" s="16" t="s">
        <v>3645</v>
      </c>
      <c r="X7" s="16" t="s">
        <v>3645</v>
      </c>
      <c r="Y7">
        <v>931126565.17333734</v>
      </c>
      <c r="AA7">
        <f t="shared" si="0"/>
        <v>-100</v>
      </c>
    </row>
    <row r="8" spans="1:27" hidden="1" x14ac:dyDescent="0.25">
      <c r="A8" t="s">
        <v>3715</v>
      </c>
      <c r="B8">
        <v>153196999.43472299</v>
      </c>
      <c r="G8" t="s">
        <v>3621</v>
      </c>
      <c r="H8" s="14">
        <v>1917852.82254549</v>
      </c>
      <c r="K8" s="16" t="s">
        <v>3921</v>
      </c>
      <c r="L8">
        <v>176919.37519204599</v>
      </c>
      <c r="T8" s="16" t="s">
        <v>3921</v>
      </c>
      <c r="U8">
        <v>36710419.671129502</v>
      </c>
      <c r="X8" s="16" t="s">
        <v>3921</v>
      </c>
      <c r="Y8">
        <v>176919.37519204599</v>
      </c>
      <c r="Z8">
        <v>36710419.671129502</v>
      </c>
      <c r="AA8">
        <f t="shared" si="0"/>
        <v>4.81932314522632E-3</v>
      </c>
    </row>
    <row r="9" spans="1:27" hidden="1" x14ac:dyDescent="0.25">
      <c r="A9" t="s">
        <v>3875</v>
      </c>
      <c r="B9">
        <v>152508388.52226999</v>
      </c>
      <c r="G9" t="s">
        <v>3621</v>
      </c>
      <c r="H9" s="14">
        <v>2270269.1193386498</v>
      </c>
      <c r="K9" s="16" t="s">
        <v>3905</v>
      </c>
      <c r="L9">
        <v>590895492.6654402</v>
      </c>
      <c r="T9" s="16" t="s">
        <v>3905</v>
      </c>
      <c r="U9">
        <v>14785987.406061901</v>
      </c>
      <c r="X9" s="16" t="s">
        <v>3905</v>
      </c>
      <c r="Y9">
        <v>590895492.6654402</v>
      </c>
      <c r="Z9">
        <v>14785987.406061901</v>
      </c>
      <c r="AA9">
        <f t="shared" si="0"/>
        <v>39.963208167158804</v>
      </c>
    </row>
    <row r="10" spans="1:27" hidden="1" x14ac:dyDescent="0.25">
      <c r="A10" t="s">
        <v>3586</v>
      </c>
      <c r="B10">
        <v>148007171.939549</v>
      </c>
      <c r="G10" t="s">
        <v>3621</v>
      </c>
      <c r="H10" s="14">
        <v>27743515.2711404</v>
      </c>
      <c r="K10" s="16" t="s">
        <v>3681</v>
      </c>
      <c r="L10">
        <v>14950368.097868674</v>
      </c>
      <c r="T10" s="16" t="s">
        <v>3681</v>
      </c>
      <c r="U10">
        <v>77567893.919245094</v>
      </c>
      <c r="X10" s="16" t="s">
        <v>3681</v>
      </c>
      <c r="Y10">
        <v>14950368.097868674</v>
      </c>
      <c r="Z10">
        <v>77567893.919245094</v>
      </c>
      <c r="AA10">
        <f t="shared" si="0"/>
        <v>0.19273912623479636</v>
      </c>
    </row>
    <row r="11" spans="1:27" x14ac:dyDescent="0.25">
      <c r="A11" t="s">
        <v>3855</v>
      </c>
      <c r="B11">
        <v>140990912.823383</v>
      </c>
      <c r="G11" t="s">
        <v>3621</v>
      </c>
      <c r="H11" s="14">
        <v>17950202.290039498</v>
      </c>
      <c r="K11" s="16" t="s">
        <v>3903</v>
      </c>
      <c r="L11">
        <v>497243886.60769063</v>
      </c>
      <c r="T11" s="16" t="s">
        <v>3903</v>
      </c>
      <c r="U11">
        <v>248559680.75148901</v>
      </c>
      <c r="X11" s="16" t="s">
        <v>3903</v>
      </c>
      <c r="Y11">
        <v>497243886.60769063</v>
      </c>
      <c r="Z11">
        <v>248559680.75148901</v>
      </c>
      <c r="AA11">
        <f t="shared" si="0"/>
        <v>2.0005009867422427</v>
      </c>
    </row>
    <row r="12" spans="1:27" hidden="1" x14ac:dyDescent="0.25">
      <c r="A12" t="s">
        <v>3625</v>
      </c>
      <c r="B12">
        <v>139672661.35235801</v>
      </c>
      <c r="G12" t="s">
        <v>3621</v>
      </c>
      <c r="H12" s="14">
        <v>11924834.067503599</v>
      </c>
      <c r="K12" s="16" t="s">
        <v>3621</v>
      </c>
      <c r="L12">
        <v>149027945.23464182</v>
      </c>
      <c r="T12" s="16" t="s">
        <v>3621</v>
      </c>
      <c r="U12">
        <v>235202293</v>
      </c>
      <c r="X12" s="16" t="s">
        <v>3621</v>
      </c>
      <c r="Y12">
        <v>149027945.23464182</v>
      </c>
      <c r="Z12">
        <v>235202293</v>
      </c>
      <c r="AA12">
        <f t="shared" si="0"/>
        <v>0.63361603891609097</v>
      </c>
    </row>
    <row r="13" spans="1:27" hidden="1" x14ac:dyDescent="0.25">
      <c r="A13" t="s">
        <v>3899</v>
      </c>
      <c r="B13">
        <v>125524653.059774</v>
      </c>
      <c r="G13" t="s">
        <v>3621</v>
      </c>
      <c r="H13" s="14">
        <v>20927362.858742401</v>
      </c>
      <c r="K13" s="16" t="s">
        <v>3763</v>
      </c>
      <c r="L13">
        <v>13339878.76337583</v>
      </c>
      <c r="T13" s="16" t="s">
        <v>3763</v>
      </c>
      <c r="U13">
        <v>54827598</v>
      </c>
      <c r="X13" s="16" t="s">
        <v>3763</v>
      </c>
      <c r="Y13">
        <v>13339878.76337583</v>
      </c>
      <c r="Z13">
        <v>54827598</v>
      </c>
      <c r="AA13">
        <f t="shared" si="0"/>
        <v>0.24330591253287862</v>
      </c>
    </row>
    <row r="14" spans="1:27" hidden="1" x14ac:dyDescent="0.25">
      <c r="A14" t="s">
        <v>4087</v>
      </c>
      <c r="B14">
        <v>115647428.787459</v>
      </c>
      <c r="G14" t="s">
        <v>3621</v>
      </c>
      <c r="H14" s="14">
        <v>23897663.063958298</v>
      </c>
      <c r="K14" s="16" t="s">
        <v>3591</v>
      </c>
      <c r="L14">
        <v>2904618.8783577499</v>
      </c>
      <c r="T14" s="16" t="s">
        <v>3591</v>
      </c>
      <c r="X14" s="16" t="s">
        <v>3591</v>
      </c>
      <c r="Y14">
        <v>2904618.8783577499</v>
      </c>
      <c r="AA14">
        <f t="shared" si="0"/>
        <v>-100</v>
      </c>
    </row>
    <row r="15" spans="1:27" hidden="1" x14ac:dyDescent="0.25">
      <c r="A15" t="s">
        <v>3827</v>
      </c>
      <c r="B15">
        <v>113740207.835118</v>
      </c>
      <c r="G15" t="s">
        <v>3609</v>
      </c>
      <c r="H15" s="14">
        <v>12688623.5225274</v>
      </c>
      <c r="K15" s="16" t="s">
        <v>3691</v>
      </c>
      <c r="L15">
        <v>68067095.470506787</v>
      </c>
      <c r="T15" s="16" t="s">
        <v>3691</v>
      </c>
      <c r="U15">
        <v>58139251</v>
      </c>
      <c r="X15" s="16" t="s">
        <v>3691</v>
      </c>
      <c r="Y15">
        <v>68067095.470506787</v>
      </c>
      <c r="Z15">
        <v>58139251</v>
      </c>
      <c r="AA15">
        <f t="shared" si="0"/>
        <v>1.1707597586784664</v>
      </c>
    </row>
    <row r="16" spans="1:27" hidden="1" x14ac:dyDescent="0.25">
      <c r="A16" t="s">
        <v>3711</v>
      </c>
      <c r="B16">
        <v>107065359.451557</v>
      </c>
      <c r="G16" t="s">
        <v>3609</v>
      </c>
      <c r="H16" s="14">
        <v>9254501.6327838991</v>
      </c>
      <c r="K16" s="16" t="s">
        <v>3963</v>
      </c>
      <c r="L16">
        <v>875215.282672634</v>
      </c>
      <c r="T16" s="16" t="s">
        <v>3963</v>
      </c>
      <c r="X16" s="16" t="s">
        <v>3963</v>
      </c>
      <c r="Y16">
        <v>875215.282672634</v>
      </c>
      <c r="AA16">
        <f t="shared" si="0"/>
        <v>-100</v>
      </c>
    </row>
    <row r="17" spans="1:27" hidden="1" x14ac:dyDescent="0.25">
      <c r="A17" t="s">
        <v>3649</v>
      </c>
      <c r="B17">
        <v>106389196.352901</v>
      </c>
      <c r="G17" t="s">
        <v>3609</v>
      </c>
      <c r="H17" s="14">
        <v>12105886.8435876</v>
      </c>
      <c r="K17" s="16" t="s">
        <v>3911</v>
      </c>
      <c r="L17">
        <v>22521055.385985099</v>
      </c>
      <c r="T17" s="16" t="s">
        <v>3911</v>
      </c>
      <c r="X17" s="16" t="s">
        <v>3911</v>
      </c>
      <c r="Y17">
        <v>22521055.385985099</v>
      </c>
      <c r="AA17">
        <f t="shared" si="0"/>
        <v>-100</v>
      </c>
    </row>
    <row r="18" spans="1:27" hidden="1" x14ac:dyDescent="0.25">
      <c r="A18" t="s">
        <v>3559</v>
      </c>
      <c r="B18">
        <v>103984248.64621601</v>
      </c>
      <c r="G18" t="s">
        <v>3609</v>
      </c>
      <c r="H18" s="14">
        <v>12086412.7818169</v>
      </c>
      <c r="K18" s="16" t="s">
        <v>3779</v>
      </c>
      <c r="L18">
        <v>503207.06561138999</v>
      </c>
      <c r="T18" s="16" t="s">
        <v>3779</v>
      </c>
      <c r="U18">
        <v>538858.88680928096</v>
      </c>
      <c r="X18" s="16" t="s">
        <v>3779</v>
      </c>
      <c r="Y18">
        <v>503207.06561138999</v>
      </c>
      <c r="Z18">
        <v>538858.88680928096</v>
      </c>
      <c r="AA18">
        <f t="shared" si="0"/>
        <v>0.93383829779815941</v>
      </c>
    </row>
    <row r="19" spans="1:27" hidden="1" x14ac:dyDescent="0.25">
      <c r="A19" t="s">
        <v>3627</v>
      </c>
      <c r="B19">
        <v>97827721</v>
      </c>
      <c r="G19" t="s">
        <v>3825</v>
      </c>
      <c r="H19" s="14">
        <v>112184015.699424</v>
      </c>
      <c r="K19" s="16" t="s">
        <v>3647</v>
      </c>
      <c r="L19">
        <v>388601886.71805251</v>
      </c>
      <c r="T19" s="16" t="s">
        <v>3647</v>
      </c>
      <c r="X19" s="16" t="s">
        <v>3647</v>
      </c>
      <c r="Y19">
        <v>388601886.71805251</v>
      </c>
      <c r="AA19">
        <f t="shared" si="0"/>
        <v>-100</v>
      </c>
    </row>
    <row r="20" spans="1:27" hidden="1" x14ac:dyDescent="0.25">
      <c r="A20" t="s">
        <v>3571</v>
      </c>
      <c r="B20">
        <v>97210245.738440499</v>
      </c>
      <c r="G20" t="s">
        <v>3825</v>
      </c>
      <c r="H20" s="14">
        <v>1107623.15891219</v>
      </c>
      <c r="K20" s="16" t="s">
        <v>3919</v>
      </c>
      <c r="L20">
        <v>72245.120219721706</v>
      </c>
      <c r="T20" s="16" t="s">
        <v>3919</v>
      </c>
      <c r="U20">
        <v>632314.43294209999</v>
      </c>
      <c r="X20" s="16" t="s">
        <v>3919</v>
      </c>
      <c r="Y20">
        <v>72245.120219721706</v>
      </c>
      <c r="Z20">
        <v>632314.43294209999</v>
      </c>
      <c r="AA20">
        <f t="shared" si="0"/>
        <v>0.11425505485233338</v>
      </c>
    </row>
    <row r="21" spans="1:27" hidden="1" x14ac:dyDescent="0.25">
      <c r="A21" t="s">
        <v>3847</v>
      </c>
      <c r="B21">
        <v>97011233.222951293</v>
      </c>
      <c r="G21" t="s">
        <v>3825</v>
      </c>
      <c r="H21" s="14">
        <v>147560795.34786099</v>
      </c>
      <c r="K21" s="16" t="s">
        <v>3909</v>
      </c>
      <c r="L21">
        <v>299187524.29061615</v>
      </c>
      <c r="T21" s="16" t="s">
        <v>3909</v>
      </c>
      <c r="U21">
        <v>567800.265018331</v>
      </c>
      <c r="X21" s="16" t="s">
        <v>3909</v>
      </c>
      <c r="Y21">
        <v>299187524.29061615</v>
      </c>
      <c r="Z21">
        <v>567800.265018331</v>
      </c>
      <c r="AA21">
        <f t="shared" si="0"/>
        <v>526.92388983114881</v>
      </c>
    </row>
    <row r="22" spans="1:27" hidden="1" x14ac:dyDescent="0.25">
      <c r="A22" t="s">
        <v>4019</v>
      </c>
      <c r="B22">
        <v>92788280</v>
      </c>
      <c r="G22" t="s">
        <v>3723</v>
      </c>
      <c r="H22" s="14">
        <v>12046374.8908759</v>
      </c>
      <c r="K22" s="16" t="s">
        <v>3679</v>
      </c>
      <c r="L22">
        <v>7686369.4294118825</v>
      </c>
      <c r="T22" s="16" t="s">
        <v>3679</v>
      </c>
      <c r="U22">
        <v>1762851.7809428801</v>
      </c>
      <c r="X22" s="16" t="s">
        <v>3679</v>
      </c>
      <c r="Y22">
        <v>7686369.4294118825</v>
      </c>
      <c r="Z22">
        <v>1762851.7809428801</v>
      </c>
      <c r="AA22">
        <f t="shared" si="0"/>
        <v>4.3601904099394826</v>
      </c>
    </row>
    <row r="23" spans="1:27" hidden="1" x14ac:dyDescent="0.25">
      <c r="A23" t="s">
        <v>3573</v>
      </c>
      <c r="B23">
        <v>79916913.810530394</v>
      </c>
      <c r="G23" t="s">
        <v>3723</v>
      </c>
      <c r="H23" s="14">
        <v>2078225.89262989</v>
      </c>
      <c r="K23" s="16" t="s">
        <v>3899</v>
      </c>
      <c r="L23">
        <v>240310856.09118763</v>
      </c>
      <c r="T23" s="16" t="s">
        <v>3899</v>
      </c>
      <c r="U23">
        <v>125524653.059774</v>
      </c>
      <c r="X23" s="16" t="s">
        <v>3899</v>
      </c>
      <c r="Y23">
        <v>240310856.09118763</v>
      </c>
      <c r="Z23">
        <v>125524653.059774</v>
      </c>
      <c r="AA23">
        <f t="shared" si="0"/>
        <v>1.9144514661733676</v>
      </c>
    </row>
    <row r="24" spans="1:27" hidden="1" x14ac:dyDescent="0.25">
      <c r="A24" t="s">
        <v>3873</v>
      </c>
      <c r="B24">
        <v>78837693.429452002</v>
      </c>
      <c r="G24" t="s">
        <v>3723</v>
      </c>
      <c r="H24" s="14">
        <v>847150.10601515998</v>
      </c>
      <c r="K24" s="16" t="s">
        <v>3619</v>
      </c>
      <c r="L24">
        <v>73524419.600041956</v>
      </c>
      <c r="T24" s="16" t="s">
        <v>3619</v>
      </c>
      <c r="X24" s="16" t="s">
        <v>3619</v>
      </c>
      <c r="Y24">
        <v>73524419.600041956</v>
      </c>
      <c r="AA24">
        <f t="shared" si="0"/>
        <v>-100</v>
      </c>
    </row>
    <row r="25" spans="1:27" hidden="1" x14ac:dyDescent="0.25">
      <c r="A25" t="s">
        <v>3584</v>
      </c>
      <c r="B25">
        <v>78452740.401203394</v>
      </c>
      <c r="G25" t="s">
        <v>3723</v>
      </c>
      <c r="H25" s="14">
        <v>10054354.613634</v>
      </c>
      <c r="K25" s="16" t="s">
        <v>3761</v>
      </c>
      <c r="L25">
        <v>5972032.3936043903</v>
      </c>
      <c r="T25" s="16" t="s">
        <v>3761</v>
      </c>
      <c r="X25" s="16" t="s">
        <v>3761</v>
      </c>
      <c r="Y25">
        <v>5972032.3936043903</v>
      </c>
      <c r="AA25">
        <f t="shared" si="0"/>
        <v>-100</v>
      </c>
    </row>
    <row r="26" spans="1:27" hidden="1" x14ac:dyDescent="0.25">
      <c r="A26" t="s">
        <v>3681</v>
      </c>
      <c r="B26">
        <v>77567893.919245094</v>
      </c>
      <c r="G26" t="s">
        <v>3723</v>
      </c>
      <c r="H26" s="14">
        <v>1600375.5182918201</v>
      </c>
      <c r="K26" s="16" t="s">
        <v>3667</v>
      </c>
      <c r="L26">
        <v>200417774.0034256</v>
      </c>
      <c r="T26" s="16" t="s">
        <v>3667</v>
      </c>
      <c r="U26">
        <v>17754596</v>
      </c>
      <c r="X26" s="16" t="s">
        <v>3667</v>
      </c>
      <c r="Y26">
        <v>200417774.0034256</v>
      </c>
      <c r="Z26">
        <v>17754596</v>
      </c>
      <c r="AA26">
        <f t="shared" si="0"/>
        <v>11.288219343511145</v>
      </c>
    </row>
    <row r="27" spans="1:27" hidden="1" x14ac:dyDescent="0.25">
      <c r="A27" t="s">
        <v>3565</v>
      </c>
      <c r="B27">
        <v>74613458.544619307</v>
      </c>
      <c r="G27" t="s">
        <v>3723</v>
      </c>
      <c r="H27" s="14">
        <v>21917508.864282899</v>
      </c>
      <c r="K27" s="16" t="s">
        <v>3657</v>
      </c>
      <c r="L27">
        <v>6481150.5170888603</v>
      </c>
      <c r="T27" s="16" t="s">
        <v>3657</v>
      </c>
      <c r="X27" s="16" t="s">
        <v>3657</v>
      </c>
      <c r="Y27">
        <v>6481150.5170888603</v>
      </c>
      <c r="AA27">
        <f t="shared" si="0"/>
        <v>-100</v>
      </c>
    </row>
    <row r="28" spans="1:27" hidden="1" x14ac:dyDescent="0.25">
      <c r="A28" t="s">
        <v>3851</v>
      </c>
      <c r="B28">
        <v>64896028.322460301</v>
      </c>
      <c r="G28" t="s">
        <v>3567</v>
      </c>
      <c r="H28" s="14">
        <v>49336993.141742803</v>
      </c>
      <c r="K28" s="16" t="s">
        <v>3785</v>
      </c>
      <c r="L28">
        <v>23786243.009776134</v>
      </c>
      <c r="T28" s="16" t="s">
        <v>3785</v>
      </c>
      <c r="X28" s="16" t="s">
        <v>3785</v>
      </c>
      <c r="Y28">
        <v>23786243.009776134</v>
      </c>
      <c r="AA28">
        <f t="shared" si="0"/>
        <v>-100</v>
      </c>
    </row>
    <row r="29" spans="1:27" hidden="1" x14ac:dyDescent="0.25">
      <c r="A29" t="s">
        <v>3725</v>
      </c>
      <c r="B29">
        <v>64708868.493319698</v>
      </c>
      <c r="G29" t="s">
        <v>3567</v>
      </c>
      <c r="H29" s="14">
        <v>28910868.510570999</v>
      </c>
      <c r="K29" s="16" t="s">
        <v>3686</v>
      </c>
      <c r="L29">
        <v>34314.022750130498</v>
      </c>
      <c r="T29" s="16" t="s">
        <v>3686</v>
      </c>
      <c r="X29" s="16" t="s">
        <v>3686</v>
      </c>
      <c r="Y29">
        <v>34314.022750130498</v>
      </c>
      <c r="AA29">
        <f t="shared" si="0"/>
        <v>-100</v>
      </c>
    </row>
    <row r="30" spans="1:27" hidden="1" x14ac:dyDescent="0.25">
      <c r="A30" t="s">
        <v>3580</v>
      </c>
      <c r="B30">
        <v>64588571.583176903</v>
      </c>
      <c r="G30" t="s">
        <v>3567</v>
      </c>
      <c r="H30" s="14">
        <v>108903136.62999301</v>
      </c>
      <c r="K30" s="16" t="s">
        <v>3653</v>
      </c>
      <c r="L30">
        <v>7911738.0194383096</v>
      </c>
      <c r="T30" s="16" t="s">
        <v>3653</v>
      </c>
      <c r="X30" s="16" t="s">
        <v>3653</v>
      </c>
      <c r="Y30">
        <v>7911738.0194383096</v>
      </c>
      <c r="AA30">
        <f t="shared" si="0"/>
        <v>-100</v>
      </c>
    </row>
    <row r="31" spans="1:27" hidden="1" x14ac:dyDescent="0.25">
      <c r="A31" t="s">
        <v>3555</v>
      </c>
      <c r="B31">
        <v>64281544.820395201</v>
      </c>
      <c r="G31" t="s">
        <v>3567</v>
      </c>
      <c r="H31" s="14">
        <v>41946748.904798999</v>
      </c>
      <c r="K31" s="16" t="s">
        <v>3580</v>
      </c>
      <c r="L31">
        <v>18441417.78745503</v>
      </c>
      <c r="T31" s="16" t="s">
        <v>3580</v>
      </c>
      <c r="U31">
        <v>64588571.583176903</v>
      </c>
      <c r="X31" s="16" t="s">
        <v>3580</v>
      </c>
      <c r="Y31">
        <v>18441417.78745503</v>
      </c>
      <c r="Z31">
        <v>64588571.583176903</v>
      </c>
      <c r="AA31">
        <f t="shared" si="0"/>
        <v>0.28552137530563354</v>
      </c>
    </row>
    <row r="32" spans="1:27" x14ac:dyDescent="0.25">
      <c r="A32" t="s">
        <v>3613</v>
      </c>
      <c r="B32">
        <v>62788067</v>
      </c>
      <c r="G32" t="s">
        <v>3567</v>
      </c>
      <c r="H32" s="14">
        <v>9161976.8697183598</v>
      </c>
      <c r="K32" s="16" t="s">
        <v>3825</v>
      </c>
      <c r="L32">
        <v>260852434.2061972</v>
      </c>
      <c r="T32" s="16" t="s">
        <v>3825</v>
      </c>
      <c r="U32">
        <v>216427506.98863101</v>
      </c>
      <c r="X32" s="16" t="s">
        <v>3825</v>
      </c>
      <c r="Y32">
        <v>260852434.2061972</v>
      </c>
      <c r="Z32">
        <v>216427506.98863101</v>
      </c>
      <c r="AA32">
        <f t="shared" si="0"/>
        <v>1.2052646996479048</v>
      </c>
    </row>
    <row r="33" spans="1:27" hidden="1" x14ac:dyDescent="0.25">
      <c r="A33" t="s">
        <v>3735</v>
      </c>
      <c r="B33">
        <v>60623774.789384097</v>
      </c>
      <c r="G33" t="s">
        <v>3567</v>
      </c>
      <c r="H33" s="14">
        <v>10359291.5715841</v>
      </c>
      <c r="K33" s="16" t="s">
        <v>3799</v>
      </c>
      <c r="L33">
        <v>2944289.8026248901</v>
      </c>
      <c r="T33" s="16" t="s">
        <v>3799</v>
      </c>
      <c r="U33">
        <v>7694537</v>
      </c>
      <c r="X33" s="16" t="s">
        <v>3799</v>
      </c>
      <c r="Y33">
        <v>2944289.8026248901</v>
      </c>
      <c r="Z33">
        <v>7694537</v>
      </c>
      <c r="AA33">
        <f t="shared" si="0"/>
        <v>0.38264677947807518</v>
      </c>
    </row>
    <row r="34" spans="1:27" hidden="1" x14ac:dyDescent="0.25">
      <c r="A34" t="s">
        <v>3665</v>
      </c>
      <c r="B34">
        <v>58556063</v>
      </c>
      <c r="G34" t="s">
        <v>3567</v>
      </c>
      <c r="H34" s="14">
        <v>2752420.1343179098</v>
      </c>
      <c r="K34" s="16" t="s">
        <v>3609</v>
      </c>
      <c r="L34">
        <v>46135424.780715801</v>
      </c>
      <c r="T34" s="16" t="s">
        <v>3609</v>
      </c>
      <c r="U34">
        <v>226362739.153855</v>
      </c>
      <c r="X34" s="16" t="s">
        <v>3609</v>
      </c>
      <c r="Y34">
        <v>46135424.780715801</v>
      </c>
      <c r="Z34">
        <v>226362739.153855</v>
      </c>
      <c r="AA34">
        <f t="shared" si="0"/>
        <v>0.20381192131342041</v>
      </c>
    </row>
    <row r="35" spans="1:27" hidden="1" x14ac:dyDescent="0.25">
      <c r="A35" t="s">
        <v>3691</v>
      </c>
      <c r="B35">
        <v>58139251</v>
      </c>
      <c r="G35" t="s">
        <v>3567</v>
      </c>
      <c r="H35" s="14">
        <v>23914009.6762027</v>
      </c>
      <c r="K35" s="16" t="s">
        <v>3613</v>
      </c>
      <c r="L35">
        <v>39844877.732771218</v>
      </c>
      <c r="T35" s="16" t="s">
        <v>3613</v>
      </c>
      <c r="U35">
        <v>62788067</v>
      </c>
      <c r="X35" s="16" t="s">
        <v>3613</v>
      </c>
      <c r="Y35">
        <v>39844877.732771218</v>
      </c>
      <c r="Z35">
        <v>62788067</v>
      </c>
      <c r="AA35">
        <f t="shared" si="0"/>
        <v>0.63459315816763751</v>
      </c>
    </row>
    <row r="36" spans="1:27" hidden="1" x14ac:dyDescent="0.25">
      <c r="A36" t="s">
        <v>3611</v>
      </c>
      <c r="B36">
        <v>57347349</v>
      </c>
      <c r="G36" t="s">
        <v>3715</v>
      </c>
      <c r="H36" s="14">
        <v>13878055.631955599</v>
      </c>
      <c r="K36" s="16" t="s">
        <v>3665</v>
      </c>
      <c r="L36">
        <v>99171380.005853385</v>
      </c>
      <c r="T36" s="16" t="s">
        <v>3665</v>
      </c>
      <c r="U36">
        <v>58556063</v>
      </c>
      <c r="X36" s="16" t="s">
        <v>3665</v>
      </c>
      <c r="Y36">
        <v>99171380.005853385</v>
      </c>
      <c r="Z36">
        <v>58556063</v>
      </c>
      <c r="AA36">
        <f t="shared" si="0"/>
        <v>1.6936142036368358</v>
      </c>
    </row>
    <row r="37" spans="1:27" hidden="1" x14ac:dyDescent="0.25">
      <c r="A37" t="s">
        <v>3763</v>
      </c>
      <c r="B37">
        <v>54827598</v>
      </c>
      <c r="G37" t="s">
        <v>3715</v>
      </c>
      <c r="H37" s="14">
        <v>5105424.8767551202</v>
      </c>
      <c r="K37" s="16" t="s">
        <v>3659</v>
      </c>
      <c r="L37">
        <v>3100812.2387618101</v>
      </c>
      <c r="T37" s="16" t="s">
        <v>3659</v>
      </c>
      <c r="X37" s="16" t="s">
        <v>3659</v>
      </c>
      <c r="Y37">
        <v>3100812.2387618101</v>
      </c>
      <c r="AA37">
        <f t="shared" si="0"/>
        <v>-100</v>
      </c>
    </row>
    <row r="38" spans="1:27" hidden="1" x14ac:dyDescent="0.25">
      <c r="A38" t="s">
        <v>3793</v>
      </c>
      <c r="B38">
        <v>52312477.847168803</v>
      </c>
      <c r="G38" t="s">
        <v>3715</v>
      </c>
      <c r="H38" s="14">
        <v>27007498.197264899</v>
      </c>
      <c r="K38" s="16" t="s">
        <v>3787</v>
      </c>
      <c r="L38">
        <v>11094149.963013422</v>
      </c>
      <c r="T38" s="16" t="s">
        <v>3787</v>
      </c>
      <c r="X38" s="16" t="s">
        <v>3787</v>
      </c>
      <c r="Y38">
        <v>11094149.963013422</v>
      </c>
      <c r="AA38">
        <f t="shared" si="0"/>
        <v>-100</v>
      </c>
    </row>
    <row r="39" spans="1:27" hidden="1" x14ac:dyDescent="0.25">
      <c r="A39" t="s">
        <v>3857</v>
      </c>
      <c r="B39">
        <v>47250249.677707799</v>
      </c>
      <c r="G39" t="s">
        <v>3875</v>
      </c>
      <c r="H39" s="14">
        <v>570088358.90512395</v>
      </c>
      <c r="K39" s="16" t="s">
        <v>3684</v>
      </c>
      <c r="L39">
        <v>20118.5609908896</v>
      </c>
      <c r="T39" s="16" t="s">
        <v>3684</v>
      </c>
      <c r="X39" s="16" t="s">
        <v>3684</v>
      </c>
      <c r="Y39">
        <v>20118.5609908896</v>
      </c>
      <c r="AA39">
        <f t="shared" si="0"/>
        <v>-100</v>
      </c>
    </row>
    <row r="40" spans="1:27" hidden="1" x14ac:dyDescent="0.25">
      <c r="A40" t="s">
        <v>3755</v>
      </c>
      <c r="B40">
        <v>45341678.094902501</v>
      </c>
      <c r="G40" t="s">
        <v>3875</v>
      </c>
      <c r="H40" s="14">
        <v>4902394.3858100399</v>
      </c>
      <c r="K40" s="16" t="s">
        <v>3655</v>
      </c>
      <c r="L40">
        <v>4002616.22594235</v>
      </c>
      <c r="T40" s="16" t="s">
        <v>3655</v>
      </c>
      <c r="X40" s="16" t="s">
        <v>3655</v>
      </c>
      <c r="Y40">
        <v>4002616.22594235</v>
      </c>
      <c r="AA40">
        <f t="shared" si="0"/>
        <v>-100</v>
      </c>
    </row>
    <row r="41" spans="1:27" hidden="1" x14ac:dyDescent="0.25">
      <c r="A41" t="s">
        <v>3921</v>
      </c>
      <c r="B41">
        <v>36710419.671129502</v>
      </c>
      <c r="G41" t="s">
        <v>3586</v>
      </c>
      <c r="H41" s="14">
        <v>5874048.7413301496</v>
      </c>
      <c r="K41" s="16" t="s">
        <v>3577</v>
      </c>
      <c r="L41">
        <v>9652730.2946902681</v>
      </c>
      <c r="T41" s="16" t="s">
        <v>3577</v>
      </c>
      <c r="X41" s="16" t="s">
        <v>3577</v>
      </c>
      <c r="Y41">
        <v>9652730.2946902681</v>
      </c>
      <c r="AA41">
        <f t="shared" si="0"/>
        <v>-100</v>
      </c>
    </row>
    <row r="42" spans="1:27" hidden="1" x14ac:dyDescent="0.25">
      <c r="A42" t="s">
        <v>3753</v>
      </c>
      <c r="B42">
        <v>34689719.407495901</v>
      </c>
      <c r="G42" t="s">
        <v>3586</v>
      </c>
      <c r="H42" s="14">
        <v>3796746.3677745298</v>
      </c>
      <c r="K42" s="16" t="s">
        <v>3827</v>
      </c>
      <c r="L42">
        <v>123873237.21280655</v>
      </c>
      <c r="T42" s="16" t="s">
        <v>3827</v>
      </c>
      <c r="U42">
        <v>113740207.835118</v>
      </c>
      <c r="X42" s="16" t="s">
        <v>3827</v>
      </c>
      <c r="Y42">
        <v>123873237.21280655</v>
      </c>
      <c r="Z42">
        <v>113740207.835118</v>
      </c>
      <c r="AA42">
        <f t="shared" si="0"/>
        <v>1.0890892461914417</v>
      </c>
    </row>
    <row r="43" spans="1:27" hidden="1" x14ac:dyDescent="0.25">
      <c r="A43" t="s">
        <v>3791</v>
      </c>
      <c r="B43">
        <v>34209685.532672003</v>
      </c>
      <c r="G43" t="s">
        <v>3586</v>
      </c>
      <c r="H43" s="14">
        <v>10256221.589242499</v>
      </c>
      <c r="K43" s="16" t="s">
        <v>3797</v>
      </c>
      <c r="L43">
        <v>1433921.2385251301</v>
      </c>
      <c r="T43" s="16" t="s">
        <v>3797</v>
      </c>
      <c r="X43" s="16" t="s">
        <v>3797</v>
      </c>
      <c r="Y43">
        <v>1433921.2385251301</v>
      </c>
      <c r="AA43">
        <f t="shared" si="0"/>
        <v>-100</v>
      </c>
    </row>
    <row r="44" spans="1:27" hidden="1" x14ac:dyDescent="0.25">
      <c r="A44" t="s">
        <v>4017</v>
      </c>
      <c r="B44">
        <v>33790154</v>
      </c>
      <c r="G44" t="s">
        <v>3586</v>
      </c>
      <c r="H44" s="14">
        <v>6548401.22089577</v>
      </c>
      <c r="K44" s="16" t="s">
        <v>3607</v>
      </c>
      <c r="L44">
        <v>22476221.11047757</v>
      </c>
      <c r="T44" s="16" t="s">
        <v>3607</v>
      </c>
      <c r="U44">
        <v>31687500.377034899</v>
      </c>
      <c r="X44" s="16" t="s">
        <v>3607</v>
      </c>
      <c r="Y44">
        <v>22476221.11047757</v>
      </c>
      <c r="Z44">
        <v>31687500.377034899</v>
      </c>
      <c r="AA44">
        <f t="shared" si="0"/>
        <v>0.70930874455363846</v>
      </c>
    </row>
    <row r="45" spans="1:27" hidden="1" x14ac:dyDescent="0.25">
      <c r="A45" t="s">
        <v>3721</v>
      </c>
      <c r="B45">
        <v>33182937.106100801</v>
      </c>
      <c r="G45" t="s">
        <v>3586</v>
      </c>
      <c r="H45" s="14">
        <v>346164680.54764599</v>
      </c>
      <c r="K45" s="16" t="s">
        <v>3611</v>
      </c>
      <c r="L45">
        <v>23072195.158541523</v>
      </c>
      <c r="T45" s="16" t="s">
        <v>3611</v>
      </c>
      <c r="U45">
        <v>57347349</v>
      </c>
      <c r="X45" s="16" t="s">
        <v>3611</v>
      </c>
      <c r="Y45">
        <v>23072195.158541523</v>
      </c>
      <c r="Z45">
        <v>57347349</v>
      </c>
      <c r="AA45">
        <f t="shared" si="0"/>
        <v>0.40232365681875759</v>
      </c>
    </row>
    <row r="46" spans="1:27" hidden="1" x14ac:dyDescent="0.25">
      <c r="A46" t="s">
        <v>3623</v>
      </c>
      <c r="B46">
        <v>32364410.210595801</v>
      </c>
      <c r="G46" t="s">
        <v>3855</v>
      </c>
      <c r="H46" s="14">
        <v>7109225.66846353</v>
      </c>
      <c r="K46" s="16" t="s">
        <v>4017</v>
      </c>
      <c r="L46">
        <v>14377742.977562912</v>
      </c>
      <c r="T46" s="16" t="s">
        <v>4017</v>
      </c>
      <c r="U46">
        <v>33790154</v>
      </c>
      <c r="X46" s="16" t="s">
        <v>4017</v>
      </c>
      <c r="Y46">
        <v>14377742.977562912</v>
      </c>
      <c r="Z46">
        <v>33790154</v>
      </c>
      <c r="AA46">
        <f t="shared" si="0"/>
        <v>0.42550096035557911</v>
      </c>
    </row>
    <row r="47" spans="1:27" hidden="1" x14ac:dyDescent="0.25">
      <c r="A47" t="s">
        <v>3561</v>
      </c>
      <c r="B47">
        <v>31841190.142281301</v>
      </c>
      <c r="G47" t="s">
        <v>3625</v>
      </c>
      <c r="H47" s="14">
        <v>14460682.920194499</v>
      </c>
      <c r="K47" s="16" t="s">
        <v>3987</v>
      </c>
      <c r="L47">
        <v>6807271.7991533699</v>
      </c>
      <c r="T47" s="16" t="s">
        <v>3987</v>
      </c>
      <c r="X47" s="16" t="s">
        <v>3987</v>
      </c>
      <c r="Y47">
        <v>6807271.7991533699</v>
      </c>
      <c r="AA47">
        <f t="shared" si="0"/>
        <v>-100</v>
      </c>
    </row>
    <row r="48" spans="1:27" hidden="1" x14ac:dyDescent="0.25">
      <c r="A48" t="s">
        <v>3607</v>
      </c>
      <c r="B48">
        <v>31687500.377034899</v>
      </c>
      <c r="G48" t="s">
        <v>3625</v>
      </c>
      <c r="H48" s="14">
        <v>29483656.421490099</v>
      </c>
      <c r="K48" s="16" t="s">
        <v>3707</v>
      </c>
      <c r="L48">
        <v>1566157.7181140501</v>
      </c>
      <c r="T48" s="16" t="s">
        <v>3707</v>
      </c>
      <c r="X48" s="16" t="s">
        <v>3707</v>
      </c>
      <c r="Y48">
        <v>1566157.7181140501</v>
      </c>
      <c r="AA48">
        <f t="shared" si="0"/>
        <v>-100</v>
      </c>
    </row>
    <row r="49" spans="1:27" hidden="1" x14ac:dyDescent="0.25">
      <c r="A49" t="s">
        <v>3629</v>
      </c>
      <c r="B49">
        <v>30735684</v>
      </c>
      <c r="G49" t="s">
        <v>3625</v>
      </c>
      <c r="H49" s="14">
        <v>26911154.300235</v>
      </c>
      <c r="K49" s="16" t="s">
        <v>3713</v>
      </c>
      <c r="L49">
        <v>95664461.136561632</v>
      </c>
      <c r="T49" s="16" t="s">
        <v>3713</v>
      </c>
      <c r="X49" s="16" t="s">
        <v>3713</v>
      </c>
      <c r="Y49">
        <v>95664461.136561632</v>
      </c>
      <c r="AA49">
        <f t="shared" si="0"/>
        <v>-100</v>
      </c>
    </row>
    <row r="50" spans="1:27" hidden="1" x14ac:dyDescent="0.25">
      <c r="A50" t="s">
        <v>3651</v>
      </c>
      <c r="B50">
        <v>30384272.929985002</v>
      </c>
      <c r="G50" t="s">
        <v>3625</v>
      </c>
      <c r="H50" s="14">
        <v>12399211.010450101</v>
      </c>
      <c r="K50" s="16" t="s">
        <v>4087</v>
      </c>
      <c r="L50">
        <v>1641692.0635546099</v>
      </c>
      <c r="T50" s="16" t="s">
        <v>4087</v>
      </c>
      <c r="U50">
        <v>115647428.787459</v>
      </c>
      <c r="X50" s="16" t="s">
        <v>4087</v>
      </c>
      <c r="Y50">
        <v>1641692.0635546099</v>
      </c>
      <c r="Z50">
        <v>115647428.787459</v>
      </c>
      <c r="AA50">
        <f t="shared" si="0"/>
        <v>1.4195664190440157E-2</v>
      </c>
    </row>
    <row r="51" spans="1:27" hidden="1" x14ac:dyDescent="0.25">
      <c r="A51" t="s">
        <v>3575</v>
      </c>
      <c r="B51">
        <v>29559262.1129364</v>
      </c>
      <c r="G51" t="s">
        <v>3625</v>
      </c>
      <c r="H51" s="14">
        <v>11496992.094299</v>
      </c>
      <c r="K51" s="16" t="s">
        <v>3705</v>
      </c>
      <c r="L51">
        <v>29756996.644166999</v>
      </c>
      <c r="T51" s="16" t="s">
        <v>3705</v>
      </c>
      <c r="U51">
        <v>13333977.5808906</v>
      </c>
      <c r="X51" s="16" t="s">
        <v>3705</v>
      </c>
      <c r="Y51">
        <v>29756996.644166999</v>
      </c>
      <c r="Z51">
        <v>13333977.5808906</v>
      </c>
      <c r="AA51">
        <f t="shared" si="0"/>
        <v>2.2316669173655139</v>
      </c>
    </row>
    <row r="52" spans="1:27" hidden="1" x14ac:dyDescent="0.25">
      <c r="A52" t="s">
        <v>4089</v>
      </c>
      <c r="B52">
        <v>27850960.171438001</v>
      </c>
      <c r="G52" t="s">
        <v>3625</v>
      </c>
      <c r="H52" s="14">
        <v>3131392.6719350801</v>
      </c>
      <c r="K52" s="16" t="s">
        <v>4027</v>
      </c>
      <c r="L52">
        <v>3561507.7754041301</v>
      </c>
      <c r="T52" s="16" t="s">
        <v>4027</v>
      </c>
      <c r="U52">
        <v>24567373.8937205</v>
      </c>
      <c r="X52" s="16" t="s">
        <v>4027</v>
      </c>
      <c r="Y52">
        <v>3561507.7754041301</v>
      </c>
      <c r="Z52">
        <v>24567373.8937205</v>
      </c>
      <c r="AA52">
        <f t="shared" si="0"/>
        <v>0.14496900608145435</v>
      </c>
    </row>
    <row r="53" spans="1:27" x14ac:dyDescent="0.25">
      <c r="A53" t="s">
        <v>4027</v>
      </c>
      <c r="B53">
        <v>24567373.8937205</v>
      </c>
      <c r="G53" t="s">
        <v>3625</v>
      </c>
      <c r="H53" s="14">
        <v>25272876.579309601</v>
      </c>
      <c r="K53" s="16" t="s">
        <v>3715</v>
      </c>
      <c r="L53">
        <v>45990978.705975622</v>
      </c>
      <c r="T53" s="16" t="s">
        <v>3715</v>
      </c>
      <c r="U53">
        <v>153196999.43472299</v>
      </c>
      <c r="X53" s="16" t="s">
        <v>3715</v>
      </c>
      <c r="Y53">
        <v>45990978.705975622</v>
      </c>
      <c r="Z53">
        <v>153196999.43472299</v>
      </c>
      <c r="AA53">
        <f t="shared" si="0"/>
        <v>0.30020809073073462</v>
      </c>
    </row>
    <row r="54" spans="1:27" hidden="1" x14ac:dyDescent="0.25">
      <c r="A54" t="s">
        <v>3699</v>
      </c>
      <c r="B54">
        <v>23906199.692347199</v>
      </c>
      <c r="G54" t="s">
        <v>3625</v>
      </c>
      <c r="H54" s="14">
        <v>9940577.8140233308</v>
      </c>
      <c r="K54" s="16" t="s">
        <v>4043</v>
      </c>
      <c r="L54">
        <v>2441453.82767371</v>
      </c>
      <c r="T54" s="16" t="s">
        <v>4043</v>
      </c>
      <c r="U54">
        <v>4269483</v>
      </c>
      <c r="X54" s="16" t="s">
        <v>4043</v>
      </c>
      <c r="Y54">
        <v>2441453.82767371</v>
      </c>
      <c r="Z54">
        <v>4269483</v>
      </c>
      <c r="AA54">
        <f t="shared" si="0"/>
        <v>0.57183828291943306</v>
      </c>
    </row>
    <row r="55" spans="1:27" hidden="1" x14ac:dyDescent="0.25">
      <c r="A55" t="s">
        <v>4063</v>
      </c>
      <c r="B55">
        <v>20763331.809972499</v>
      </c>
      <c r="G55" t="s">
        <v>3625</v>
      </c>
      <c r="H55" s="14">
        <v>54869825.867312603</v>
      </c>
      <c r="K55" s="16" t="s">
        <v>3723</v>
      </c>
      <c r="L55">
        <v>48543989.885729671</v>
      </c>
      <c r="T55" s="16" t="s">
        <v>3723</v>
      </c>
      <c r="U55">
        <v>159838023.45796299</v>
      </c>
      <c r="X55" s="16" t="s">
        <v>3723</v>
      </c>
      <c r="Y55">
        <v>48543989.885729671</v>
      </c>
      <c r="Z55">
        <v>159838023.45796299</v>
      </c>
      <c r="AA55">
        <f t="shared" si="0"/>
        <v>0.30370739599702706</v>
      </c>
    </row>
    <row r="56" spans="1:27" hidden="1" x14ac:dyDescent="0.25">
      <c r="A56" t="s">
        <v>3673</v>
      </c>
      <c r="B56">
        <v>19444837.902046099</v>
      </c>
      <c r="G56" t="s">
        <v>3625</v>
      </c>
      <c r="H56" s="14">
        <v>7351363.3606120301</v>
      </c>
      <c r="K56" s="16" t="s">
        <v>4019</v>
      </c>
      <c r="L56">
        <v>7175282.4829781801</v>
      </c>
      <c r="T56" s="16" t="s">
        <v>4019</v>
      </c>
      <c r="U56">
        <v>92788280</v>
      </c>
      <c r="X56" s="16" t="s">
        <v>4019</v>
      </c>
      <c r="Y56">
        <v>7175282.4829781801</v>
      </c>
      <c r="Z56">
        <v>92788280</v>
      </c>
      <c r="AA56">
        <f t="shared" si="0"/>
        <v>7.7329620540203786E-2</v>
      </c>
    </row>
    <row r="57" spans="1:27" hidden="1" x14ac:dyDescent="0.25">
      <c r="A57" t="s">
        <v>3693</v>
      </c>
      <c r="B57">
        <v>18893073</v>
      </c>
      <c r="G57" t="s">
        <v>3625</v>
      </c>
      <c r="H57" s="14">
        <v>21240906.490992699</v>
      </c>
      <c r="K57" s="16" t="s">
        <v>3985</v>
      </c>
      <c r="L57">
        <v>3794371.9896145999</v>
      </c>
      <c r="T57" s="16" t="s">
        <v>3985</v>
      </c>
      <c r="X57" s="16" t="s">
        <v>3985</v>
      </c>
      <c r="Y57">
        <v>3794371.9896145999</v>
      </c>
      <c r="AA57">
        <f t="shared" si="0"/>
        <v>-100</v>
      </c>
    </row>
    <row r="58" spans="1:27" hidden="1" x14ac:dyDescent="0.25">
      <c r="A58" t="s">
        <v>3701</v>
      </c>
      <c r="B58">
        <v>18786994.500013798</v>
      </c>
      <c r="G58" t="s">
        <v>3899</v>
      </c>
      <c r="H58" s="14">
        <v>1109319.8200185399</v>
      </c>
      <c r="K58" s="16" t="s">
        <v>3709</v>
      </c>
      <c r="L58">
        <v>671555.35506306903</v>
      </c>
      <c r="T58" s="16" t="s">
        <v>3709</v>
      </c>
      <c r="X58" s="16" t="s">
        <v>3709</v>
      </c>
      <c r="Y58">
        <v>671555.35506306903</v>
      </c>
      <c r="AA58">
        <f t="shared" si="0"/>
        <v>-100</v>
      </c>
    </row>
    <row r="59" spans="1:27" hidden="1" x14ac:dyDescent="0.25">
      <c r="A59" t="s">
        <v>3667</v>
      </c>
      <c r="B59">
        <v>17754596</v>
      </c>
      <c r="G59" t="s">
        <v>3899</v>
      </c>
      <c r="H59" s="14">
        <v>202390385.48415399</v>
      </c>
      <c r="K59" s="16" t="s">
        <v>3719</v>
      </c>
      <c r="L59">
        <v>41978841.248440318</v>
      </c>
      <c r="T59" s="16" t="s">
        <v>3719</v>
      </c>
      <c r="X59" s="16" t="s">
        <v>3719</v>
      </c>
      <c r="Y59">
        <v>41978841.248440318</v>
      </c>
      <c r="AA59">
        <f t="shared" si="0"/>
        <v>-100</v>
      </c>
    </row>
    <row r="60" spans="1:27" hidden="1" x14ac:dyDescent="0.25">
      <c r="A60" t="s">
        <v>3727</v>
      </c>
      <c r="B60">
        <v>16568946.8391925</v>
      </c>
      <c r="G60" t="s">
        <v>3899</v>
      </c>
      <c r="H60" s="14">
        <v>36811150.787015103</v>
      </c>
      <c r="K60" s="16" t="s">
        <v>4089</v>
      </c>
      <c r="L60">
        <v>1048979.3811296499</v>
      </c>
      <c r="T60" s="16" t="s">
        <v>4089</v>
      </c>
      <c r="U60">
        <v>27850960.171438001</v>
      </c>
      <c r="X60" s="16" t="s">
        <v>4089</v>
      </c>
      <c r="Y60">
        <v>1048979.3811296499</v>
      </c>
      <c r="Z60">
        <v>27850960.171438001</v>
      </c>
      <c r="AA60">
        <f t="shared" si="0"/>
        <v>3.7664029343067673E-2</v>
      </c>
    </row>
    <row r="61" spans="1:27" hidden="1" x14ac:dyDescent="0.25">
      <c r="A61" t="s">
        <v>4061</v>
      </c>
      <c r="B61">
        <v>16568141.199934</v>
      </c>
      <c r="G61" t="s">
        <v>4087</v>
      </c>
      <c r="H61" s="14">
        <v>1641692.0635546099</v>
      </c>
      <c r="K61" s="16" t="s">
        <v>3717</v>
      </c>
      <c r="L61">
        <v>12759551.7461983</v>
      </c>
      <c r="T61" s="16" t="s">
        <v>3717</v>
      </c>
      <c r="X61" s="16" t="s">
        <v>3717</v>
      </c>
      <c r="Y61">
        <v>12759551.7461983</v>
      </c>
      <c r="AA61">
        <f t="shared" si="0"/>
        <v>-100</v>
      </c>
    </row>
    <row r="62" spans="1:27" hidden="1" x14ac:dyDescent="0.25">
      <c r="A62" t="s">
        <v>3813</v>
      </c>
      <c r="B62">
        <v>15915016.975939199</v>
      </c>
      <c r="G62" t="s">
        <v>3827</v>
      </c>
      <c r="H62" s="14">
        <v>51386544.631200202</v>
      </c>
      <c r="K62" s="16" t="s">
        <v>4029</v>
      </c>
      <c r="L62">
        <v>1868725.4832027401</v>
      </c>
      <c r="T62" s="16" t="s">
        <v>4029</v>
      </c>
      <c r="X62" s="16" t="s">
        <v>4029</v>
      </c>
      <c r="Y62">
        <v>1868725.4832027401</v>
      </c>
      <c r="AA62">
        <f t="shared" si="0"/>
        <v>-100</v>
      </c>
    </row>
    <row r="63" spans="1:27" hidden="1" x14ac:dyDescent="0.25">
      <c r="A63" t="s">
        <v>3633</v>
      </c>
      <c r="B63">
        <v>15513708.7223578</v>
      </c>
      <c r="G63" t="s">
        <v>3827</v>
      </c>
      <c r="H63" s="14">
        <v>526113.00139283796</v>
      </c>
      <c r="K63" s="16" t="s">
        <v>3711</v>
      </c>
      <c r="L63">
        <v>23146751.116487321</v>
      </c>
      <c r="T63" s="16" t="s">
        <v>3711</v>
      </c>
      <c r="U63">
        <v>107065359.451557</v>
      </c>
      <c r="X63" s="16" t="s">
        <v>3711</v>
      </c>
      <c r="Y63">
        <v>23146751.116487321</v>
      </c>
      <c r="Z63">
        <v>107065359.451557</v>
      </c>
      <c r="AA63">
        <f t="shared" si="0"/>
        <v>0.21619271849510155</v>
      </c>
    </row>
    <row r="64" spans="1:27" hidden="1" x14ac:dyDescent="0.25">
      <c r="A64" t="s">
        <v>3637</v>
      </c>
      <c r="B64">
        <v>15092347.4902493</v>
      </c>
      <c r="G64" t="s">
        <v>3827</v>
      </c>
      <c r="H64" s="14">
        <v>71960579.580213502</v>
      </c>
      <c r="K64" s="16" t="s">
        <v>4045</v>
      </c>
      <c r="L64">
        <v>1235234.95642757</v>
      </c>
      <c r="T64" s="16" t="s">
        <v>4045</v>
      </c>
      <c r="X64" s="16" t="s">
        <v>4045</v>
      </c>
      <c r="Y64">
        <v>1235234.95642757</v>
      </c>
      <c r="AA64">
        <f t="shared" si="0"/>
        <v>-100</v>
      </c>
    </row>
    <row r="65" spans="1:27" hidden="1" x14ac:dyDescent="0.25">
      <c r="A65" t="s">
        <v>3905</v>
      </c>
      <c r="B65">
        <v>14785987.406061901</v>
      </c>
      <c r="G65" t="s">
        <v>3711</v>
      </c>
      <c r="H65" s="14">
        <v>6039490.28610148</v>
      </c>
      <c r="K65" s="16" t="s">
        <v>3721</v>
      </c>
      <c r="L65">
        <v>25469420.472458534</v>
      </c>
      <c r="T65" s="16" t="s">
        <v>3721</v>
      </c>
      <c r="U65">
        <v>33182937.106100801</v>
      </c>
      <c r="X65" s="16" t="s">
        <v>3721</v>
      </c>
      <c r="Y65">
        <v>25469420.472458534</v>
      </c>
      <c r="Z65">
        <v>33182937.106100801</v>
      </c>
      <c r="AA65">
        <f t="shared" si="0"/>
        <v>0.76754569346954793</v>
      </c>
    </row>
    <row r="66" spans="1:27" hidden="1" x14ac:dyDescent="0.25">
      <c r="A66" t="s">
        <v>3705</v>
      </c>
      <c r="B66">
        <v>13333977.5808906</v>
      </c>
      <c r="G66" t="s">
        <v>3711</v>
      </c>
      <c r="H66" s="14">
        <v>2844208.6848446401</v>
      </c>
      <c r="K66" s="16" t="s">
        <v>3629</v>
      </c>
      <c r="L66">
        <v>96143097.5378647</v>
      </c>
      <c r="T66" s="16" t="s">
        <v>3629</v>
      </c>
      <c r="U66">
        <v>30735684</v>
      </c>
      <c r="X66" s="16" t="s">
        <v>3629</v>
      </c>
      <c r="Y66">
        <v>96143097.5378647</v>
      </c>
      <c r="Z66">
        <v>30735684</v>
      </c>
      <c r="AA66">
        <f t="shared" si="0"/>
        <v>3.1280611011573618</v>
      </c>
    </row>
    <row r="67" spans="1:27" hidden="1" x14ac:dyDescent="0.25">
      <c r="A67" t="s">
        <v>3849</v>
      </c>
      <c r="B67">
        <v>12456957.035206599</v>
      </c>
      <c r="G67" t="s">
        <v>3711</v>
      </c>
      <c r="H67" s="14">
        <v>14263052.1455412</v>
      </c>
      <c r="K67" s="16" t="s">
        <v>3759</v>
      </c>
      <c r="L67">
        <v>11676229.855422501</v>
      </c>
      <c r="T67" s="16" t="s">
        <v>3759</v>
      </c>
      <c r="X67" s="16" t="s">
        <v>3759</v>
      </c>
      <c r="Y67">
        <v>11676229.855422501</v>
      </c>
      <c r="AA67">
        <f t="shared" ref="AA67:AA130" si="1">IF(Z67=0,-100,Y67/Z67)</f>
        <v>-100</v>
      </c>
    </row>
    <row r="68" spans="1:27" hidden="1" x14ac:dyDescent="0.25">
      <c r="A68" t="s">
        <v>4075</v>
      </c>
      <c r="B68">
        <v>12406151.757564699</v>
      </c>
      <c r="G68" t="s">
        <v>3649</v>
      </c>
      <c r="H68" s="14">
        <v>1952300.7254200999</v>
      </c>
      <c r="K68" s="16" t="s">
        <v>3783</v>
      </c>
      <c r="L68">
        <v>1358564.1857186216</v>
      </c>
      <c r="T68" s="16" t="s">
        <v>3783</v>
      </c>
      <c r="U68">
        <v>4141555</v>
      </c>
      <c r="X68" s="16" t="s">
        <v>3783</v>
      </c>
      <c r="Y68">
        <v>1358564.1857186216</v>
      </c>
      <c r="Z68">
        <v>4141555</v>
      </c>
      <c r="AA68">
        <f t="shared" si="1"/>
        <v>0.32803239018161573</v>
      </c>
    </row>
    <row r="69" spans="1:27" hidden="1" x14ac:dyDescent="0.25">
      <c r="A69" t="s">
        <v>3569</v>
      </c>
      <c r="B69">
        <v>11003311.2832203</v>
      </c>
      <c r="G69" t="s">
        <v>3649</v>
      </c>
      <c r="H69" s="14">
        <v>2864828.4017872801</v>
      </c>
      <c r="K69" s="16" t="s">
        <v>3571</v>
      </c>
      <c r="L69">
        <v>29123262.494718637</v>
      </c>
      <c r="T69" s="16" t="s">
        <v>3571</v>
      </c>
      <c r="U69">
        <v>97210245.738440499</v>
      </c>
      <c r="X69" s="16" t="s">
        <v>3571</v>
      </c>
      <c r="Y69">
        <v>29123262.494718637</v>
      </c>
      <c r="Z69">
        <v>97210245.738440499</v>
      </c>
      <c r="AA69">
        <f t="shared" si="1"/>
        <v>0.29959046264608125</v>
      </c>
    </row>
    <row r="70" spans="1:27" hidden="1" x14ac:dyDescent="0.25">
      <c r="A70" t="s">
        <v>3557</v>
      </c>
      <c r="B70">
        <v>10137456.259870199</v>
      </c>
      <c r="G70" t="s">
        <v>3649</v>
      </c>
      <c r="H70" s="14">
        <v>12972031.8225538</v>
      </c>
      <c r="K70" s="16" t="s">
        <v>4039</v>
      </c>
      <c r="L70">
        <v>8656136.4880587906</v>
      </c>
      <c r="T70" s="16" t="s">
        <v>4039</v>
      </c>
      <c r="U70">
        <v>3695910.0956614702</v>
      </c>
      <c r="X70" s="16" t="s">
        <v>4039</v>
      </c>
      <c r="Y70">
        <v>8656136.4880587906</v>
      </c>
      <c r="Z70">
        <v>3695910.0956614702</v>
      </c>
      <c r="AA70">
        <f t="shared" si="1"/>
        <v>2.3420852412562732</v>
      </c>
    </row>
    <row r="71" spans="1:27" hidden="1" x14ac:dyDescent="0.25">
      <c r="A71" t="s">
        <v>3799</v>
      </c>
      <c r="B71">
        <v>7694537</v>
      </c>
      <c r="G71" t="s">
        <v>3649</v>
      </c>
      <c r="H71" s="14">
        <v>3608442.8009768301</v>
      </c>
      <c r="K71" s="16" t="s">
        <v>3813</v>
      </c>
      <c r="L71">
        <v>500325.96892074298</v>
      </c>
      <c r="T71" s="16" t="s">
        <v>3813</v>
      </c>
      <c r="U71">
        <v>15915016.975939199</v>
      </c>
      <c r="X71" s="16" t="s">
        <v>3813</v>
      </c>
      <c r="Y71">
        <v>500325.96892074298</v>
      </c>
      <c r="Z71">
        <v>15915016.975939199</v>
      </c>
      <c r="AA71">
        <f t="shared" si="1"/>
        <v>3.1437350627847319E-2</v>
      </c>
    </row>
    <row r="72" spans="1:27" hidden="1" x14ac:dyDescent="0.25">
      <c r="A72" t="s">
        <v>4073</v>
      </c>
      <c r="B72">
        <v>7422370.3444844</v>
      </c>
      <c r="G72" t="s">
        <v>3649</v>
      </c>
      <c r="H72" s="14">
        <v>1840438.6069328701</v>
      </c>
      <c r="K72" s="16" t="s">
        <v>3701</v>
      </c>
      <c r="L72">
        <v>8317626.3763686046</v>
      </c>
      <c r="T72" s="16" t="s">
        <v>3701</v>
      </c>
      <c r="U72">
        <v>18786994.500013798</v>
      </c>
      <c r="X72" s="16" t="s">
        <v>3701</v>
      </c>
      <c r="Y72">
        <v>8317626.3763686046</v>
      </c>
      <c r="Z72">
        <v>18786994.500013798</v>
      </c>
      <c r="AA72">
        <f t="shared" si="1"/>
        <v>0.44273320974052</v>
      </c>
    </row>
    <row r="73" spans="1:27" x14ac:dyDescent="0.25">
      <c r="A73" t="s">
        <v>3997</v>
      </c>
      <c r="B73">
        <v>6846762</v>
      </c>
      <c r="G73" t="s">
        <v>3649</v>
      </c>
      <c r="H73" s="14">
        <v>3299282.7517715502</v>
      </c>
      <c r="K73" s="16" t="s">
        <v>3567</v>
      </c>
      <c r="L73">
        <v>275285445.43892884</v>
      </c>
      <c r="T73" s="16" t="s">
        <v>3567</v>
      </c>
      <c r="U73">
        <v>159646223.74818599</v>
      </c>
      <c r="X73" s="16" t="s">
        <v>3567</v>
      </c>
      <c r="Y73">
        <v>275285445.43892884</v>
      </c>
      <c r="Z73">
        <v>159646223.74818599</v>
      </c>
      <c r="AA73">
        <f t="shared" si="1"/>
        <v>1.7243467397834822</v>
      </c>
    </row>
    <row r="74" spans="1:27" hidden="1" x14ac:dyDescent="0.25">
      <c r="A74" t="s">
        <v>3737</v>
      </c>
      <c r="B74">
        <v>6581475.8352901097</v>
      </c>
      <c r="G74" t="s">
        <v>3649</v>
      </c>
      <c r="H74" s="14">
        <v>18423194.185780801</v>
      </c>
      <c r="K74" s="16" t="s">
        <v>3997</v>
      </c>
      <c r="L74">
        <v>9656606.6979026496</v>
      </c>
      <c r="T74" s="16" t="s">
        <v>3997</v>
      </c>
      <c r="U74">
        <v>6846762</v>
      </c>
      <c r="X74" s="16" t="s">
        <v>3997</v>
      </c>
      <c r="Y74">
        <v>9656606.6979026496</v>
      </c>
      <c r="Z74">
        <v>6846762</v>
      </c>
      <c r="AA74">
        <f t="shared" si="1"/>
        <v>1.4103902980566068</v>
      </c>
    </row>
    <row r="75" spans="1:27" hidden="1" x14ac:dyDescent="0.25">
      <c r="A75" t="s">
        <v>3853</v>
      </c>
      <c r="B75">
        <v>5833748.4567493601</v>
      </c>
      <c r="G75" t="s">
        <v>3649</v>
      </c>
      <c r="H75" s="14">
        <v>4698249.4140799996</v>
      </c>
      <c r="K75" s="16" t="s">
        <v>3625</v>
      </c>
      <c r="L75">
        <v>216558639.53085405</v>
      </c>
      <c r="T75" s="16" t="s">
        <v>3625</v>
      </c>
      <c r="U75">
        <v>139672661.35235801</v>
      </c>
      <c r="X75" s="16" t="s">
        <v>3625</v>
      </c>
      <c r="Y75">
        <v>216558639.53085405</v>
      </c>
      <c r="Z75">
        <v>139672661.35235801</v>
      </c>
      <c r="AA75">
        <f t="shared" si="1"/>
        <v>1.5504726367641308</v>
      </c>
    </row>
    <row r="76" spans="1:27" hidden="1" x14ac:dyDescent="0.25">
      <c r="A76" t="s">
        <v>3917</v>
      </c>
      <c r="B76">
        <v>4645070.3915823</v>
      </c>
      <c r="G76" t="s">
        <v>3649</v>
      </c>
      <c r="H76" s="14">
        <v>13582400.5902042</v>
      </c>
      <c r="K76" s="16" t="s">
        <v>3627</v>
      </c>
      <c r="L76">
        <v>43683068.9581673</v>
      </c>
      <c r="T76" s="16" t="s">
        <v>3627</v>
      </c>
      <c r="U76">
        <v>97827721</v>
      </c>
      <c r="X76" s="16" t="s">
        <v>3627</v>
      </c>
      <c r="Y76">
        <v>43683068.9581673</v>
      </c>
      <c r="Z76">
        <v>97827721</v>
      </c>
      <c r="AA76">
        <f t="shared" si="1"/>
        <v>0.44653057959070008</v>
      </c>
    </row>
    <row r="77" spans="1:27" hidden="1" x14ac:dyDescent="0.25">
      <c r="A77" t="s">
        <v>4043</v>
      </c>
      <c r="B77">
        <v>4269483</v>
      </c>
      <c r="G77" t="s">
        <v>3649</v>
      </c>
      <c r="H77" s="14">
        <v>16393973.3074689</v>
      </c>
      <c r="K77" s="16" t="s">
        <v>3757</v>
      </c>
      <c r="L77">
        <v>4827736.1589992596</v>
      </c>
      <c r="T77" s="16" t="s">
        <v>3757</v>
      </c>
      <c r="X77" s="16" t="s">
        <v>3757</v>
      </c>
      <c r="Y77">
        <v>4827736.1589992596</v>
      </c>
      <c r="AA77">
        <f t="shared" si="1"/>
        <v>-100</v>
      </c>
    </row>
    <row r="78" spans="1:27" hidden="1" x14ac:dyDescent="0.25">
      <c r="A78" t="s">
        <v>3783</v>
      </c>
      <c r="B78">
        <v>4141555</v>
      </c>
      <c r="G78" t="s">
        <v>3649</v>
      </c>
      <c r="H78" s="14">
        <v>6257404.8578576101</v>
      </c>
      <c r="K78" s="16" t="s">
        <v>3781</v>
      </c>
      <c r="L78">
        <v>577860.20733387338</v>
      </c>
      <c r="T78" s="16" t="s">
        <v>3781</v>
      </c>
      <c r="X78" s="16" t="s">
        <v>3781</v>
      </c>
      <c r="Y78">
        <v>577860.20733387338</v>
      </c>
      <c r="AA78">
        <f t="shared" si="1"/>
        <v>-100</v>
      </c>
    </row>
    <row r="79" spans="1:27" hidden="1" x14ac:dyDescent="0.25">
      <c r="A79" t="s">
        <v>4039</v>
      </c>
      <c r="B79">
        <v>3695910.0956614702</v>
      </c>
      <c r="G79" t="s">
        <v>3649</v>
      </c>
      <c r="H79" s="14">
        <v>6452643.7912111497</v>
      </c>
      <c r="K79" s="16" t="s">
        <v>3569</v>
      </c>
      <c r="L79">
        <v>14603489.056469377</v>
      </c>
      <c r="T79" s="16" t="s">
        <v>3569</v>
      </c>
      <c r="U79">
        <v>11003311.2832203</v>
      </c>
      <c r="X79" s="16" t="s">
        <v>3569</v>
      </c>
      <c r="Y79">
        <v>14603489.056469377</v>
      </c>
      <c r="Z79">
        <v>11003311.2832203</v>
      </c>
      <c r="AA79">
        <f t="shared" si="1"/>
        <v>1.3271903957438007</v>
      </c>
    </row>
    <row r="80" spans="1:27" hidden="1" x14ac:dyDescent="0.25">
      <c r="A80" t="s">
        <v>4001</v>
      </c>
      <c r="B80">
        <v>3546557.0309524601</v>
      </c>
      <c r="G80" t="s">
        <v>3649</v>
      </c>
      <c r="H80" s="14">
        <v>4146055.1510071899</v>
      </c>
      <c r="K80" s="16" t="s">
        <v>4041</v>
      </c>
      <c r="L80">
        <v>3605409.4501081631</v>
      </c>
      <c r="T80" s="16" t="s">
        <v>4041</v>
      </c>
      <c r="X80" s="16" t="s">
        <v>4041</v>
      </c>
      <c r="Y80">
        <v>3605409.4501081631</v>
      </c>
      <c r="AA80">
        <f t="shared" si="1"/>
        <v>-100</v>
      </c>
    </row>
    <row r="81" spans="1:27" hidden="1" x14ac:dyDescent="0.25">
      <c r="A81" t="s">
        <v>3973</v>
      </c>
      <c r="B81">
        <v>3075552.35258517</v>
      </c>
      <c r="G81" t="s">
        <v>3559</v>
      </c>
      <c r="H81" s="14">
        <v>40626638.1981363</v>
      </c>
      <c r="K81" s="16" t="s">
        <v>3817</v>
      </c>
      <c r="L81">
        <v>258764.99275300399</v>
      </c>
      <c r="T81" s="16" t="s">
        <v>3817</v>
      </c>
      <c r="X81" s="16" t="s">
        <v>3817</v>
      </c>
      <c r="Y81">
        <v>258764.99275300399</v>
      </c>
      <c r="AA81">
        <f t="shared" si="1"/>
        <v>-100</v>
      </c>
    </row>
    <row r="82" spans="1:27" hidden="1" x14ac:dyDescent="0.25">
      <c r="A82" t="s">
        <v>3641</v>
      </c>
      <c r="B82">
        <v>2197950.65942187</v>
      </c>
      <c r="G82" t="s">
        <v>3559</v>
      </c>
      <c r="H82" s="14">
        <v>27260560.535088301</v>
      </c>
      <c r="K82" s="16" t="s">
        <v>3703</v>
      </c>
      <c r="L82">
        <v>4772663.6114823306</v>
      </c>
      <c r="T82" s="16" t="s">
        <v>3703</v>
      </c>
      <c r="X82" s="16" t="s">
        <v>3703</v>
      </c>
      <c r="Y82">
        <v>4772663.6114823306</v>
      </c>
      <c r="AA82">
        <f t="shared" si="1"/>
        <v>-100</v>
      </c>
    </row>
    <row r="83" spans="1:27" hidden="1" x14ac:dyDescent="0.25">
      <c r="A83" t="s">
        <v>3679</v>
      </c>
      <c r="B83">
        <v>1762851.7809428801</v>
      </c>
      <c r="G83" t="s">
        <v>3559</v>
      </c>
      <c r="H83" s="14">
        <v>991294.17627840699</v>
      </c>
      <c r="K83" s="16" t="s">
        <v>3565</v>
      </c>
      <c r="L83">
        <v>139361219.30819169</v>
      </c>
      <c r="T83" s="16" t="s">
        <v>3565</v>
      </c>
      <c r="U83">
        <v>74613458.544619307</v>
      </c>
      <c r="X83" s="16" t="s">
        <v>3565</v>
      </c>
      <c r="Y83">
        <v>139361219.30819169</v>
      </c>
      <c r="Z83">
        <v>74613458.544619307</v>
      </c>
      <c r="AA83">
        <f t="shared" si="1"/>
        <v>1.8677758949459877</v>
      </c>
    </row>
    <row r="84" spans="1:27" hidden="1" x14ac:dyDescent="0.25">
      <c r="A84" t="s">
        <v>3919</v>
      </c>
      <c r="B84">
        <v>632314.43294209999</v>
      </c>
      <c r="G84" t="s">
        <v>3559</v>
      </c>
      <c r="H84" s="14">
        <v>10353491.6636067</v>
      </c>
      <c r="K84" s="16" t="s">
        <v>3995</v>
      </c>
      <c r="L84">
        <v>5550587.4959353702</v>
      </c>
      <c r="T84" s="16" t="s">
        <v>3995</v>
      </c>
      <c r="X84" s="16" t="s">
        <v>3995</v>
      </c>
      <c r="Y84">
        <v>5550587.4959353702</v>
      </c>
      <c r="AA84">
        <f t="shared" si="1"/>
        <v>-100</v>
      </c>
    </row>
    <row r="85" spans="1:27" hidden="1" x14ac:dyDescent="0.25">
      <c r="A85" t="s">
        <v>3909</v>
      </c>
      <c r="B85">
        <v>567800.265018331</v>
      </c>
      <c r="G85" t="s">
        <v>3559</v>
      </c>
      <c r="H85" s="14">
        <v>7192709.5178888598</v>
      </c>
      <c r="K85" s="16" t="s">
        <v>3623</v>
      </c>
      <c r="L85">
        <v>107535298.43070173</v>
      </c>
      <c r="T85" s="16" t="s">
        <v>3623</v>
      </c>
      <c r="U85">
        <v>32364410.210595801</v>
      </c>
      <c r="X85" s="16" t="s">
        <v>3623</v>
      </c>
      <c r="Y85">
        <v>107535298.43070173</v>
      </c>
      <c r="Z85">
        <v>32364410.210595801</v>
      </c>
      <c r="AA85">
        <f t="shared" si="1"/>
        <v>3.3226404476697584</v>
      </c>
    </row>
    <row r="86" spans="1:27" hidden="1" x14ac:dyDescent="0.25">
      <c r="A86" t="s">
        <v>3779</v>
      </c>
      <c r="B86">
        <v>538858.88680928096</v>
      </c>
      <c r="G86" t="s">
        <v>3559</v>
      </c>
      <c r="H86" s="14">
        <v>11075997.344214801</v>
      </c>
      <c r="K86" s="16" t="s">
        <v>3741</v>
      </c>
      <c r="L86">
        <v>666915.59280749096</v>
      </c>
      <c r="T86" s="16" t="s">
        <v>3741</v>
      </c>
      <c r="X86" s="16" t="s">
        <v>3741</v>
      </c>
      <c r="Y86">
        <v>666915.59280749096</v>
      </c>
      <c r="AA86">
        <f t="shared" si="1"/>
        <v>-100</v>
      </c>
    </row>
    <row r="87" spans="1:27" hidden="1" x14ac:dyDescent="0.25">
      <c r="A87" t="s">
        <v>3915</v>
      </c>
      <c r="B87">
        <v>493722.56857171102</v>
      </c>
      <c r="G87" t="s">
        <v>3559</v>
      </c>
      <c r="H87" s="14">
        <v>3215040.0802449002</v>
      </c>
      <c r="K87" s="16" t="s">
        <v>3671</v>
      </c>
      <c r="L87">
        <v>5535011.6174515802</v>
      </c>
      <c r="T87" s="16" t="s">
        <v>3671</v>
      </c>
      <c r="X87" s="16" t="s">
        <v>3671</v>
      </c>
      <c r="Y87">
        <v>5535011.6174515802</v>
      </c>
      <c r="AA87">
        <f t="shared" si="1"/>
        <v>-100</v>
      </c>
    </row>
    <row r="88" spans="1:27" hidden="1" x14ac:dyDescent="0.25">
      <c r="A88" t="s">
        <v>3675</v>
      </c>
      <c r="B88">
        <v>419899.32577821502</v>
      </c>
      <c r="G88" t="s">
        <v>3559</v>
      </c>
      <c r="H88" s="14">
        <v>2929370.1075642598</v>
      </c>
      <c r="K88" s="16" t="s">
        <v>3727</v>
      </c>
      <c r="L88">
        <v>35141756.21711465</v>
      </c>
      <c r="T88" s="16" t="s">
        <v>3727</v>
      </c>
      <c r="U88">
        <v>16568946.8391925</v>
      </c>
      <c r="X88" s="16" t="s">
        <v>3727</v>
      </c>
      <c r="Y88">
        <v>35141756.21711465</v>
      </c>
      <c r="Z88">
        <v>16568946.8391925</v>
      </c>
      <c r="AA88">
        <f t="shared" si="1"/>
        <v>2.1209408514722057</v>
      </c>
    </row>
    <row r="89" spans="1:27" hidden="1" x14ac:dyDescent="0.25">
      <c r="A89" t="s">
        <v>3631</v>
      </c>
      <c r="B89">
        <v>33164.620111180302</v>
      </c>
      <c r="G89" t="s">
        <v>3559</v>
      </c>
      <c r="H89" s="14">
        <v>1479564.03602752</v>
      </c>
      <c r="K89" s="16" t="s">
        <v>4083</v>
      </c>
      <c r="L89">
        <v>14635960.239124799</v>
      </c>
      <c r="T89" s="16" t="s">
        <v>4083</v>
      </c>
      <c r="X89" s="16" t="s">
        <v>4083</v>
      </c>
      <c r="Y89">
        <v>14635960.239124799</v>
      </c>
      <c r="AA89">
        <f t="shared" si="1"/>
        <v>-100</v>
      </c>
    </row>
    <row r="90" spans="1:27" hidden="1" x14ac:dyDescent="0.25">
      <c r="A90" t="s">
        <v>3697</v>
      </c>
      <c r="B90">
        <v>22991.737451667901</v>
      </c>
      <c r="G90" t="s">
        <v>3559</v>
      </c>
      <c r="H90" s="14">
        <v>9169131.1170992292</v>
      </c>
      <c r="K90" s="16" t="s">
        <v>3597</v>
      </c>
      <c r="L90">
        <v>277858382.58361316</v>
      </c>
      <c r="T90" s="16" t="s">
        <v>3597</v>
      </c>
      <c r="X90" s="16" t="s">
        <v>3597</v>
      </c>
      <c r="Y90">
        <v>277858382.58361316</v>
      </c>
      <c r="AA90">
        <f t="shared" si="1"/>
        <v>-100</v>
      </c>
    </row>
    <row r="91" spans="1:27" hidden="1" x14ac:dyDescent="0.25">
      <c r="A91" t="s">
        <v>3781</v>
      </c>
      <c r="G91" t="s">
        <v>3559</v>
      </c>
      <c r="H91" s="14">
        <v>11826399.432913899</v>
      </c>
      <c r="K91" s="16" t="s">
        <v>3555</v>
      </c>
      <c r="L91">
        <v>146236823.42283583</v>
      </c>
      <c r="T91" s="16" t="s">
        <v>3555</v>
      </c>
      <c r="U91">
        <v>64281544.820395201</v>
      </c>
      <c r="X91" s="16" t="s">
        <v>3555</v>
      </c>
      <c r="Y91">
        <v>146236823.42283583</v>
      </c>
      <c r="Z91">
        <v>64281544.820395201</v>
      </c>
      <c r="AA91">
        <f t="shared" si="1"/>
        <v>2.2749425800426302</v>
      </c>
    </row>
    <row r="92" spans="1:27" hidden="1" x14ac:dyDescent="0.25">
      <c r="A92" t="s">
        <v>3717</v>
      </c>
      <c r="G92" t="s">
        <v>3559</v>
      </c>
      <c r="H92" s="14">
        <v>9806205.9980011508</v>
      </c>
      <c r="K92" s="16" t="s">
        <v>3673</v>
      </c>
      <c r="L92">
        <v>299992.27931106463</v>
      </c>
      <c r="T92" s="16" t="s">
        <v>3673</v>
      </c>
      <c r="U92">
        <v>19444837.902046099</v>
      </c>
      <c r="X92" s="16" t="s">
        <v>3673</v>
      </c>
      <c r="Y92">
        <v>299992.27931106463</v>
      </c>
      <c r="Z92">
        <v>19444837.902046099</v>
      </c>
      <c r="AA92">
        <f t="shared" si="1"/>
        <v>1.5427862182358316E-2</v>
      </c>
    </row>
    <row r="93" spans="1:27" x14ac:dyDescent="0.25">
      <c r="A93" t="s">
        <v>3719</v>
      </c>
      <c r="G93" t="s">
        <v>3559</v>
      </c>
      <c r="H93" s="14">
        <v>10642772.4729561</v>
      </c>
      <c r="K93" s="16" t="s">
        <v>3586</v>
      </c>
      <c r="L93">
        <v>372640098.46688896</v>
      </c>
      <c r="T93" s="16" t="s">
        <v>3586</v>
      </c>
      <c r="U93">
        <v>148007171.939549</v>
      </c>
      <c r="X93" s="16" t="s">
        <v>3586</v>
      </c>
      <c r="Y93">
        <v>372640098.46688896</v>
      </c>
      <c r="Z93">
        <v>148007171.939549</v>
      </c>
      <c r="AA93">
        <f t="shared" si="1"/>
        <v>2.5177164970025063</v>
      </c>
    </row>
    <row r="94" spans="1:27" hidden="1" x14ac:dyDescent="0.25">
      <c r="A94" t="s">
        <v>3713</v>
      </c>
      <c r="G94" t="s">
        <v>3559</v>
      </c>
      <c r="H94" s="14">
        <v>14364663.758730801</v>
      </c>
      <c r="K94" s="16" t="s">
        <v>4001</v>
      </c>
      <c r="L94">
        <v>177964.04700399601</v>
      </c>
      <c r="T94" s="16" t="s">
        <v>4001</v>
      </c>
      <c r="U94">
        <v>3546557.0309524601</v>
      </c>
      <c r="X94" s="16" t="s">
        <v>4001</v>
      </c>
      <c r="Y94">
        <v>177964.04700399601</v>
      </c>
      <c r="Z94">
        <v>3546557.0309524601</v>
      </c>
      <c r="AA94">
        <f t="shared" si="1"/>
        <v>5.0179383963325733E-2</v>
      </c>
    </row>
    <row r="95" spans="1:27" hidden="1" x14ac:dyDescent="0.25">
      <c r="A95" t="s">
        <v>3709</v>
      </c>
      <c r="G95" t="s">
        <v>3559</v>
      </c>
      <c r="H95" s="14">
        <v>5446910.8562262198</v>
      </c>
      <c r="K95" s="16" t="s">
        <v>3559</v>
      </c>
      <c r="L95">
        <v>174877678.36058408</v>
      </c>
      <c r="T95" s="16" t="s">
        <v>3559</v>
      </c>
      <c r="U95">
        <v>103984248.64621601</v>
      </c>
      <c r="X95" s="16" t="s">
        <v>3559</v>
      </c>
      <c r="Y95">
        <v>174877678.36058408</v>
      </c>
      <c r="Z95">
        <v>103984248.64621601</v>
      </c>
      <c r="AA95">
        <f t="shared" si="1"/>
        <v>1.6817708512331295</v>
      </c>
    </row>
    <row r="96" spans="1:27" hidden="1" x14ac:dyDescent="0.25">
      <c r="A96" t="s">
        <v>3707</v>
      </c>
      <c r="G96" t="s">
        <v>3559</v>
      </c>
      <c r="H96" s="14">
        <v>8496929.06560665</v>
      </c>
      <c r="K96" s="16" t="s">
        <v>3791</v>
      </c>
      <c r="L96">
        <v>216346176.21380112</v>
      </c>
      <c r="T96" s="16" t="s">
        <v>3791</v>
      </c>
      <c r="U96">
        <v>34209685.532672003</v>
      </c>
      <c r="X96" s="16" t="s">
        <v>3791</v>
      </c>
      <c r="Y96">
        <v>216346176.21380112</v>
      </c>
      <c r="Z96">
        <v>34209685.532672003</v>
      </c>
      <c r="AA96">
        <f t="shared" si="1"/>
        <v>6.3241205771149058</v>
      </c>
    </row>
    <row r="97" spans="1:27" hidden="1" x14ac:dyDescent="0.25">
      <c r="A97" t="s">
        <v>3619</v>
      </c>
      <c r="G97" t="s">
        <v>3627</v>
      </c>
      <c r="H97" s="14">
        <v>43683068.9581673</v>
      </c>
      <c r="K97" s="16" t="s">
        <v>3739</v>
      </c>
      <c r="L97">
        <v>333805.69541599602</v>
      </c>
      <c r="T97" s="16" t="s">
        <v>3739</v>
      </c>
      <c r="X97" s="16" t="s">
        <v>3739</v>
      </c>
      <c r="Y97">
        <v>333805.69541599602</v>
      </c>
      <c r="AA97">
        <f t="shared" si="1"/>
        <v>-100</v>
      </c>
    </row>
    <row r="98" spans="1:27" hidden="1" x14ac:dyDescent="0.25">
      <c r="A98" t="s">
        <v>3977</v>
      </c>
      <c r="G98" t="s">
        <v>3571</v>
      </c>
      <c r="H98" s="14">
        <v>5481888.1268603103</v>
      </c>
      <c r="K98" s="16" t="s">
        <v>3669</v>
      </c>
      <c r="L98">
        <v>2066934.6111450549</v>
      </c>
      <c r="T98" s="16" t="s">
        <v>3669</v>
      </c>
      <c r="X98" s="16" t="s">
        <v>3669</v>
      </c>
      <c r="Y98">
        <v>2066934.6111450549</v>
      </c>
      <c r="AA98">
        <f t="shared" si="1"/>
        <v>-100</v>
      </c>
    </row>
    <row r="99" spans="1:27" hidden="1" x14ac:dyDescent="0.25">
      <c r="A99" t="s">
        <v>3995</v>
      </c>
      <c r="G99" t="s">
        <v>3571</v>
      </c>
      <c r="H99" s="14">
        <v>1460738.31482622</v>
      </c>
      <c r="K99" s="16" t="s">
        <v>3725</v>
      </c>
      <c r="L99">
        <v>18978716.567877334</v>
      </c>
      <c r="T99" s="16" t="s">
        <v>3725</v>
      </c>
      <c r="U99">
        <v>64708868.493319698</v>
      </c>
      <c r="X99" s="16" t="s">
        <v>3725</v>
      </c>
      <c r="Y99">
        <v>18978716.567877334</v>
      </c>
      <c r="Z99">
        <v>64708868.493319698</v>
      </c>
      <c r="AA99">
        <f t="shared" si="1"/>
        <v>0.29329390251718934</v>
      </c>
    </row>
    <row r="100" spans="1:27" hidden="1" x14ac:dyDescent="0.25">
      <c r="A100" t="s">
        <v>3785</v>
      </c>
      <c r="G100" t="s">
        <v>3571</v>
      </c>
      <c r="H100" s="14">
        <v>18613242.233973399</v>
      </c>
      <c r="K100" s="16" t="s">
        <v>4085</v>
      </c>
      <c r="L100">
        <v>7795273.7674540998</v>
      </c>
      <c r="T100" s="16" t="s">
        <v>4085</v>
      </c>
      <c r="X100" s="16" t="s">
        <v>4085</v>
      </c>
      <c r="Y100">
        <v>7795273.7674540998</v>
      </c>
      <c r="AA100">
        <f t="shared" si="1"/>
        <v>-100</v>
      </c>
    </row>
    <row r="101" spans="1:27" hidden="1" x14ac:dyDescent="0.25">
      <c r="A101" t="s">
        <v>3787</v>
      </c>
      <c r="G101" t="s">
        <v>3571</v>
      </c>
      <c r="H101" s="14">
        <v>186979.11979016999</v>
      </c>
      <c r="K101" s="16" t="s">
        <v>3599</v>
      </c>
      <c r="L101">
        <v>140423735.03291729</v>
      </c>
      <c r="T101" s="16" t="s">
        <v>3599</v>
      </c>
      <c r="X101" s="16" t="s">
        <v>3599</v>
      </c>
      <c r="Y101">
        <v>140423735.03291729</v>
      </c>
      <c r="AA101">
        <f t="shared" si="1"/>
        <v>-100</v>
      </c>
    </row>
    <row r="102" spans="1:27" hidden="1" x14ac:dyDescent="0.25">
      <c r="A102" t="s">
        <v>3739</v>
      </c>
      <c r="G102" t="s">
        <v>3571</v>
      </c>
      <c r="H102" s="14">
        <v>2121782.6110473499</v>
      </c>
      <c r="K102" s="16" t="s">
        <v>3557</v>
      </c>
      <c r="L102">
        <v>71300383.770506278</v>
      </c>
      <c r="T102" s="16" t="s">
        <v>3557</v>
      </c>
      <c r="U102">
        <v>10137456.259870199</v>
      </c>
      <c r="X102" s="16" t="s">
        <v>3557</v>
      </c>
      <c r="Y102">
        <v>71300383.770506278</v>
      </c>
      <c r="Z102">
        <v>10137456.259870199</v>
      </c>
      <c r="AA102">
        <f t="shared" si="1"/>
        <v>7.0333604350781398</v>
      </c>
    </row>
    <row r="103" spans="1:27" hidden="1" x14ac:dyDescent="0.25">
      <c r="A103" t="s">
        <v>3741</v>
      </c>
      <c r="G103" t="s">
        <v>3571</v>
      </c>
      <c r="H103" s="14">
        <v>1258632.08822119</v>
      </c>
      <c r="K103" s="16" t="s">
        <v>3675</v>
      </c>
      <c r="L103">
        <v>175027.19268014139</v>
      </c>
      <c r="T103" s="16" t="s">
        <v>3675</v>
      </c>
      <c r="U103">
        <v>419899.32577821502</v>
      </c>
      <c r="X103" s="16" t="s">
        <v>3675</v>
      </c>
      <c r="Y103">
        <v>175027.19268014139</v>
      </c>
      <c r="Z103">
        <v>419899.32577821502</v>
      </c>
      <c r="AA103">
        <f t="shared" si="1"/>
        <v>0.41683132583210747</v>
      </c>
    </row>
    <row r="104" spans="1:27" hidden="1" x14ac:dyDescent="0.25">
      <c r="A104" t="s">
        <v>3591</v>
      </c>
      <c r="G104" t="s">
        <v>3847</v>
      </c>
      <c r="H104" s="14">
        <v>1439999.7989069901</v>
      </c>
      <c r="K104" s="16" t="s">
        <v>3584</v>
      </c>
      <c r="L104">
        <v>173775925.142171</v>
      </c>
      <c r="T104" s="16" t="s">
        <v>3584</v>
      </c>
      <c r="U104">
        <v>78452740.401203394</v>
      </c>
      <c r="X104" s="16" t="s">
        <v>3584</v>
      </c>
      <c r="Y104">
        <v>173775925.142171</v>
      </c>
      <c r="Z104">
        <v>78452740.401203394</v>
      </c>
      <c r="AA104">
        <f t="shared" si="1"/>
        <v>2.2150395799240359</v>
      </c>
    </row>
    <row r="105" spans="1:27" hidden="1" x14ac:dyDescent="0.25">
      <c r="A105" t="s">
        <v>3589</v>
      </c>
      <c r="G105" t="s">
        <v>4019</v>
      </c>
      <c r="H105" s="14">
        <v>5847808.2593789799</v>
      </c>
      <c r="K105" s="16" t="s">
        <v>4003</v>
      </c>
      <c r="L105">
        <v>80598.480788627407</v>
      </c>
      <c r="T105" s="16" t="s">
        <v>4003</v>
      </c>
      <c r="X105" s="16" t="s">
        <v>4003</v>
      </c>
      <c r="Y105">
        <v>80598.480788627407</v>
      </c>
      <c r="AA105">
        <f t="shared" si="1"/>
        <v>-100</v>
      </c>
    </row>
    <row r="106" spans="1:27" hidden="1" x14ac:dyDescent="0.25">
      <c r="A106" t="s">
        <v>3927</v>
      </c>
      <c r="G106" t="s">
        <v>4019</v>
      </c>
      <c r="H106" s="14">
        <v>1327474.2235991999</v>
      </c>
      <c r="K106" s="16" t="s">
        <v>3561</v>
      </c>
      <c r="L106">
        <v>88156770.430381358</v>
      </c>
      <c r="T106" s="16" t="s">
        <v>3561</v>
      </c>
      <c r="U106">
        <v>31841190.142281301</v>
      </c>
      <c r="X106" s="16" t="s">
        <v>3561</v>
      </c>
      <c r="Y106">
        <v>88156770.430381358</v>
      </c>
      <c r="Z106">
        <v>31841190.142281301</v>
      </c>
      <c r="AA106">
        <f t="shared" si="1"/>
        <v>2.7686393013720831</v>
      </c>
    </row>
    <row r="107" spans="1:27" hidden="1" x14ac:dyDescent="0.25">
      <c r="A107" t="s">
        <v>3929</v>
      </c>
      <c r="G107" t="s">
        <v>3573</v>
      </c>
      <c r="H107" s="14">
        <v>3914156.6260751002</v>
      </c>
      <c r="K107" s="16" t="s">
        <v>3793</v>
      </c>
      <c r="L107">
        <v>97334521.498269275</v>
      </c>
      <c r="T107" s="16" t="s">
        <v>3793</v>
      </c>
      <c r="U107">
        <v>52312477.847168803</v>
      </c>
      <c r="X107" s="16" t="s">
        <v>3793</v>
      </c>
      <c r="Y107">
        <v>97334521.498269275</v>
      </c>
      <c r="Z107">
        <v>52312477.847168803</v>
      </c>
      <c r="AA107">
        <f t="shared" si="1"/>
        <v>1.8606368022297208</v>
      </c>
    </row>
    <row r="108" spans="1:27" hidden="1" x14ac:dyDescent="0.25">
      <c r="A108" t="s">
        <v>4045</v>
      </c>
      <c r="G108" t="s">
        <v>3573</v>
      </c>
      <c r="H108" s="14">
        <v>3352636.8460677098</v>
      </c>
      <c r="K108" s="16" t="s">
        <v>4061</v>
      </c>
      <c r="L108">
        <v>25317879.822967641</v>
      </c>
      <c r="T108" s="16" t="s">
        <v>4061</v>
      </c>
      <c r="U108">
        <v>16568141.199934</v>
      </c>
      <c r="X108" s="16" t="s">
        <v>4061</v>
      </c>
      <c r="Y108">
        <v>25317879.822967641</v>
      </c>
      <c r="Z108">
        <v>16568141.199934</v>
      </c>
      <c r="AA108">
        <f t="shared" si="1"/>
        <v>1.528106232162513</v>
      </c>
    </row>
    <row r="109" spans="1:27" hidden="1" x14ac:dyDescent="0.25">
      <c r="A109" t="s">
        <v>3577</v>
      </c>
      <c r="G109" t="s">
        <v>3573</v>
      </c>
      <c r="H109" s="14">
        <v>5403673.7102680597</v>
      </c>
      <c r="K109" s="16" t="s">
        <v>3879</v>
      </c>
      <c r="L109">
        <v>224689.383553408</v>
      </c>
      <c r="T109" s="16" t="s">
        <v>3879</v>
      </c>
      <c r="X109" s="16" t="s">
        <v>3879</v>
      </c>
      <c r="Y109">
        <v>224689.383553408</v>
      </c>
      <c r="AA109">
        <f t="shared" si="1"/>
        <v>-100</v>
      </c>
    </row>
    <row r="110" spans="1:27" hidden="1" x14ac:dyDescent="0.25">
      <c r="A110" t="s">
        <v>3881</v>
      </c>
      <c r="G110" t="s">
        <v>3573</v>
      </c>
      <c r="H110" s="14">
        <v>14868110.992685201</v>
      </c>
      <c r="K110" s="16" t="s">
        <v>3805</v>
      </c>
      <c r="L110">
        <v>94572.475575210294</v>
      </c>
      <c r="T110" s="16" t="s">
        <v>3805</v>
      </c>
      <c r="X110" s="16" t="s">
        <v>3805</v>
      </c>
      <c r="Y110">
        <v>94572.475575210294</v>
      </c>
      <c r="AA110">
        <f t="shared" si="1"/>
        <v>-100</v>
      </c>
    </row>
    <row r="111" spans="1:27" hidden="1" x14ac:dyDescent="0.25">
      <c r="A111" t="s">
        <v>3879</v>
      </c>
      <c r="G111" t="s">
        <v>3573</v>
      </c>
      <c r="H111" s="14">
        <v>7574348.4298554603</v>
      </c>
      <c r="K111" s="16" t="s">
        <v>3735</v>
      </c>
      <c r="L111">
        <v>8203123.1881716</v>
      </c>
      <c r="T111" s="16" t="s">
        <v>3735</v>
      </c>
      <c r="U111">
        <v>60623774.789384097</v>
      </c>
      <c r="X111" s="16" t="s">
        <v>3735</v>
      </c>
      <c r="Y111">
        <v>8203123.1881716</v>
      </c>
      <c r="Z111">
        <v>60623774.789384097</v>
      </c>
      <c r="AA111">
        <f t="shared" si="1"/>
        <v>0.13531198307380982</v>
      </c>
    </row>
    <row r="112" spans="1:27" hidden="1" x14ac:dyDescent="0.25">
      <c r="A112" t="s">
        <v>3599</v>
      </c>
      <c r="G112" t="s">
        <v>3573</v>
      </c>
      <c r="H112" s="14">
        <v>3350652.2653529001</v>
      </c>
      <c r="K112" s="16" t="s">
        <v>3847</v>
      </c>
      <c r="L112">
        <v>1439999.7989069901</v>
      </c>
      <c r="T112" s="16" t="s">
        <v>3847</v>
      </c>
      <c r="U112">
        <v>97011233.222951293</v>
      </c>
      <c r="X112" s="16" t="s">
        <v>3847</v>
      </c>
      <c r="Y112">
        <v>1439999.7989069901</v>
      </c>
      <c r="Z112">
        <v>97011233.222951293</v>
      </c>
      <c r="AA112">
        <f t="shared" si="1"/>
        <v>1.484363976280542E-2</v>
      </c>
    </row>
    <row r="113" spans="1:27" hidden="1" x14ac:dyDescent="0.25">
      <c r="A113" t="s">
        <v>3597</v>
      </c>
      <c r="G113" t="s">
        <v>3573</v>
      </c>
      <c r="H113" s="14">
        <v>14500627.7400408</v>
      </c>
      <c r="K113" s="16" t="s">
        <v>3917</v>
      </c>
      <c r="L113">
        <v>11577158.3948295</v>
      </c>
      <c r="T113" s="16" t="s">
        <v>3917</v>
      </c>
      <c r="U113">
        <v>4645070.3915823</v>
      </c>
      <c r="X113" s="16" t="s">
        <v>3917</v>
      </c>
      <c r="Y113">
        <v>11577158.3948295</v>
      </c>
      <c r="Z113">
        <v>4645070.3915823</v>
      </c>
      <c r="AA113">
        <f t="shared" si="1"/>
        <v>2.4923537037908803</v>
      </c>
    </row>
    <row r="114" spans="1:27" hidden="1" x14ac:dyDescent="0.25">
      <c r="A114" t="s">
        <v>4085</v>
      </c>
      <c r="G114" t="s">
        <v>3573</v>
      </c>
      <c r="H114" s="14">
        <v>6384242.3447511801</v>
      </c>
      <c r="K114" s="16" t="s">
        <v>3637</v>
      </c>
      <c r="L114">
        <v>9930896.2074724585</v>
      </c>
      <c r="T114" s="16" t="s">
        <v>3637</v>
      </c>
      <c r="U114">
        <v>15092347.4902493</v>
      </c>
      <c r="X114" s="16" t="s">
        <v>3637</v>
      </c>
      <c r="Y114">
        <v>9930896.2074724585</v>
      </c>
      <c r="Z114">
        <v>15092347.4902493</v>
      </c>
      <c r="AA114">
        <f t="shared" si="1"/>
        <v>0.65800871692680707</v>
      </c>
    </row>
    <row r="115" spans="1:27" x14ac:dyDescent="0.25">
      <c r="A115" t="s">
        <v>4083</v>
      </c>
      <c r="G115" t="s">
        <v>3573</v>
      </c>
      <c r="H115" s="14">
        <v>6952653.3004852301</v>
      </c>
      <c r="K115" s="16" t="s">
        <v>3875</v>
      </c>
      <c r="L115">
        <v>574990753.29093397</v>
      </c>
      <c r="T115" s="16" t="s">
        <v>3875</v>
      </c>
      <c r="U115">
        <v>152508388.52226999</v>
      </c>
      <c r="X115" s="16" t="s">
        <v>3875</v>
      </c>
      <c r="Y115">
        <v>574990753.29093397</v>
      </c>
      <c r="Z115">
        <v>152508388.52226999</v>
      </c>
      <c r="AA115">
        <f t="shared" si="1"/>
        <v>3.770223781539539</v>
      </c>
    </row>
    <row r="116" spans="1:27" hidden="1" x14ac:dyDescent="0.25">
      <c r="A116" t="s">
        <v>4127</v>
      </c>
      <c r="G116" t="s">
        <v>3573</v>
      </c>
      <c r="H116" s="14">
        <v>5918156.1090539796</v>
      </c>
      <c r="K116" s="16" t="s">
        <v>3649</v>
      </c>
      <c r="L116">
        <v>96491246.407052293</v>
      </c>
      <c r="T116" s="16" t="s">
        <v>3649</v>
      </c>
      <c r="U116">
        <v>106389196.352901</v>
      </c>
      <c r="X116" s="16" t="s">
        <v>3649</v>
      </c>
      <c r="Y116">
        <v>96491246.407052293</v>
      </c>
      <c r="Z116">
        <v>106389196.352901</v>
      </c>
      <c r="AA116">
        <f t="shared" si="1"/>
        <v>0.90696470802339313</v>
      </c>
    </row>
    <row r="117" spans="1:27" hidden="1" x14ac:dyDescent="0.25">
      <c r="A117" t="s">
        <v>4129</v>
      </c>
      <c r="G117" t="s">
        <v>3573</v>
      </c>
      <c r="H117" s="14">
        <v>16334029.1419906</v>
      </c>
      <c r="K117" s="16" t="s">
        <v>3973</v>
      </c>
      <c r="L117">
        <v>866279.39200341597</v>
      </c>
      <c r="T117" s="16" t="s">
        <v>3973</v>
      </c>
      <c r="U117">
        <v>3075552.35258517</v>
      </c>
      <c r="X117" s="16" t="s">
        <v>3973</v>
      </c>
      <c r="Y117">
        <v>866279.39200341597</v>
      </c>
      <c r="Z117">
        <v>3075552.35258517</v>
      </c>
      <c r="AA117">
        <f t="shared" si="1"/>
        <v>0.28166628061956439</v>
      </c>
    </row>
    <row r="118" spans="1:27" hidden="1" x14ac:dyDescent="0.25">
      <c r="A118" t="s">
        <v>3901</v>
      </c>
      <c r="G118" t="s">
        <v>3573</v>
      </c>
      <c r="H118" s="14">
        <v>5766116.9950929303</v>
      </c>
      <c r="K118" s="16" t="s">
        <v>3753</v>
      </c>
      <c r="L118">
        <v>17097448.954719558</v>
      </c>
      <c r="T118" s="16" t="s">
        <v>3753</v>
      </c>
      <c r="U118">
        <v>34689719.407495901</v>
      </c>
      <c r="X118" s="16" t="s">
        <v>3753</v>
      </c>
      <c r="Y118">
        <v>17097448.954719558</v>
      </c>
      <c r="Z118">
        <v>34689719.407495901</v>
      </c>
      <c r="AA118">
        <f t="shared" si="1"/>
        <v>0.49286789419879451</v>
      </c>
    </row>
    <row r="119" spans="1:27" hidden="1" x14ac:dyDescent="0.25">
      <c r="A119" t="s">
        <v>3911</v>
      </c>
      <c r="G119" t="s">
        <v>3573</v>
      </c>
      <c r="H119" s="14">
        <v>591570.05485672795</v>
      </c>
      <c r="K119" s="16" t="s">
        <v>4063</v>
      </c>
      <c r="L119">
        <v>15687404.940230658</v>
      </c>
      <c r="T119" s="16" t="s">
        <v>4063</v>
      </c>
      <c r="U119">
        <v>20763331.809972499</v>
      </c>
      <c r="X119" s="16" t="s">
        <v>4063</v>
      </c>
      <c r="Y119">
        <v>15687404.940230658</v>
      </c>
      <c r="Z119">
        <v>20763331.809972499</v>
      </c>
      <c r="AA119">
        <f t="shared" si="1"/>
        <v>0.75553408690873469</v>
      </c>
    </row>
    <row r="120" spans="1:27" hidden="1" x14ac:dyDescent="0.25">
      <c r="A120" t="s">
        <v>3669</v>
      </c>
      <c r="G120" t="s">
        <v>3573</v>
      </c>
      <c r="H120" s="14">
        <v>1590852.04046906</v>
      </c>
      <c r="K120" s="16" t="s">
        <v>3881</v>
      </c>
      <c r="L120">
        <v>106987.80505018101</v>
      </c>
      <c r="T120" s="16" t="s">
        <v>3881</v>
      </c>
      <c r="X120" s="16" t="s">
        <v>3881</v>
      </c>
      <c r="Y120">
        <v>106987.80505018101</v>
      </c>
      <c r="AA120">
        <f t="shared" si="1"/>
        <v>-100</v>
      </c>
    </row>
    <row r="121" spans="1:27" hidden="1" x14ac:dyDescent="0.25">
      <c r="A121" t="s">
        <v>3671</v>
      </c>
      <c r="G121" t="s">
        <v>3573</v>
      </c>
      <c r="H121" s="14">
        <v>297102.89910642197</v>
      </c>
      <c r="K121" s="16" t="s">
        <v>3803</v>
      </c>
      <c r="L121">
        <v>45081.324184243102</v>
      </c>
      <c r="T121" s="16" t="s">
        <v>3803</v>
      </c>
      <c r="X121" s="16" t="s">
        <v>3803</v>
      </c>
      <c r="Y121">
        <v>45081.324184243102</v>
      </c>
      <c r="AA121">
        <f t="shared" si="1"/>
        <v>-100</v>
      </c>
    </row>
    <row r="122" spans="1:27" hidden="1" x14ac:dyDescent="0.25">
      <c r="A122" t="s">
        <v>3817</v>
      </c>
      <c r="G122" t="s">
        <v>3573</v>
      </c>
      <c r="H122" s="14">
        <v>8289041.1532308301</v>
      </c>
      <c r="K122" s="16" t="s">
        <v>3737</v>
      </c>
      <c r="L122">
        <v>3666737.7815547502</v>
      </c>
      <c r="T122" s="16" t="s">
        <v>3737</v>
      </c>
      <c r="U122">
        <v>6581475.8352901097</v>
      </c>
      <c r="X122" s="16" t="s">
        <v>3737</v>
      </c>
      <c r="Y122">
        <v>3666737.7815547502</v>
      </c>
      <c r="Z122">
        <v>6581475.8352901097</v>
      </c>
      <c r="AA122">
        <f t="shared" si="1"/>
        <v>0.55713002270608825</v>
      </c>
    </row>
    <row r="123" spans="1:27" hidden="1" x14ac:dyDescent="0.25">
      <c r="A123" t="s">
        <v>3761</v>
      </c>
      <c r="G123" t="s">
        <v>3873</v>
      </c>
      <c r="H123" s="14">
        <v>294308285.72090602</v>
      </c>
      <c r="K123" s="16" t="s">
        <v>3849</v>
      </c>
      <c r="L123">
        <v>551241.44625959895</v>
      </c>
      <c r="T123" s="16" t="s">
        <v>3849</v>
      </c>
      <c r="U123">
        <v>12456957.035206599</v>
      </c>
      <c r="X123" s="16" t="s">
        <v>3849</v>
      </c>
      <c r="Y123">
        <v>551241.44625959895</v>
      </c>
      <c r="Z123">
        <v>12456957.035206599</v>
      </c>
      <c r="AA123">
        <f t="shared" si="1"/>
        <v>4.4251693628038317E-2</v>
      </c>
    </row>
    <row r="124" spans="1:27" hidden="1" x14ac:dyDescent="0.25">
      <c r="A124" t="s">
        <v>4041</v>
      </c>
      <c r="G124" t="s">
        <v>3873</v>
      </c>
      <c r="H124" s="14">
        <v>2242083.4905634602</v>
      </c>
      <c r="K124" s="16" t="s">
        <v>3915</v>
      </c>
      <c r="L124">
        <v>7272556.9721404603</v>
      </c>
      <c r="T124" s="16" t="s">
        <v>3915</v>
      </c>
      <c r="U124">
        <v>493722.56857171102</v>
      </c>
      <c r="X124" s="16" t="s">
        <v>3915</v>
      </c>
      <c r="Y124">
        <v>7272556.9721404603</v>
      </c>
      <c r="Z124">
        <v>493722.56857171102</v>
      </c>
      <c r="AA124">
        <f t="shared" si="1"/>
        <v>14.730047672682302</v>
      </c>
    </row>
    <row r="125" spans="1:27" hidden="1" x14ac:dyDescent="0.25">
      <c r="A125" t="s">
        <v>3647</v>
      </c>
      <c r="G125" t="s">
        <v>3584</v>
      </c>
      <c r="H125" s="14">
        <v>3161565.57562932</v>
      </c>
      <c r="K125" s="16" t="s">
        <v>3641</v>
      </c>
      <c r="L125">
        <v>5924059.1741119698</v>
      </c>
      <c r="T125" s="16" t="s">
        <v>3641</v>
      </c>
      <c r="U125">
        <v>2197950.65942187</v>
      </c>
      <c r="X125" s="16" t="s">
        <v>3641</v>
      </c>
      <c r="Y125">
        <v>5924059.1741119698</v>
      </c>
      <c r="Z125">
        <v>2197950.65942187</v>
      </c>
      <c r="AA125">
        <f t="shared" si="1"/>
        <v>2.6952648589801296</v>
      </c>
    </row>
    <row r="126" spans="1:27" hidden="1" x14ac:dyDescent="0.25">
      <c r="A126" t="s">
        <v>3645</v>
      </c>
      <c r="G126" t="s">
        <v>3584</v>
      </c>
      <c r="H126" s="14">
        <v>2139365.2376417802</v>
      </c>
      <c r="K126" s="16" t="s">
        <v>3873</v>
      </c>
      <c r="L126">
        <v>296550369.21146947</v>
      </c>
      <c r="T126" s="16" t="s">
        <v>3873</v>
      </c>
      <c r="U126">
        <v>78837693.429452002</v>
      </c>
      <c r="X126" s="16" t="s">
        <v>3873</v>
      </c>
      <c r="Y126">
        <v>296550369.21146947</v>
      </c>
      <c r="Z126">
        <v>78837693.429452002</v>
      </c>
      <c r="AA126">
        <f t="shared" si="1"/>
        <v>3.7615302568033386</v>
      </c>
    </row>
    <row r="127" spans="1:27" hidden="1" x14ac:dyDescent="0.25">
      <c r="A127" t="s">
        <v>3961</v>
      </c>
      <c r="G127" t="s">
        <v>3584</v>
      </c>
      <c r="H127" s="14">
        <v>4806274.3709650803</v>
      </c>
      <c r="K127" s="16" t="s">
        <v>3651</v>
      </c>
      <c r="L127">
        <v>55232303.838899732</v>
      </c>
      <c r="T127" s="16" t="s">
        <v>3651</v>
      </c>
      <c r="U127">
        <v>30384272.929985002</v>
      </c>
      <c r="X127" s="16" t="s">
        <v>3651</v>
      </c>
      <c r="Y127">
        <v>55232303.838899732</v>
      </c>
      <c r="Z127">
        <v>30384272.929985002</v>
      </c>
      <c r="AA127">
        <f t="shared" si="1"/>
        <v>1.8177925127967509</v>
      </c>
    </row>
    <row r="128" spans="1:27" hidden="1" x14ac:dyDescent="0.25">
      <c r="A128" t="s">
        <v>3963</v>
      </c>
      <c r="G128" t="s">
        <v>3584</v>
      </c>
      <c r="H128" s="14">
        <v>3231577.4860768099</v>
      </c>
      <c r="K128" s="16" t="s">
        <v>3977</v>
      </c>
      <c r="L128">
        <v>363431.60618717602</v>
      </c>
      <c r="T128" s="16" t="s">
        <v>3977</v>
      </c>
      <c r="X128" s="16" t="s">
        <v>3977</v>
      </c>
      <c r="Y128">
        <v>363431.60618717602</v>
      </c>
      <c r="AA128">
        <f t="shared" si="1"/>
        <v>-100</v>
      </c>
    </row>
    <row r="129" spans="1:27" hidden="1" x14ac:dyDescent="0.25">
      <c r="A129" t="s">
        <v>3657</v>
      </c>
      <c r="G129" t="s">
        <v>3584</v>
      </c>
      <c r="H129" s="14">
        <v>160437142.47185799</v>
      </c>
      <c r="K129" s="16" t="s">
        <v>3755</v>
      </c>
      <c r="L129">
        <v>9027549.3677179199</v>
      </c>
      <c r="T129" s="16" t="s">
        <v>3755</v>
      </c>
      <c r="U129">
        <v>45341678.094902501</v>
      </c>
      <c r="X129" s="16" t="s">
        <v>3755</v>
      </c>
      <c r="Y129">
        <v>9027549.3677179199</v>
      </c>
      <c r="Z129">
        <v>45341678.094902501</v>
      </c>
      <c r="AA129">
        <f t="shared" si="1"/>
        <v>0.19910046886272686</v>
      </c>
    </row>
    <row r="130" spans="1:27" hidden="1" x14ac:dyDescent="0.25">
      <c r="A130" t="s">
        <v>3659</v>
      </c>
      <c r="G130" t="s">
        <v>3681</v>
      </c>
      <c r="H130" s="14">
        <v>4716326.4082771102</v>
      </c>
      <c r="K130" s="16" t="s">
        <v>3953</v>
      </c>
      <c r="L130">
        <v>529991.62415082497</v>
      </c>
      <c r="T130" s="16" t="s">
        <v>3953</v>
      </c>
      <c r="X130" s="16" t="s">
        <v>3953</v>
      </c>
      <c r="Y130">
        <v>529991.62415082497</v>
      </c>
      <c r="AA130">
        <f t="shared" si="1"/>
        <v>-100</v>
      </c>
    </row>
    <row r="131" spans="1:27" hidden="1" x14ac:dyDescent="0.25">
      <c r="A131" t="s">
        <v>3655</v>
      </c>
      <c r="G131" t="s">
        <v>3681</v>
      </c>
      <c r="H131" s="14">
        <v>6729518.9466456501</v>
      </c>
      <c r="K131" s="16" t="s">
        <v>4127</v>
      </c>
      <c r="L131">
        <v>357590.28482360701</v>
      </c>
      <c r="T131" s="16" t="s">
        <v>4127</v>
      </c>
      <c r="X131" s="16" t="s">
        <v>4127</v>
      </c>
      <c r="Y131">
        <v>357590.28482360701</v>
      </c>
      <c r="AA131">
        <f t="shared" ref="AA131:AA147" si="2">IF(Z131=0,-100,Y131/Z131)</f>
        <v>-100</v>
      </c>
    </row>
    <row r="132" spans="1:27" hidden="1" x14ac:dyDescent="0.25">
      <c r="A132" t="s">
        <v>3653</v>
      </c>
      <c r="G132" t="s">
        <v>3681</v>
      </c>
      <c r="H132" s="14">
        <v>2076081.4279917099</v>
      </c>
      <c r="K132" s="16" t="s">
        <v>4073</v>
      </c>
      <c r="L132">
        <v>9434935.87865692</v>
      </c>
      <c r="T132" s="16" t="s">
        <v>4073</v>
      </c>
      <c r="U132">
        <v>7422370.3444844</v>
      </c>
      <c r="X132" s="16" t="s">
        <v>4073</v>
      </c>
      <c r="Y132">
        <v>9434935.87865692</v>
      </c>
      <c r="Z132">
        <v>7422370.3444844</v>
      </c>
      <c r="AA132">
        <f t="shared" si="2"/>
        <v>1.2711486278326258</v>
      </c>
    </row>
    <row r="133" spans="1:27" hidden="1" x14ac:dyDescent="0.25">
      <c r="A133" t="s">
        <v>3703</v>
      </c>
      <c r="G133" t="s">
        <v>3681</v>
      </c>
      <c r="H133" s="14">
        <v>1394272.04227988</v>
      </c>
      <c r="K133" s="16" t="s">
        <v>3929</v>
      </c>
      <c r="L133">
        <v>27381503.232089728</v>
      </c>
      <c r="T133" s="16" t="s">
        <v>3929</v>
      </c>
      <c r="X133" s="16" t="s">
        <v>3929</v>
      </c>
      <c r="Y133">
        <v>27381503.232089728</v>
      </c>
      <c r="AA133">
        <f t="shared" si="2"/>
        <v>-100</v>
      </c>
    </row>
    <row r="134" spans="1:27" hidden="1" x14ac:dyDescent="0.25">
      <c r="A134" t="s">
        <v>3955</v>
      </c>
      <c r="G134" t="s">
        <v>3681</v>
      </c>
      <c r="H134" s="14">
        <v>34169.272674321801</v>
      </c>
      <c r="K134" s="16" t="s">
        <v>3857</v>
      </c>
      <c r="L134">
        <v>9265877.1853166111</v>
      </c>
      <c r="T134" s="16" t="s">
        <v>3857</v>
      </c>
      <c r="U134">
        <v>47250249.677707799</v>
      </c>
      <c r="X134" s="16" t="s">
        <v>3857</v>
      </c>
      <c r="Y134">
        <v>9265877.1853166111</v>
      </c>
      <c r="Z134">
        <v>47250249.677707799</v>
      </c>
      <c r="AA134">
        <f t="shared" si="2"/>
        <v>0.19610218461317805</v>
      </c>
    </row>
    <row r="135" spans="1:27" hidden="1" x14ac:dyDescent="0.25">
      <c r="A135" t="s">
        <v>3953</v>
      </c>
      <c r="G135" t="s">
        <v>3565</v>
      </c>
      <c r="H135" s="14">
        <v>22887088.211002801</v>
      </c>
      <c r="K135" s="16" t="s">
        <v>3699</v>
      </c>
      <c r="L135">
        <v>890151.55471948104</v>
      </c>
      <c r="T135" s="16" t="s">
        <v>3699</v>
      </c>
      <c r="U135">
        <v>23906199.692347199</v>
      </c>
      <c r="X135" s="16" t="s">
        <v>3699</v>
      </c>
      <c r="Y135">
        <v>890151.55471948104</v>
      </c>
      <c r="Z135">
        <v>23906199.692347199</v>
      </c>
      <c r="AA135">
        <f t="shared" si="2"/>
        <v>3.7235176070433078E-2</v>
      </c>
    </row>
    <row r="136" spans="1:27" hidden="1" x14ac:dyDescent="0.25">
      <c r="A136" t="s">
        <v>3987</v>
      </c>
      <c r="G136" t="s">
        <v>3565</v>
      </c>
      <c r="H136" s="14">
        <v>16488953.6725004</v>
      </c>
      <c r="K136" s="16" t="s">
        <v>3633</v>
      </c>
      <c r="L136">
        <v>282967.00361779646</v>
      </c>
      <c r="T136" s="16" t="s">
        <v>3633</v>
      </c>
      <c r="U136">
        <v>15513708.7223578</v>
      </c>
      <c r="X136" s="16" t="s">
        <v>3633</v>
      </c>
      <c r="Y136">
        <v>282967.00361779646</v>
      </c>
      <c r="Z136">
        <v>15513708.7223578</v>
      </c>
      <c r="AA136">
        <f t="shared" si="2"/>
        <v>1.8239803820088139E-2</v>
      </c>
    </row>
    <row r="137" spans="1:27" x14ac:dyDescent="0.25">
      <c r="A137" t="s">
        <v>3985</v>
      </c>
      <c r="G137" t="s">
        <v>3565</v>
      </c>
      <c r="H137" s="14">
        <v>55369304.133193001</v>
      </c>
      <c r="K137" s="16" t="s">
        <v>3855</v>
      </c>
      <c r="L137">
        <v>7109225.66846353</v>
      </c>
      <c r="T137" s="16" t="s">
        <v>3855</v>
      </c>
      <c r="U137">
        <v>140990912.823383</v>
      </c>
      <c r="X137" s="16" t="s">
        <v>3855</v>
      </c>
      <c r="Y137">
        <v>7109225.66846353</v>
      </c>
      <c r="Z137">
        <v>140990912.823383</v>
      </c>
      <c r="AA137">
        <f t="shared" si="2"/>
        <v>5.0423289885137064E-2</v>
      </c>
    </row>
    <row r="138" spans="1:27" hidden="1" x14ac:dyDescent="0.25">
      <c r="A138" t="s">
        <v>4029</v>
      </c>
      <c r="G138" t="s">
        <v>3565</v>
      </c>
      <c r="H138" s="14">
        <v>20935278.942710601</v>
      </c>
      <c r="K138" s="16" t="s">
        <v>3573</v>
      </c>
      <c r="L138">
        <v>105087970.6493822</v>
      </c>
      <c r="T138" s="16" t="s">
        <v>3573</v>
      </c>
      <c r="U138">
        <v>79916913.810530394</v>
      </c>
      <c r="X138" s="16" t="s">
        <v>3573</v>
      </c>
      <c r="Y138">
        <v>105087970.6493822</v>
      </c>
      <c r="Z138">
        <v>79916913.810530394</v>
      </c>
      <c r="AA138">
        <f t="shared" si="2"/>
        <v>1.3149653263454113</v>
      </c>
    </row>
    <row r="139" spans="1:27" hidden="1" x14ac:dyDescent="0.25">
      <c r="A139" t="s">
        <v>3797</v>
      </c>
      <c r="G139" t="s">
        <v>3565</v>
      </c>
      <c r="H139" s="14">
        <v>5133604.96089435</v>
      </c>
      <c r="K139" s="16" t="s">
        <v>3955</v>
      </c>
      <c r="L139">
        <v>292129.44662302401</v>
      </c>
      <c r="T139" s="16" t="s">
        <v>3955</v>
      </c>
      <c r="X139" s="16" t="s">
        <v>3955</v>
      </c>
      <c r="Y139">
        <v>292129.44662302401</v>
      </c>
      <c r="AA139">
        <f t="shared" si="2"/>
        <v>-100</v>
      </c>
    </row>
    <row r="140" spans="1:27" hidden="1" x14ac:dyDescent="0.25">
      <c r="A140" t="s">
        <v>3686</v>
      </c>
      <c r="G140" t="s">
        <v>3565</v>
      </c>
      <c r="H140" s="14">
        <v>5443552.9792440096</v>
      </c>
      <c r="K140" s="16" t="s">
        <v>4129</v>
      </c>
      <c r="L140">
        <v>178132.140032492</v>
      </c>
      <c r="T140" s="16" t="s">
        <v>4129</v>
      </c>
      <c r="X140" s="16" t="s">
        <v>4129</v>
      </c>
      <c r="Y140">
        <v>178132.140032492</v>
      </c>
      <c r="AA140">
        <f t="shared" si="2"/>
        <v>-100</v>
      </c>
    </row>
    <row r="141" spans="1:27" hidden="1" x14ac:dyDescent="0.25">
      <c r="A141" t="s">
        <v>3684</v>
      </c>
      <c r="G141" t="s">
        <v>3565</v>
      </c>
      <c r="H141" s="14">
        <v>1481402.8929324399</v>
      </c>
      <c r="K141" s="16" t="s">
        <v>4075</v>
      </c>
      <c r="L141">
        <v>4738585.4944550004</v>
      </c>
      <c r="T141" s="16" t="s">
        <v>4075</v>
      </c>
      <c r="U141">
        <v>12406151.757564699</v>
      </c>
      <c r="X141" s="16" t="s">
        <v>4075</v>
      </c>
      <c r="Y141">
        <v>4738585.4944550004</v>
      </c>
      <c r="Z141">
        <v>12406151.757564699</v>
      </c>
      <c r="AA141">
        <f t="shared" si="2"/>
        <v>0.38195450023941785</v>
      </c>
    </row>
    <row r="142" spans="1:27" hidden="1" x14ac:dyDescent="0.25">
      <c r="A142" t="s">
        <v>4003</v>
      </c>
      <c r="G142" t="s">
        <v>3565</v>
      </c>
      <c r="H142" s="14">
        <v>11622033.5157141</v>
      </c>
      <c r="K142" s="16" t="s">
        <v>3927</v>
      </c>
      <c r="L142">
        <v>13873590.0652392</v>
      </c>
      <c r="T142" s="16" t="s">
        <v>3927</v>
      </c>
      <c r="X142" s="16" t="s">
        <v>3927</v>
      </c>
      <c r="Y142">
        <v>13873590.0652392</v>
      </c>
      <c r="AA142">
        <f t="shared" si="2"/>
        <v>-100</v>
      </c>
    </row>
    <row r="143" spans="1:27" hidden="1" x14ac:dyDescent="0.25">
      <c r="A143" t="s">
        <v>3777</v>
      </c>
      <c r="G143" t="s">
        <v>3851</v>
      </c>
      <c r="H143" s="14">
        <v>3320895.5372693301</v>
      </c>
      <c r="K143" s="16" t="s">
        <v>3853</v>
      </c>
      <c r="L143">
        <v>4084344.9405667498</v>
      </c>
      <c r="T143" s="16" t="s">
        <v>3853</v>
      </c>
      <c r="U143">
        <v>5833748.4567493601</v>
      </c>
      <c r="X143" s="16" t="s">
        <v>3853</v>
      </c>
      <c r="Y143">
        <v>4084344.9405667498</v>
      </c>
      <c r="Z143">
        <v>5833748.4567493601</v>
      </c>
      <c r="AA143">
        <f t="shared" si="2"/>
        <v>0.70012359477744768</v>
      </c>
    </row>
    <row r="144" spans="1:27" hidden="1" x14ac:dyDescent="0.25">
      <c r="A144" t="s">
        <v>3757</v>
      </c>
      <c r="G144" t="s">
        <v>3725</v>
      </c>
      <c r="H144" s="14">
        <v>11811067.5559448</v>
      </c>
      <c r="K144" s="16" t="s">
        <v>3697</v>
      </c>
      <c r="L144">
        <v>364732.53972936998</v>
      </c>
      <c r="T144" s="16" t="s">
        <v>3697</v>
      </c>
      <c r="U144">
        <v>22991.737451667901</v>
      </c>
      <c r="X144" s="16" t="s">
        <v>3697</v>
      </c>
      <c r="Y144">
        <v>364732.53972936998</v>
      </c>
      <c r="Z144">
        <v>22991.737451667901</v>
      </c>
      <c r="AA144">
        <f t="shared" si="2"/>
        <v>15.863635381888505</v>
      </c>
    </row>
    <row r="145" spans="1:27" hidden="1" x14ac:dyDescent="0.25">
      <c r="A145" t="s">
        <v>3759</v>
      </c>
      <c r="G145" t="s">
        <v>3725</v>
      </c>
      <c r="H145" s="14">
        <v>1294181.3467665699</v>
      </c>
      <c r="K145" s="16" t="s">
        <v>3631</v>
      </c>
      <c r="L145">
        <v>142606.97855647421</v>
      </c>
      <c r="T145" s="16" t="s">
        <v>3631</v>
      </c>
      <c r="U145">
        <v>33164.620111180302</v>
      </c>
      <c r="X145" s="16" t="s">
        <v>3631</v>
      </c>
      <c r="Y145">
        <v>142606.97855647421</v>
      </c>
      <c r="Z145">
        <v>33164.620111180302</v>
      </c>
      <c r="AA145">
        <f t="shared" si="2"/>
        <v>4.2999732268423969</v>
      </c>
    </row>
    <row r="146" spans="1:27" hidden="1" x14ac:dyDescent="0.25">
      <c r="A146" t="s">
        <v>3805</v>
      </c>
      <c r="G146" t="s">
        <v>3725</v>
      </c>
      <c r="H146" s="14">
        <v>5837210.2753075603</v>
      </c>
      <c r="K146" s="16" t="s">
        <v>3851</v>
      </c>
      <c r="L146">
        <v>3320895.5372693301</v>
      </c>
      <c r="T146" s="16" t="s">
        <v>3851</v>
      </c>
      <c r="U146">
        <v>64896028.322460301</v>
      </c>
      <c r="X146" s="16" t="s">
        <v>3851</v>
      </c>
      <c r="Y146">
        <v>3320895.5372693301</v>
      </c>
      <c r="Z146">
        <v>64896028.322460301</v>
      </c>
      <c r="AA146">
        <f t="shared" si="2"/>
        <v>5.1172554362929772E-2</v>
      </c>
    </row>
    <row r="147" spans="1:27" hidden="1" x14ac:dyDescent="0.25">
      <c r="A147" t="s">
        <v>3803</v>
      </c>
      <c r="G147" t="s">
        <v>3725</v>
      </c>
      <c r="H147" s="14">
        <v>36257.389858401097</v>
      </c>
      <c r="K147" s="16" t="s">
        <v>3575</v>
      </c>
      <c r="L147">
        <v>50839933.032020099</v>
      </c>
      <c r="T147" s="16" t="s">
        <v>3575</v>
      </c>
      <c r="U147">
        <v>29559262.1129364</v>
      </c>
      <c r="X147" s="16" t="s">
        <v>3575</v>
      </c>
      <c r="Y147">
        <v>50839933.032020099</v>
      </c>
      <c r="Z147">
        <v>29559262.1129364</v>
      </c>
      <c r="AA147">
        <f t="shared" si="2"/>
        <v>1.7199324136636809</v>
      </c>
    </row>
    <row r="148" spans="1:27" x14ac:dyDescent="0.25">
      <c r="G148" t="s">
        <v>3580</v>
      </c>
      <c r="H148" s="14">
        <v>4924149.3667639503</v>
      </c>
      <c r="K148" s="16" t="s">
        <v>3132</v>
      </c>
      <c r="T148" s="16" t="s">
        <v>3133</v>
      </c>
      <c r="U148">
        <v>4931978577.7949982</v>
      </c>
    </row>
    <row r="149" spans="1:27" x14ac:dyDescent="0.25">
      <c r="G149" t="s">
        <v>3580</v>
      </c>
      <c r="H149" s="14">
        <v>1046876.82279848</v>
      </c>
      <c r="K149" s="16" t="s">
        <v>3133</v>
      </c>
      <c r="L149">
        <v>8978256092.9525948</v>
      </c>
    </row>
    <row r="150" spans="1:27" x14ac:dyDescent="0.25">
      <c r="G150" t="s">
        <v>3580</v>
      </c>
      <c r="H150" s="14">
        <v>1681387.11475639</v>
      </c>
    </row>
    <row r="151" spans="1:27" x14ac:dyDescent="0.25">
      <c r="G151" t="s">
        <v>3580</v>
      </c>
      <c r="H151" s="14">
        <v>9761548.4065653495</v>
      </c>
    </row>
    <row r="152" spans="1:27" x14ac:dyDescent="0.25">
      <c r="G152" t="s">
        <v>3580</v>
      </c>
      <c r="H152" s="14">
        <v>1027456.07657086</v>
      </c>
    </row>
    <row r="153" spans="1:27" x14ac:dyDescent="0.25">
      <c r="G153" t="s">
        <v>3555</v>
      </c>
      <c r="H153" s="14">
        <v>1754585.98767004</v>
      </c>
    </row>
    <row r="154" spans="1:27" x14ac:dyDescent="0.25">
      <c r="G154" t="s">
        <v>3555</v>
      </c>
      <c r="H154" s="14">
        <v>1744538.0708870599</v>
      </c>
    </row>
    <row r="155" spans="1:27" x14ac:dyDescent="0.25">
      <c r="G155" t="s">
        <v>3555</v>
      </c>
      <c r="H155" s="14">
        <v>635359.18651951605</v>
      </c>
    </row>
    <row r="156" spans="1:27" x14ac:dyDescent="0.25">
      <c r="G156" t="s">
        <v>3555</v>
      </c>
      <c r="H156" s="14">
        <v>1126672.48314206</v>
      </c>
    </row>
    <row r="157" spans="1:27" x14ac:dyDescent="0.25">
      <c r="G157" t="s">
        <v>3555</v>
      </c>
      <c r="H157" s="14">
        <v>2029317.4913721101</v>
      </c>
    </row>
    <row r="158" spans="1:27" x14ac:dyDescent="0.25">
      <c r="G158" t="s">
        <v>3555</v>
      </c>
      <c r="H158" s="14">
        <v>618074.99010282999</v>
      </c>
    </row>
    <row r="159" spans="1:27" x14ac:dyDescent="0.25">
      <c r="G159" t="s">
        <v>3555</v>
      </c>
      <c r="H159" s="14">
        <v>1517437.9541150201</v>
      </c>
    </row>
    <row r="160" spans="1:27" x14ac:dyDescent="0.25">
      <c r="G160" t="s">
        <v>3555</v>
      </c>
      <c r="H160" s="14">
        <v>654652.44186654198</v>
      </c>
    </row>
    <row r="161" spans="7:8" x14ac:dyDescent="0.25">
      <c r="G161" t="s">
        <v>3555</v>
      </c>
      <c r="H161" s="14">
        <v>351300.37589205703</v>
      </c>
    </row>
    <row r="162" spans="7:8" x14ac:dyDescent="0.25">
      <c r="G162" t="s">
        <v>3555</v>
      </c>
      <c r="H162" s="14">
        <v>2267057.8936332902</v>
      </c>
    </row>
    <row r="163" spans="7:8" x14ac:dyDescent="0.25">
      <c r="G163" t="s">
        <v>3555</v>
      </c>
      <c r="H163" s="14">
        <v>9198588.8925270196</v>
      </c>
    </row>
    <row r="164" spans="7:8" x14ac:dyDescent="0.25">
      <c r="G164" t="s">
        <v>3555</v>
      </c>
      <c r="H164" s="14">
        <v>193274.43579156499</v>
      </c>
    </row>
    <row r="165" spans="7:8" x14ac:dyDescent="0.25">
      <c r="G165" t="s">
        <v>3555</v>
      </c>
      <c r="H165" s="14">
        <v>415335.83570275398</v>
      </c>
    </row>
    <row r="166" spans="7:8" x14ac:dyDescent="0.25">
      <c r="G166" t="s">
        <v>3555</v>
      </c>
      <c r="H166" s="14">
        <v>115388226.849215</v>
      </c>
    </row>
    <row r="167" spans="7:8" x14ac:dyDescent="0.25">
      <c r="G167" t="s">
        <v>3555</v>
      </c>
      <c r="H167" s="14">
        <v>1122364.3240127</v>
      </c>
    </row>
    <row r="168" spans="7:8" x14ac:dyDescent="0.25">
      <c r="G168" t="s">
        <v>3555</v>
      </c>
      <c r="H168" s="14">
        <v>7220036.2103862697</v>
      </c>
    </row>
    <row r="169" spans="7:8" x14ac:dyDescent="0.25">
      <c r="G169" t="s">
        <v>3613</v>
      </c>
      <c r="H169" s="14">
        <v>9849492.6366038807</v>
      </c>
    </row>
    <row r="170" spans="7:8" x14ac:dyDescent="0.25">
      <c r="G170" t="s">
        <v>3613</v>
      </c>
      <c r="H170" s="14">
        <v>8780181.3451826908</v>
      </c>
    </row>
    <row r="171" spans="7:8" x14ac:dyDescent="0.25">
      <c r="G171" t="s">
        <v>3613</v>
      </c>
      <c r="H171" s="14">
        <v>460273.61431408202</v>
      </c>
    </row>
    <row r="172" spans="7:8" x14ac:dyDescent="0.25">
      <c r="G172" t="s">
        <v>3613</v>
      </c>
      <c r="H172" s="14">
        <v>1245797.9899738601</v>
      </c>
    </row>
    <row r="173" spans="7:8" x14ac:dyDescent="0.25">
      <c r="G173" t="s">
        <v>3613</v>
      </c>
      <c r="H173" s="14">
        <v>19509132.146696702</v>
      </c>
    </row>
    <row r="174" spans="7:8" x14ac:dyDescent="0.25">
      <c r="G174" t="s">
        <v>3735</v>
      </c>
      <c r="H174" s="14">
        <v>8203123.1881716</v>
      </c>
    </row>
    <row r="175" spans="7:8" x14ac:dyDescent="0.25">
      <c r="G175" t="s">
        <v>3665</v>
      </c>
      <c r="H175" s="14">
        <v>75477391.797584295</v>
      </c>
    </row>
    <row r="176" spans="7:8" x14ac:dyDescent="0.25">
      <c r="G176" t="s">
        <v>3665</v>
      </c>
      <c r="H176" s="14">
        <v>4107502.9861025801</v>
      </c>
    </row>
    <row r="177" spans="7:8" x14ac:dyDescent="0.25">
      <c r="G177" t="s">
        <v>3665</v>
      </c>
      <c r="H177" s="14">
        <v>19586485.222166501</v>
      </c>
    </row>
    <row r="178" spans="7:8" x14ac:dyDescent="0.25">
      <c r="G178" t="s">
        <v>3691</v>
      </c>
      <c r="H178" s="14">
        <v>9762460.5666900799</v>
      </c>
    </row>
    <row r="179" spans="7:8" x14ac:dyDescent="0.25">
      <c r="G179" t="s">
        <v>3691</v>
      </c>
      <c r="H179" s="14">
        <v>58304634.9038167</v>
      </c>
    </row>
    <row r="180" spans="7:8" x14ac:dyDescent="0.25">
      <c r="G180" t="s">
        <v>3611</v>
      </c>
      <c r="H180" s="14">
        <v>5429865.6582613299</v>
      </c>
    </row>
    <row r="181" spans="7:8" x14ac:dyDescent="0.25">
      <c r="G181" t="s">
        <v>3611</v>
      </c>
      <c r="H181" s="14">
        <v>4730328.3069914896</v>
      </c>
    </row>
    <row r="182" spans="7:8" x14ac:dyDescent="0.25">
      <c r="G182" t="s">
        <v>3611</v>
      </c>
      <c r="H182" s="14">
        <v>192935.471993802</v>
      </c>
    </row>
    <row r="183" spans="7:8" x14ac:dyDescent="0.25">
      <c r="G183" t="s">
        <v>3611</v>
      </c>
      <c r="H183" s="14">
        <v>814586.72484630195</v>
      </c>
    </row>
    <row r="184" spans="7:8" x14ac:dyDescent="0.25">
      <c r="G184" t="s">
        <v>3611</v>
      </c>
      <c r="H184" s="14">
        <v>11904478.996448601</v>
      </c>
    </row>
    <row r="185" spans="7:8" x14ac:dyDescent="0.25">
      <c r="G185" t="s">
        <v>3763</v>
      </c>
      <c r="H185" s="14">
        <v>9561752.5968990307</v>
      </c>
    </row>
    <row r="186" spans="7:8" x14ac:dyDescent="0.25">
      <c r="G186" t="s">
        <v>3763</v>
      </c>
      <c r="H186" s="14">
        <v>3778126.1664768001</v>
      </c>
    </row>
    <row r="187" spans="7:8" x14ac:dyDescent="0.25">
      <c r="G187" t="s">
        <v>3793</v>
      </c>
      <c r="H187" s="14">
        <v>356634.18709647801</v>
      </c>
    </row>
    <row r="188" spans="7:8" x14ac:dyDescent="0.25">
      <c r="G188" t="s">
        <v>3793</v>
      </c>
      <c r="H188" s="14">
        <v>96977887.311172798</v>
      </c>
    </row>
    <row r="189" spans="7:8" x14ac:dyDescent="0.25">
      <c r="G189" t="s">
        <v>3857</v>
      </c>
      <c r="H189" s="14">
        <v>3742348.2532578702</v>
      </c>
    </row>
    <row r="190" spans="7:8" x14ac:dyDescent="0.25">
      <c r="G190" t="s">
        <v>3857</v>
      </c>
      <c r="H190" s="14">
        <v>2476717.93128866</v>
      </c>
    </row>
    <row r="191" spans="7:8" x14ac:dyDescent="0.25">
      <c r="G191" t="s">
        <v>3857</v>
      </c>
      <c r="H191" s="14">
        <v>3046811.0007700799</v>
      </c>
    </row>
    <row r="192" spans="7:8" x14ac:dyDescent="0.25">
      <c r="G192" t="s">
        <v>3755</v>
      </c>
      <c r="H192" s="14">
        <v>7696630.0897971001</v>
      </c>
    </row>
    <row r="193" spans="7:8" x14ac:dyDescent="0.25">
      <c r="G193" t="s">
        <v>3755</v>
      </c>
      <c r="H193" s="14">
        <v>1330919.2779208201</v>
      </c>
    </row>
    <row r="194" spans="7:8" x14ac:dyDescent="0.25">
      <c r="G194" t="s">
        <v>3921</v>
      </c>
      <c r="H194" s="14">
        <v>176919.37519204599</v>
      </c>
    </row>
    <row r="195" spans="7:8" x14ac:dyDescent="0.25">
      <c r="G195" t="s">
        <v>3753</v>
      </c>
      <c r="H195" s="14">
        <v>14164438.643962599</v>
      </c>
    </row>
    <row r="196" spans="7:8" x14ac:dyDescent="0.25">
      <c r="G196" t="s">
        <v>3753</v>
      </c>
      <c r="H196" s="14">
        <v>2933010.31075696</v>
      </c>
    </row>
    <row r="197" spans="7:8" x14ac:dyDescent="0.25">
      <c r="G197" t="s">
        <v>3791</v>
      </c>
      <c r="H197" s="14">
        <v>842356.64883111895</v>
      </c>
    </row>
    <row r="198" spans="7:8" x14ac:dyDescent="0.25">
      <c r="G198" t="s">
        <v>3791</v>
      </c>
      <c r="H198" s="14">
        <v>215503819.56496999</v>
      </c>
    </row>
    <row r="199" spans="7:8" x14ac:dyDescent="0.25">
      <c r="G199" t="s">
        <v>4017</v>
      </c>
      <c r="H199" s="14">
        <v>11587731.580859501</v>
      </c>
    </row>
    <row r="200" spans="7:8" x14ac:dyDescent="0.25">
      <c r="G200" t="s">
        <v>4017</v>
      </c>
      <c r="H200" s="14">
        <v>2790011.39670341</v>
      </c>
    </row>
    <row r="201" spans="7:8" x14ac:dyDescent="0.25">
      <c r="G201" t="s">
        <v>3721</v>
      </c>
      <c r="H201" s="14">
        <v>4556905.5815774798</v>
      </c>
    </row>
    <row r="202" spans="7:8" x14ac:dyDescent="0.25">
      <c r="G202" t="s">
        <v>3721</v>
      </c>
      <c r="H202" s="14">
        <v>955147.43346556602</v>
      </c>
    </row>
    <row r="203" spans="7:8" x14ac:dyDescent="0.25">
      <c r="G203" t="s">
        <v>3721</v>
      </c>
      <c r="H203" s="14">
        <v>455228.85145225399</v>
      </c>
    </row>
    <row r="204" spans="7:8" x14ac:dyDescent="0.25">
      <c r="G204" t="s">
        <v>3721</v>
      </c>
      <c r="H204" s="14">
        <v>5430151.7829338899</v>
      </c>
    </row>
    <row r="205" spans="7:8" x14ac:dyDescent="0.25">
      <c r="G205" t="s">
        <v>3721</v>
      </c>
      <c r="H205" s="14">
        <v>893389.87641024299</v>
      </c>
    </row>
    <row r="206" spans="7:8" x14ac:dyDescent="0.25">
      <c r="G206" t="s">
        <v>3721</v>
      </c>
      <c r="H206" s="14">
        <v>13178596.946619101</v>
      </c>
    </row>
    <row r="207" spans="7:8" x14ac:dyDescent="0.25">
      <c r="G207" t="s">
        <v>3623</v>
      </c>
      <c r="H207" s="14">
        <v>5901722.7523393501</v>
      </c>
    </row>
    <row r="208" spans="7:8" x14ac:dyDescent="0.25">
      <c r="G208" t="s">
        <v>3623</v>
      </c>
      <c r="H208" s="14">
        <v>15538923.3900414</v>
      </c>
    </row>
    <row r="209" spans="7:8" x14ac:dyDescent="0.25">
      <c r="G209" t="s">
        <v>3623</v>
      </c>
      <c r="H209" s="14">
        <v>10563117.252708299</v>
      </c>
    </row>
    <row r="210" spans="7:8" x14ac:dyDescent="0.25">
      <c r="G210" t="s">
        <v>3623</v>
      </c>
      <c r="H210" s="14">
        <v>5731389.4629496001</v>
      </c>
    </row>
    <row r="211" spans="7:8" x14ac:dyDescent="0.25">
      <c r="G211" t="s">
        <v>3623</v>
      </c>
      <c r="H211" s="14">
        <v>6976105.9606526</v>
      </c>
    </row>
    <row r="212" spans="7:8" x14ac:dyDescent="0.25">
      <c r="G212" t="s">
        <v>3623</v>
      </c>
      <c r="H212" s="14">
        <v>1351812.9792182201</v>
      </c>
    </row>
    <row r="213" spans="7:8" x14ac:dyDescent="0.25">
      <c r="G213" t="s">
        <v>3623</v>
      </c>
      <c r="H213" s="14">
        <v>11164868.869671199</v>
      </c>
    </row>
    <row r="214" spans="7:8" x14ac:dyDescent="0.25">
      <c r="G214" t="s">
        <v>3623</v>
      </c>
      <c r="H214" s="14">
        <v>5402392.4217266198</v>
      </c>
    </row>
    <row r="215" spans="7:8" x14ac:dyDescent="0.25">
      <c r="G215" t="s">
        <v>3623</v>
      </c>
      <c r="H215" s="14">
        <v>30920365.7516862</v>
      </c>
    </row>
    <row r="216" spans="7:8" x14ac:dyDescent="0.25">
      <c r="G216" t="s">
        <v>3623</v>
      </c>
      <c r="H216" s="14">
        <v>3638718.2440522299</v>
      </c>
    </row>
    <row r="217" spans="7:8" x14ac:dyDescent="0.25">
      <c r="G217" t="s">
        <v>3623</v>
      </c>
      <c r="H217" s="14">
        <v>10345881.345656</v>
      </c>
    </row>
    <row r="218" spans="7:8" x14ac:dyDescent="0.25">
      <c r="G218" t="s">
        <v>3561</v>
      </c>
      <c r="H218" s="14">
        <v>21266359.440967999</v>
      </c>
    </row>
    <row r="219" spans="7:8" x14ac:dyDescent="0.25">
      <c r="G219" t="s">
        <v>3561</v>
      </c>
      <c r="H219" s="14">
        <v>10976654.7313937</v>
      </c>
    </row>
    <row r="220" spans="7:8" x14ac:dyDescent="0.25">
      <c r="G220" t="s">
        <v>3561</v>
      </c>
      <c r="H220" s="14">
        <v>393287.65711758402</v>
      </c>
    </row>
    <row r="221" spans="7:8" x14ac:dyDescent="0.25">
      <c r="G221" t="s">
        <v>3561</v>
      </c>
      <c r="H221" s="14">
        <v>4798994.9337148601</v>
      </c>
    </row>
    <row r="222" spans="7:8" x14ac:dyDescent="0.25">
      <c r="G222" t="s">
        <v>3561</v>
      </c>
      <c r="H222" s="14">
        <v>4375385.1869632099</v>
      </c>
    </row>
    <row r="223" spans="7:8" x14ac:dyDescent="0.25">
      <c r="G223" t="s">
        <v>3561</v>
      </c>
      <c r="H223" s="14">
        <v>5294420.40512117</v>
      </c>
    </row>
    <row r="224" spans="7:8" x14ac:dyDescent="0.25">
      <c r="G224" t="s">
        <v>3561</v>
      </c>
      <c r="H224" s="14">
        <v>1747882.23432194</v>
      </c>
    </row>
    <row r="225" spans="7:8" x14ac:dyDescent="0.25">
      <c r="G225" t="s">
        <v>3561</v>
      </c>
      <c r="H225" s="14">
        <v>1166283.89998616</v>
      </c>
    </row>
    <row r="226" spans="7:8" x14ac:dyDescent="0.25">
      <c r="G226" t="s">
        <v>3561</v>
      </c>
      <c r="H226" s="14">
        <v>680219.96600714605</v>
      </c>
    </row>
    <row r="227" spans="7:8" x14ac:dyDescent="0.25">
      <c r="G227" t="s">
        <v>3561</v>
      </c>
      <c r="H227" s="14">
        <v>3741093.6699124998</v>
      </c>
    </row>
    <row r="228" spans="7:8" x14ac:dyDescent="0.25">
      <c r="G228" t="s">
        <v>3561</v>
      </c>
      <c r="H228" s="14">
        <v>6430001.0863400605</v>
      </c>
    </row>
    <row r="229" spans="7:8" x14ac:dyDescent="0.25">
      <c r="G229" t="s">
        <v>3561</v>
      </c>
      <c r="H229" s="14">
        <v>3801942.1543953498</v>
      </c>
    </row>
    <row r="230" spans="7:8" x14ac:dyDescent="0.25">
      <c r="G230" t="s">
        <v>3561</v>
      </c>
      <c r="H230" s="14">
        <v>7109069.2703932896</v>
      </c>
    </row>
    <row r="231" spans="7:8" x14ac:dyDescent="0.25">
      <c r="G231" t="s">
        <v>3561</v>
      </c>
      <c r="H231" s="14">
        <v>9522215.1212198995</v>
      </c>
    </row>
    <row r="232" spans="7:8" x14ac:dyDescent="0.25">
      <c r="G232" t="s">
        <v>3561</v>
      </c>
      <c r="H232" s="14">
        <v>2565467.31767835</v>
      </c>
    </row>
    <row r="233" spans="7:8" x14ac:dyDescent="0.25">
      <c r="G233" t="s">
        <v>3561</v>
      </c>
      <c r="H233" s="14">
        <v>4287493.3548481297</v>
      </c>
    </row>
    <row r="234" spans="7:8" x14ac:dyDescent="0.25">
      <c r="G234" t="s">
        <v>3607</v>
      </c>
      <c r="H234" s="14">
        <v>6815667.1740010502</v>
      </c>
    </row>
    <row r="235" spans="7:8" x14ac:dyDescent="0.25">
      <c r="G235" t="s">
        <v>3607</v>
      </c>
      <c r="H235" s="14">
        <v>3978372.0771160801</v>
      </c>
    </row>
    <row r="236" spans="7:8" x14ac:dyDescent="0.25">
      <c r="G236" t="s">
        <v>3607</v>
      </c>
      <c r="H236" s="14">
        <v>4742911.4544495698</v>
      </c>
    </row>
    <row r="237" spans="7:8" x14ac:dyDescent="0.25">
      <c r="G237" t="s">
        <v>3607</v>
      </c>
      <c r="H237" s="14">
        <v>6939270.4049108699</v>
      </c>
    </row>
    <row r="238" spans="7:8" x14ac:dyDescent="0.25">
      <c r="G238" t="s">
        <v>3629</v>
      </c>
      <c r="H238" s="14">
        <v>96143097.5378647</v>
      </c>
    </row>
    <row r="239" spans="7:8" x14ac:dyDescent="0.25">
      <c r="G239" t="s">
        <v>3651</v>
      </c>
      <c r="H239" s="14">
        <v>1044720.05755823</v>
      </c>
    </row>
    <row r="240" spans="7:8" x14ac:dyDescent="0.25">
      <c r="G240" t="s">
        <v>3651</v>
      </c>
      <c r="H240" s="14">
        <v>1505188.31667492</v>
      </c>
    </row>
    <row r="241" spans="7:8" x14ac:dyDescent="0.25">
      <c r="G241" t="s">
        <v>3651</v>
      </c>
      <c r="H241" s="14">
        <v>6735584.5659794696</v>
      </c>
    </row>
    <row r="242" spans="7:8" x14ac:dyDescent="0.25">
      <c r="G242" t="s">
        <v>3651</v>
      </c>
      <c r="H242" s="14">
        <v>1726647.6038462799</v>
      </c>
    </row>
    <row r="243" spans="7:8" x14ac:dyDescent="0.25">
      <c r="G243" t="s">
        <v>3651</v>
      </c>
      <c r="H243" s="14">
        <v>1124164.3827438799</v>
      </c>
    </row>
    <row r="244" spans="7:8" x14ac:dyDescent="0.25">
      <c r="G244" t="s">
        <v>3651</v>
      </c>
      <c r="H244" s="14">
        <v>1671110.9721661999</v>
      </c>
    </row>
    <row r="245" spans="7:8" x14ac:dyDescent="0.25">
      <c r="G245" t="s">
        <v>3651</v>
      </c>
      <c r="H245" s="14">
        <v>11515947.858116699</v>
      </c>
    </row>
    <row r="246" spans="7:8" x14ac:dyDescent="0.25">
      <c r="G246" t="s">
        <v>3651</v>
      </c>
      <c r="H246" s="14">
        <v>3042951.0275790198</v>
      </c>
    </row>
    <row r="247" spans="7:8" x14ac:dyDescent="0.25">
      <c r="G247" t="s">
        <v>3651</v>
      </c>
      <c r="H247" s="14">
        <v>7010859.47569062</v>
      </c>
    </row>
    <row r="248" spans="7:8" x14ac:dyDescent="0.25">
      <c r="G248" t="s">
        <v>3651</v>
      </c>
      <c r="H248" s="14">
        <v>10866711.938280201</v>
      </c>
    </row>
    <row r="249" spans="7:8" x14ac:dyDescent="0.25">
      <c r="G249" t="s">
        <v>3651</v>
      </c>
      <c r="H249" s="14">
        <v>3338086.7047878602</v>
      </c>
    </row>
    <row r="250" spans="7:8" x14ac:dyDescent="0.25">
      <c r="G250" t="s">
        <v>3651</v>
      </c>
      <c r="H250" s="14">
        <v>3554650.7084040702</v>
      </c>
    </row>
    <row r="251" spans="7:8" x14ac:dyDescent="0.25">
      <c r="G251" t="s">
        <v>3651</v>
      </c>
      <c r="H251" s="14">
        <v>2095680.2270722799</v>
      </c>
    </row>
    <row r="252" spans="7:8" x14ac:dyDescent="0.25">
      <c r="G252" t="s">
        <v>3575</v>
      </c>
      <c r="H252" s="14">
        <v>1634158.5504628699</v>
      </c>
    </row>
    <row r="253" spans="7:8" x14ac:dyDescent="0.25">
      <c r="G253" t="s">
        <v>3575</v>
      </c>
      <c r="H253" s="14">
        <v>1761551.4572761201</v>
      </c>
    </row>
    <row r="254" spans="7:8" x14ac:dyDescent="0.25">
      <c r="G254" t="s">
        <v>3575</v>
      </c>
      <c r="H254" s="14">
        <v>2918811.1523539298</v>
      </c>
    </row>
    <row r="255" spans="7:8" x14ac:dyDescent="0.25">
      <c r="G255" t="s">
        <v>3575</v>
      </c>
      <c r="H255" s="14">
        <v>7725015.5305120097</v>
      </c>
    </row>
    <row r="256" spans="7:8" x14ac:dyDescent="0.25">
      <c r="G256" t="s">
        <v>3575</v>
      </c>
      <c r="H256" s="14">
        <v>4082284.7601130898</v>
      </c>
    </row>
    <row r="257" spans="7:8" x14ac:dyDescent="0.25">
      <c r="G257" t="s">
        <v>3575</v>
      </c>
      <c r="H257" s="14">
        <v>1500100.8409345199</v>
      </c>
    </row>
    <row r="258" spans="7:8" x14ac:dyDescent="0.25">
      <c r="G258" t="s">
        <v>3575</v>
      </c>
      <c r="H258" s="14">
        <v>7246365.1908928603</v>
      </c>
    </row>
    <row r="259" spans="7:8" x14ac:dyDescent="0.25">
      <c r="G259" t="s">
        <v>3575</v>
      </c>
      <c r="H259" s="14">
        <v>3030663.92014297</v>
      </c>
    </row>
    <row r="260" spans="7:8" x14ac:dyDescent="0.25">
      <c r="G260" t="s">
        <v>3575</v>
      </c>
      <c r="H260" s="14">
        <v>3308780.1313072601</v>
      </c>
    </row>
    <row r="261" spans="7:8" x14ac:dyDescent="0.25">
      <c r="G261" t="s">
        <v>3575</v>
      </c>
      <c r="H261" s="14">
        <v>3391879.3589102798</v>
      </c>
    </row>
    <row r="262" spans="7:8" x14ac:dyDescent="0.25">
      <c r="G262" t="s">
        <v>3575</v>
      </c>
      <c r="H262" s="14">
        <v>6833212.8304856</v>
      </c>
    </row>
    <row r="263" spans="7:8" x14ac:dyDescent="0.25">
      <c r="G263" t="s">
        <v>3575</v>
      </c>
      <c r="H263" s="14">
        <v>2284666.6557715498</v>
      </c>
    </row>
    <row r="264" spans="7:8" x14ac:dyDescent="0.25">
      <c r="G264" t="s">
        <v>3575</v>
      </c>
      <c r="H264" s="14">
        <v>300614.80211013102</v>
      </c>
    </row>
    <row r="265" spans="7:8" x14ac:dyDescent="0.25">
      <c r="G265" t="s">
        <v>3575</v>
      </c>
      <c r="H265" s="14">
        <v>765029.63600034697</v>
      </c>
    </row>
    <row r="266" spans="7:8" x14ac:dyDescent="0.25">
      <c r="G266" t="s">
        <v>3575</v>
      </c>
      <c r="H266" s="14">
        <v>139431.67628013401</v>
      </c>
    </row>
    <row r="267" spans="7:8" x14ac:dyDescent="0.25">
      <c r="G267" t="s">
        <v>3575</v>
      </c>
      <c r="H267" s="14">
        <v>3917366.5384664298</v>
      </c>
    </row>
    <row r="268" spans="7:8" x14ac:dyDescent="0.25">
      <c r="G268" t="s">
        <v>4089</v>
      </c>
      <c r="H268" s="14">
        <v>1048979.3811296499</v>
      </c>
    </row>
    <row r="269" spans="7:8" x14ac:dyDescent="0.25">
      <c r="G269" t="s">
        <v>4027</v>
      </c>
      <c r="H269" s="14">
        <v>2689059.3878087499</v>
      </c>
    </row>
    <row r="270" spans="7:8" x14ac:dyDescent="0.25">
      <c r="G270" t="s">
        <v>4027</v>
      </c>
      <c r="H270" s="14">
        <v>872448.38759537996</v>
      </c>
    </row>
    <row r="271" spans="7:8" x14ac:dyDescent="0.25">
      <c r="G271" t="s">
        <v>3699</v>
      </c>
      <c r="H271" s="14">
        <v>890151.55471948104</v>
      </c>
    </row>
    <row r="272" spans="7:8" x14ac:dyDescent="0.25">
      <c r="G272" t="s">
        <v>4063</v>
      </c>
      <c r="H272" s="14">
        <v>408451.17795376002</v>
      </c>
    </row>
    <row r="273" spans="7:8" x14ac:dyDescent="0.25">
      <c r="G273" t="s">
        <v>4063</v>
      </c>
      <c r="H273" s="14">
        <v>325750.87745219801</v>
      </c>
    </row>
    <row r="274" spans="7:8" x14ac:dyDescent="0.25">
      <c r="G274" t="s">
        <v>4063</v>
      </c>
      <c r="H274" s="14">
        <v>14953202.884824701</v>
      </c>
    </row>
    <row r="275" spans="7:8" x14ac:dyDescent="0.25">
      <c r="G275" t="s">
        <v>3673</v>
      </c>
      <c r="H275" s="14">
        <v>227915.24376616901</v>
      </c>
    </row>
    <row r="276" spans="7:8" x14ac:dyDescent="0.25">
      <c r="G276" t="s">
        <v>3673</v>
      </c>
      <c r="H276" s="14">
        <v>72077.035544895596</v>
      </c>
    </row>
    <row r="277" spans="7:8" x14ac:dyDescent="0.25">
      <c r="G277" t="s">
        <v>3693</v>
      </c>
      <c r="H277" s="14">
        <v>20409829.8604775</v>
      </c>
    </row>
    <row r="278" spans="7:8" x14ac:dyDescent="0.25">
      <c r="G278" t="s">
        <v>3693</v>
      </c>
      <c r="H278" s="14">
        <v>116405118.947822</v>
      </c>
    </row>
    <row r="279" spans="7:8" x14ac:dyDescent="0.25">
      <c r="G279" t="s">
        <v>3701</v>
      </c>
      <c r="H279" s="14">
        <v>531828.01004029403</v>
      </c>
    </row>
    <row r="280" spans="7:8" x14ac:dyDescent="0.25">
      <c r="G280" t="s">
        <v>3701</v>
      </c>
      <c r="H280" s="14">
        <v>7785798.3663283102</v>
      </c>
    </row>
    <row r="281" spans="7:8" x14ac:dyDescent="0.25">
      <c r="G281" t="s">
        <v>3667</v>
      </c>
      <c r="H281" s="14">
        <v>143646951.29225701</v>
      </c>
    </row>
    <row r="282" spans="7:8" x14ac:dyDescent="0.25">
      <c r="G282" t="s">
        <v>3667</v>
      </c>
      <c r="H282" s="14">
        <v>9090796.7676650807</v>
      </c>
    </row>
    <row r="283" spans="7:8" x14ac:dyDescent="0.25">
      <c r="G283" t="s">
        <v>3667</v>
      </c>
      <c r="H283" s="14">
        <v>47680025.943503499</v>
      </c>
    </row>
    <row r="284" spans="7:8" x14ac:dyDescent="0.25">
      <c r="G284" t="s">
        <v>3727</v>
      </c>
      <c r="H284" s="14">
        <v>23019947.018816199</v>
      </c>
    </row>
    <row r="285" spans="7:8" x14ac:dyDescent="0.25">
      <c r="G285" t="s">
        <v>3727</v>
      </c>
      <c r="H285" s="14">
        <v>2266924.18227281</v>
      </c>
    </row>
    <row r="286" spans="7:8" x14ac:dyDescent="0.25">
      <c r="G286" t="s">
        <v>3727</v>
      </c>
      <c r="H286" s="14">
        <v>9785607.9552594908</v>
      </c>
    </row>
    <row r="287" spans="7:8" x14ac:dyDescent="0.25">
      <c r="G287" t="s">
        <v>3727</v>
      </c>
      <c r="H287" s="14">
        <v>69277.060766152499</v>
      </c>
    </row>
    <row r="288" spans="7:8" x14ac:dyDescent="0.25">
      <c r="G288" t="s">
        <v>4061</v>
      </c>
      <c r="H288" s="14">
        <v>938655.43627664703</v>
      </c>
    </row>
    <row r="289" spans="7:8" x14ac:dyDescent="0.25">
      <c r="G289" t="s">
        <v>4061</v>
      </c>
      <c r="H289" s="14">
        <v>699756.11931039602</v>
      </c>
    </row>
    <row r="290" spans="7:8" x14ac:dyDescent="0.25">
      <c r="G290" t="s">
        <v>4061</v>
      </c>
      <c r="H290" s="14">
        <v>23679468.267380599</v>
      </c>
    </row>
    <row r="291" spans="7:8" x14ac:dyDescent="0.25">
      <c r="G291" t="s">
        <v>3813</v>
      </c>
      <c r="H291" s="14">
        <v>500325.96892074298</v>
      </c>
    </row>
    <row r="292" spans="7:8" x14ac:dyDescent="0.25">
      <c r="G292" t="s">
        <v>3633</v>
      </c>
      <c r="H292" s="14">
        <v>193107.63084936299</v>
      </c>
    </row>
    <row r="293" spans="7:8" x14ac:dyDescent="0.25">
      <c r="G293" t="s">
        <v>3633</v>
      </c>
      <c r="H293" s="14">
        <v>89859.372768433503</v>
      </c>
    </row>
    <row r="294" spans="7:8" x14ac:dyDescent="0.25">
      <c r="G294" t="s">
        <v>3637</v>
      </c>
      <c r="H294" s="14">
        <v>2134020.2682777299</v>
      </c>
    </row>
    <row r="295" spans="7:8" x14ac:dyDescent="0.25">
      <c r="G295" t="s">
        <v>3637</v>
      </c>
      <c r="H295" s="14">
        <v>3171587.4467944698</v>
      </c>
    </row>
    <row r="296" spans="7:8" x14ac:dyDescent="0.25">
      <c r="G296" t="s">
        <v>3637</v>
      </c>
      <c r="H296" s="14">
        <v>4625288.4924002597</v>
      </c>
    </row>
    <row r="297" spans="7:8" x14ac:dyDescent="0.25">
      <c r="G297" t="s">
        <v>3905</v>
      </c>
      <c r="H297" s="14">
        <v>590881880.12008202</v>
      </c>
    </row>
    <row r="298" spans="7:8" x14ac:dyDescent="0.25">
      <c r="G298" t="s">
        <v>3905</v>
      </c>
      <c r="H298" s="14">
        <v>13612.5453581319</v>
      </c>
    </row>
    <row r="299" spans="7:8" x14ac:dyDescent="0.25">
      <c r="G299" t="s">
        <v>3705</v>
      </c>
      <c r="H299" s="14">
        <v>29756996.644166999</v>
      </c>
    </row>
    <row r="300" spans="7:8" x14ac:dyDescent="0.25">
      <c r="G300" t="s">
        <v>3849</v>
      </c>
      <c r="H300" s="14">
        <v>551241.44625959895</v>
      </c>
    </row>
    <row r="301" spans="7:8" x14ac:dyDescent="0.25">
      <c r="G301" t="s">
        <v>4075</v>
      </c>
      <c r="H301" s="14">
        <v>4738585.4944550004</v>
      </c>
    </row>
    <row r="302" spans="7:8" x14ac:dyDescent="0.25">
      <c r="G302" t="s">
        <v>3569</v>
      </c>
      <c r="H302" s="14">
        <v>2543009.8012225302</v>
      </c>
    </row>
    <row r="303" spans="7:8" x14ac:dyDescent="0.25">
      <c r="G303" t="s">
        <v>3569</v>
      </c>
      <c r="H303" s="14">
        <v>849371.85364359897</v>
      </c>
    </row>
    <row r="304" spans="7:8" x14ac:dyDescent="0.25">
      <c r="G304" t="s">
        <v>3569</v>
      </c>
      <c r="H304" s="14">
        <v>9379709.3928002492</v>
      </c>
    </row>
    <row r="305" spans="7:8" x14ac:dyDescent="0.25">
      <c r="G305" t="s">
        <v>3569</v>
      </c>
      <c r="H305" s="14">
        <v>104767.448181517</v>
      </c>
    </row>
    <row r="306" spans="7:8" x14ac:dyDescent="0.25">
      <c r="G306" t="s">
        <v>3569</v>
      </c>
      <c r="H306" s="14">
        <v>1114944.58611021</v>
      </c>
    </row>
    <row r="307" spans="7:8" x14ac:dyDescent="0.25">
      <c r="G307" t="s">
        <v>3569</v>
      </c>
      <c r="H307" s="14">
        <v>611685.97451127204</v>
      </c>
    </row>
    <row r="308" spans="7:8" x14ac:dyDescent="0.25">
      <c r="G308" t="s">
        <v>3557</v>
      </c>
      <c r="H308" s="14">
        <v>944363.74336979701</v>
      </c>
    </row>
    <row r="309" spans="7:8" x14ac:dyDescent="0.25">
      <c r="G309" t="s">
        <v>3557</v>
      </c>
      <c r="H309" s="14">
        <v>999788.575914482</v>
      </c>
    </row>
    <row r="310" spans="7:8" x14ac:dyDescent="0.25">
      <c r="G310" t="s">
        <v>3557</v>
      </c>
      <c r="H310" s="14">
        <v>269335.84192291502</v>
      </c>
    </row>
    <row r="311" spans="7:8" x14ac:dyDescent="0.25">
      <c r="G311" t="s">
        <v>3557</v>
      </c>
      <c r="H311" s="14">
        <v>613837.44382534001</v>
      </c>
    </row>
    <row r="312" spans="7:8" x14ac:dyDescent="0.25">
      <c r="G312" t="s">
        <v>3557</v>
      </c>
      <c r="H312" s="14">
        <v>1025379.2587755501</v>
      </c>
    </row>
    <row r="313" spans="7:8" x14ac:dyDescent="0.25">
      <c r="G313" t="s">
        <v>3557</v>
      </c>
      <c r="H313" s="14">
        <v>348268.75961610401</v>
      </c>
    </row>
    <row r="314" spans="7:8" x14ac:dyDescent="0.25">
      <c r="G314" t="s">
        <v>3557</v>
      </c>
      <c r="H314" s="14">
        <v>699842.90423833102</v>
      </c>
    </row>
    <row r="315" spans="7:8" x14ac:dyDescent="0.25">
      <c r="G315" t="s">
        <v>3557</v>
      </c>
      <c r="H315" s="14">
        <v>306783.47048713203</v>
      </c>
    </row>
    <row r="316" spans="7:8" x14ac:dyDescent="0.25">
      <c r="G316" t="s">
        <v>3557</v>
      </c>
      <c r="H316" s="14">
        <v>153435.236505587</v>
      </c>
    </row>
    <row r="317" spans="7:8" x14ac:dyDescent="0.25">
      <c r="G317" t="s">
        <v>3557</v>
      </c>
      <c r="H317" s="14">
        <v>1494418.92996985</v>
      </c>
    </row>
    <row r="318" spans="7:8" x14ac:dyDescent="0.25">
      <c r="G318" t="s">
        <v>3557</v>
      </c>
      <c r="H318" s="14">
        <v>5302147.5094851498</v>
      </c>
    </row>
    <row r="319" spans="7:8" x14ac:dyDescent="0.25">
      <c r="G319" t="s">
        <v>3557</v>
      </c>
      <c r="H319" s="14">
        <v>85236.669372502307</v>
      </c>
    </row>
    <row r="320" spans="7:8" x14ac:dyDescent="0.25">
      <c r="G320" t="s">
        <v>3557</v>
      </c>
      <c r="H320" s="14">
        <v>178846.35713199899</v>
      </c>
    </row>
    <row r="321" spans="7:8" x14ac:dyDescent="0.25">
      <c r="G321" t="s">
        <v>3557</v>
      </c>
      <c r="H321" s="14">
        <v>53479047.490619302</v>
      </c>
    </row>
    <row r="322" spans="7:8" x14ac:dyDescent="0.25">
      <c r="G322" t="s">
        <v>3557</v>
      </c>
      <c r="H322" s="14">
        <v>610533.68939860899</v>
      </c>
    </row>
    <row r="323" spans="7:8" x14ac:dyDescent="0.25">
      <c r="G323" t="s">
        <v>3557</v>
      </c>
      <c r="H323" s="14">
        <v>4789117.8898736304</v>
      </c>
    </row>
    <row r="324" spans="7:8" x14ac:dyDescent="0.25">
      <c r="G324" t="s">
        <v>3799</v>
      </c>
      <c r="H324" s="14">
        <v>2944289.8026248901</v>
      </c>
    </row>
    <row r="325" spans="7:8" x14ac:dyDescent="0.25">
      <c r="G325" t="s">
        <v>4073</v>
      </c>
      <c r="H325" s="14">
        <v>9434935.87865692</v>
      </c>
    </row>
    <row r="326" spans="7:8" x14ac:dyDescent="0.25">
      <c r="G326" t="s">
        <v>3997</v>
      </c>
      <c r="H326" s="14">
        <v>9656606.6979026496</v>
      </c>
    </row>
    <row r="327" spans="7:8" x14ac:dyDescent="0.25">
      <c r="G327" t="s">
        <v>3737</v>
      </c>
      <c r="H327" s="14">
        <v>3666737.7815547502</v>
      </c>
    </row>
    <row r="328" spans="7:8" x14ac:dyDescent="0.25">
      <c r="G328" t="s">
        <v>3853</v>
      </c>
      <c r="H328" s="14">
        <v>1512605.4607925999</v>
      </c>
    </row>
    <row r="329" spans="7:8" x14ac:dyDescent="0.25">
      <c r="G329" t="s">
        <v>3853</v>
      </c>
      <c r="H329" s="14">
        <v>1148498.53523015</v>
      </c>
    </row>
    <row r="330" spans="7:8" x14ac:dyDescent="0.25">
      <c r="G330" t="s">
        <v>3853</v>
      </c>
      <c r="H330" s="14">
        <v>1423240.9445440001</v>
      </c>
    </row>
    <row r="331" spans="7:8" x14ac:dyDescent="0.25">
      <c r="G331" t="s">
        <v>3917</v>
      </c>
      <c r="H331" s="14">
        <v>11577158.3948295</v>
      </c>
    </row>
    <row r="332" spans="7:8" x14ac:dyDescent="0.25">
      <c r="G332" t="s">
        <v>4043</v>
      </c>
      <c r="H332" s="14">
        <v>2441453.82767371</v>
      </c>
    </row>
    <row r="333" spans="7:8" x14ac:dyDescent="0.25">
      <c r="G333" t="s">
        <v>3783</v>
      </c>
      <c r="H333" s="14">
        <v>473136.392801359</v>
      </c>
    </row>
    <row r="334" spans="7:8" x14ac:dyDescent="0.25">
      <c r="G334" t="s">
        <v>3783</v>
      </c>
      <c r="H334" s="14">
        <v>243772.715384082</v>
      </c>
    </row>
    <row r="335" spans="7:8" x14ac:dyDescent="0.25">
      <c r="G335" t="s">
        <v>3783</v>
      </c>
      <c r="H335" s="14">
        <v>548638.78390653897</v>
      </c>
    </row>
    <row r="336" spans="7:8" x14ac:dyDescent="0.25">
      <c r="G336" t="s">
        <v>3783</v>
      </c>
      <c r="H336" s="14">
        <v>93016.293626641607</v>
      </c>
    </row>
    <row r="337" spans="7:8" x14ac:dyDescent="0.25">
      <c r="G337" t="s">
        <v>4039</v>
      </c>
      <c r="H337" s="14">
        <v>1280854.8157810599</v>
      </c>
    </row>
    <row r="338" spans="7:8" x14ac:dyDescent="0.25">
      <c r="G338" t="s">
        <v>4039</v>
      </c>
      <c r="H338" s="14">
        <v>7375281.67227773</v>
      </c>
    </row>
    <row r="339" spans="7:8" x14ac:dyDescent="0.25">
      <c r="G339" t="s">
        <v>4001</v>
      </c>
      <c r="H339" s="14">
        <v>177964.04700399601</v>
      </c>
    </row>
    <row r="340" spans="7:8" x14ac:dyDescent="0.25">
      <c r="G340" t="s">
        <v>3973</v>
      </c>
      <c r="H340" s="14">
        <v>866279.39200341597</v>
      </c>
    </row>
    <row r="341" spans="7:8" x14ac:dyDescent="0.25">
      <c r="G341" t="s">
        <v>3641</v>
      </c>
      <c r="H341" s="14">
        <v>1965686.4990198901</v>
      </c>
    </row>
    <row r="342" spans="7:8" x14ac:dyDescent="0.25">
      <c r="G342" t="s">
        <v>3641</v>
      </c>
      <c r="H342" s="14">
        <v>1356191.0806839101</v>
      </c>
    </row>
    <row r="343" spans="7:8" x14ac:dyDescent="0.25">
      <c r="G343" t="s">
        <v>3641</v>
      </c>
      <c r="H343" s="14">
        <v>2602181.5944081699</v>
      </c>
    </row>
    <row r="344" spans="7:8" x14ac:dyDescent="0.25">
      <c r="G344" t="s">
        <v>3679</v>
      </c>
      <c r="H344" s="14">
        <v>2668396.8003929602</v>
      </c>
    </row>
    <row r="345" spans="7:8" x14ac:dyDescent="0.25">
      <c r="G345" t="s">
        <v>3679</v>
      </c>
      <c r="H345" s="14">
        <v>3365078.9999489798</v>
      </c>
    </row>
    <row r="346" spans="7:8" x14ac:dyDescent="0.25">
      <c r="G346" t="s">
        <v>3679</v>
      </c>
      <c r="H346" s="14">
        <v>792136.82839391904</v>
      </c>
    </row>
    <row r="347" spans="7:8" x14ac:dyDescent="0.25">
      <c r="G347" t="s">
        <v>3679</v>
      </c>
      <c r="H347" s="14">
        <v>848255.72908869095</v>
      </c>
    </row>
    <row r="348" spans="7:8" x14ac:dyDescent="0.25">
      <c r="G348" t="s">
        <v>3679</v>
      </c>
      <c r="H348" s="14">
        <v>12501.071587332201</v>
      </c>
    </row>
    <row r="349" spans="7:8" x14ac:dyDescent="0.25">
      <c r="G349" t="s">
        <v>3919</v>
      </c>
      <c r="H349" s="14">
        <v>72245.120219721706</v>
      </c>
    </row>
    <row r="350" spans="7:8" x14ac:dyDescent="0.25">
      <c r="G350" t="s">
        <v>3909</v>
      </c>
      <c r="H350" s="14">
        <v>299178571.62216699</v>
      </c>
    </row>
    <row r="351" spans="7:8" x14ac:dyDescent="0.25">
      <c r="G351" t="s">
        <v>3909</v>
      </c>
      <c r="H351" s="14">
        <v>8952.6684491891301</v>
      </c>
    </row>
    <row r="352" spans="7:8" x14ac:dyDescent="0.25">
      <c r="G352" t="s">
        <v>3779</v>
      </c>
      <c r="H352" s="14">
        <v>503207.06561138999</v>
      </c>
    </row>
    <row r="353" spans="7:8" x14ac:dyDescent="0.25">
      <c r="G353" t="s">
        <v>3915</v>
      </c>
      <c r="H353" s="14">
        <v>7272556.9721404603</v>
      </c>
    </row>
    <row r="354" spans="7:8" x14ac:dyDescent="0.25">
      <c r="G354" t="s">
        <v>3675</v>
      </c>
      <c r="H354" s="14">
        <v>137071.25939842299</v>
      </c>
    </row>
    <row r="355" spans="7:8" x14ac:dyDescent="0.25">
      <c r="G355" t="s">
        <v>3675</v>
      </c>
      <c r="H355" s="14">
        <v>37955.933281718397</v>
      </c>
    </row>
    <row r="356" spans="7:8" x14ac:dyDescent="0.25">
      <c r="G356" t="s">
        <v>3631</v>
      </c>
      <c r="H356" s="14">
        <v>87643.023965794404</v>
      </c>
    </row>
    <row r="357" spans="7:8" x14ac:dyDescent="0.25">
      <c r="G357" t="s">
        <v>3631</v>
      </c>
      <c r="H357" s="14">
        <v>54963.954590679801</v>
      </c>
    </row>
    <row r="358" spans="7:8" x14ac:dyDescent="0.25">
      <c r="G358" t="s">
        <v>3697</v>
      </c>
      <c r="H358" s="14">
        <v>364732.53972936998</v>
      </c>
    </row>
    <row r="359" spans="7:8" x14ac:dyDescent="0.25">
      <c r="G359" t="s">
        <v>3781</v>
      </c>
      <c r="H359" s="14">
        <v>194154.69881959699</v>
      </c>
    </row>
    <row r="360" spans="7:8" x14ac:dyDescent="0.25">
      <c r="G360" t="s">
        <v>3717</v>
      </c>
      <c r="H360" s="14">
        <v>12759551.7461983</v>
      </c>
    </row>
    <row r="361" spans="7:8" x14ac:dyDescent="0.25">
      <c r="G361" t="s">
        <v>3719</v>
      </c>
      <c r="H361" s="14">
        <v>317867.90979481401</v>
      </c>
    </row>
    <row r="362" spans="7:8" x14ac:dyDescent="0.25">
      <c r="G362" t="s">
        <v>3713</v>
      </c>
      <c r="H362" s="14">
        <v>730423.98062924296</v>
      </c>
    </row>
    <row r="363" spans="7:8" x14ac:dyDescent="0.25">
      <c r="G363" t="s">
        <v>3709</v>
      </c>
      <c r="H363" s="14">
        <v>671555.35506306903</v>
      </c>
    </row>
    <row r="364" spans="7:8" x14ac:dyDescent="0.25">
      <c r="G364" t="s">
        <v>3707</v>
      </c>
      <c r="H364" s="14">
        <v>1566157.7181140501</v>
      </c>
    </row>
    <row r="365" spans="7:8" x14ac:dyDescent="0.25">
      <c r="G365" t="s">
        <v>3781</v>
      </c>
      <c r="H365" s="14">
        <v>132901.82901938699</v>
      </c>
    </row>
    <row r="366" spans="7:8" x14ac:dyDescent="0.25">
      <c r="G366" t="s">
        <v>3619</v>
      </c>
      <c r="H366" s="14">
        <v>5031335.49767619</v>
      </c>
    </row>
    <row r="367" spans="7:8" x14ac:dyDescent="0.25">
      <c r="G367" t="s">
        <v>3619</v>
      </c>
      <c r="H367" s="14">
        <v>9029751.1803124696</v>
      </c>
    </row>
    <row r="368" spans="7:8" x14ac:dyDescent="0.25">
      <c r="G368" t="s">
        <v>3977</v>
      </c>
      <c r="H368" s="14">
        <v>363431.60618717602</v>
      </c>
    </row>
    <row r="369" spans="7:8" x14ac:dyDescent="0.25">
      <c r="G369" t="s">
        <v>3995</v>
      </c>
      <c r="H369" s="14">
        <v>5550587.4959353702</v>
      </c>
    </row>
    <row r="370" spans="7:8" x14ac:dyDescent="0.25">
      <c r="G370" t="s">
        <v>3785</v>
      </c>
      <c r="H370" s="14">
        <v>1114582.2326652701</v>
      </c>
    </row>
    <row r="371" spans="7:8" x14ac:dyDescent="0.25">
      <c r="G371" t="s">
        <v>3787</v>
      </c>
      <c r="H371" s="14">
        <v>570291.326413795</v>
      </c>
    </row>
    <row r="372" spans="7:8" x14ac:dyDescent="0.25">
      <c r="G372" t="s">
        <v>3619</v>
      </c>
      <c r="H372" s="14">
        <v>5497488.0853180299</v>
      </c>
    </row>
    <row r="373" spans="7:8" x14ac:dyDescent="0.25">
      <c r="G373" t="s">
        <v>3739</v>
      </c>
      <c r="H373" s="14">
        <v>333805.69541599602</v>
      </c>
    </row>
    <row r="374" spans="7:8" x14ac:dyDescent="0.25">
      <c r="G374" t="s">
        <v>3741</v>
      </c>
      <c r="H374" s="14">
        <v>666915.59280749096</v>
      </c>
    </row>
    <row r="375" spans="7:8" x14ac:dyDescent="0.25">
      <c r="G375" t="s">
        <v>3619</v>
      </c>
      <c r="H375" s="14">
        <v>739296.31707953895</v>
      </c>
    </row>
    <row r="376" spans="7:8" x14ac:dyDescent="0.25">
      <c r="G376" t="s">
        <v>3591</v>
      </c>
      <c r="H376" s="14">
        <v>1805442.0043240699</v>
      </c>
    </row>
    <row r="377" spans="7:8" x14ac:dyDescent="0.25">
      <c r="G377" t="s">
        <v>3589</v>
      </c>
      <c r="H377" s="14">
        <v>4904893.4232971696</v>
      </c>
    </row>
    <row r="378" spans="7:8" x14ac:dyDescent="0.25">
      <c r="G378" t="s">
        <v>3927</v>
      </c>
      <c r="H378" s="14">
        <v>1875483.3896550001</v>
      </c>
    </row>
    <row r="379" spans="7:8" x14ac:dyDescent="0.25">
      <c r="G379" t="s">
        <v>3929</v>
      </c>
      <c r="H379" s="14">
        <v>3884008.8583790301</v>
      </c>
    </row>
    <row r="380" spans="7:8" x14ac:dyDescent="0.25">
      <c r="G380" t="s">
        <v>3787</v>
      </c>
      <c r="H380" s="14">
        <v>916100.05982695799</v>
      </c>
    </row>
    <row r="381" spans="7:8" x14ac:dyDescent="0.25">
      <c r="G381" t="s">
        <v>3785</v>
      </c>
      <c r="H381" s="14">
        <v>2337670.9194521499</v>
      </c>
    </row>
    <row r="382" spans="7:8" x14ac:dyDescent="0.25">
      <c r="G382" t="s">
        <v>4045</v>
      </c>
      <c r="H382" s="14">
        <v>1235234.95642757</v>
      </c>
    </row>
    <row r="383" spans="7:8" x14ac:dyDescent="0.25">
      <c r="G383" t="s">
        <v>3577</v>
      </c>
      <c r="H383" s="14">
        <v>2646241.03551772</v>
      </c>
    </row>
    <row r="384" spans="7:8" x14ac:dyDescent="0.25">
      <c r="G384" t="s">
        <v>3577</v>
      </c>
      <c r="H384" s="14">
        <v>455027.297254059</v>
      </c>
    </row>
    <row r="385" spans="7:8" x14ac:dyDescent="0.25">
      <c r="G385" t="s">
        <v>3881</v>
      </c>
      <c r="H385" s="14">
        <v>106987.80505018101</v>
      </c>
    </row>
    <row r="386" spans="7:8" x14ac:dyDescent="0.25">
      <c r="G386" t="s">
        <v>3879</v>
      </c>
      <c r="H386" s="14">
        <v>224689.383553408</v>
      </c>
    </row>
    <row r="387" spans="7:8" x14ac:dyDescent="0.25">
      <c r="G387" t="s">
        <v>3599</v>
      </c>
      <c r="H387" s="14">
        <v>35488.124359841597</v>
      </c>
    </row>
    <row r="388" spans="7:8" x14ac:dyDescent="0.25">
      <c r="G388" t="s">
        <v>3597</v>
      </c>
      <c r="H388" s="14">
        <v>71375.234988667202</v>
      </c>
    </row>
    <row r="389" spans="7:8" x14ac:dyDescent="0.25">
      <c r="G389" t="s">
        <v>3927</v>
      </c>
      <c r="H389" s="14">
        <v>11998106.675584201</v>
      </c>
    </row>
    <row r="390" spans="7:8" x14ac:dyDescent="0.25">
      <c r="G390" t="s">
        <v>3929</v>
      </c>
      <c r="H390" s="14">
        <v>23497494.373710699</v>
      </c>
    </row>
    <row r="391" spans="7:8" x14ac:dyDescent="0.25">
      <c r="G391" t="s">
        <v>4085</v>
      </c>
      <c r="H391" s="14">
        <v>7795273.7674540998</v>
      </c>
    </row>
    <row r="392" spans="7:8" x14ac:dyDescent="0.25">
      <c r="G392" t="s">
        <v>4083</v>
      </c>
      <c r="H392" s="14">
        <v>14635960.239124799</v>
      </c>
    </row>
    <row r="393" spans="7:8" x14ac:dyDescent="0.25">
      <c r="G393" t="s">
        <v>4127</v>
      </c>
      <c r="H393" s="14">
        <v>357590.28482360701</v>
      </c>
    </row>
    <row r="394" spans="7:8" x14ac:dyDescent="0.25">
      <c r="G394" t="s">
        <v>4129</v>
      </c>
      <c r="H394" s="14">
        <v>178132.140032492</v>
      </c>
    </row>
    <row r="395" spans="7:8" x14ac:dyDescent="0.25">
      <c r="G395" t="s">
        <v>3901</v>
      </c>
      <c r="H395" s="14">
        <v>44474980.2240922</v>
      </c>
    </row>
    <row r="396" spans="7:8" x14ac:dyDescent="0.25">
      <c r="G396" t="s">
        <v>3911</v>
      </c>
      <c r="H396" s="14">
        <v>22518817.2188728</v>
      </c>
    </row>
    <row r="397" spans="7:8" x14ac:dyDescent="0.25">
      <c r="G397" t="s">
        <v>3669</v>
      </c>
      <c r="H397" s="14">
        <v>187309.58175536501</v>
      </c>
    </row>
    <row r="398" spans="7:8" x14ac:dyDescent="0.25">
      <c r="G398" t="s">
        <v>3671</v>
      </c>
      <c r="H398" s="14">
        <v>415653.19499398</v>
      </c>
    </row>
    <row r="399" spans="7:8" x14ac:dyDescent="0.25">
      <c r="G399" t="s">
        <v>3669</v>
      </c>
      <c r="H399" s="14">
        <v>1879625.0293896899</v>
      </c>
    </row>
    <row r="400" spans="7:8" x14ac:dyDescent="0.25">
      <c r="G400" t="s">
        <v>3671</v>
      </c>
      <c r="H400" s="14">
        <v>5119358.4224576</v>
      </c>
    </row>
    <row r="401" spans="7:8" x14ac:dyDescent="0.25">
      <c r="G401" t="s">
        <v>3817</v>
      </c>
      <c r="H401" s="14">
        <v>258764.99275300399</v>
      </c>
    </row>
    <row r="402" spans="7:8" x14ac:dyDescent="0.25">
      <c r="G402" t="s">
        <v>3761</v>
      </c>
      <c r="H402" s="14">
        <v>4212789.0761278402</v>
      </c>
    </row>
    <row r="403" spans="7:8" x14ac:dyDescent="0.25">
      <c r="G403" t="s">
        <v>3787</v>
      </c>
      <c r="H403" s="14">
        <v>7678449.1977655496</v>
      </c>
    </row>
    <row r="404" spans="7:8" x14ac:dyDescent="0.25">
      <c r="G404" t="s">
        <v>3785</v>
      </c>
      <c r="H404" s="14">
        <v>16763128.782672601</v>
      </c>
    </row>
    <row r="405" spans="7:8" x14ac:dyDescent="0.25">
      <c r="G405" t="s">
        <v>4041</v>
      </c>
      <c r="H405" s="14">
        <v>639464.45300008298</v>
      </c>
    </row>
    <row r="406" spans="7:8" x14ac:dyDescent="0.25">
      <c r="G406" t="s">
        <v>3785</v>
      </c>
      <c r="H406" s="14">
        <v>3570861.07498611</v>
      </c>
    </row>
    <row r="407" spans="7:8" x14ac:dyDescent="0.25">
      <c r="G407" t="s">
        <v>3787</v>
      </c>
      <c r="H407" s="14">
        <v>1929309.3790071199</v>
      </c>
    </row>
    <row r="408" spans="7:8" x14ac:dyDescent="0.25">
      <c r="G408" t="s">
        <v>3647</v>
      </c>
      <c r="H408" s="14">
        <v>50597596.371038601</v>
      </c>
    </row>
    <row r="409" spans="7:8" x14ac:dyDescent="0.25">
      <c r="G409" t="s">
        <v>3901</v>
      </c>
      <c r="H409" s="14">
        <v>3403.13633953299</v>
      </c>
    </row>
    <row r="410" spans="7:8" x14ac:dyDescent="0.25">
      <c r="G410" t="s">
        <v>3645</v>
      </c>
      <c r="H410" s="14">
        <v>101111276.145835</v>
      </c>
    </row>
    <row r="411" spans="7:8" x14ac:dyDescent="0.25">
      <c r="G411" t="s">
        <v>3911</v>
      </c>
      <c r="H411" s="14">
        <v>2238.1671122972798</v>
      </c>
    </row>
    <row r="412" spans="7:8" x14ac:dyDescent="0.25">
      <c r="G412" t="s">
        <v>3599</v>
      </c>
      <c r="H412" s="14">
        <v>72080.670070457898</v>
      </c>
    </row>
    <row r="413" spans="7:8" x14ac:dyDescent="0.25">
      <c r="G413" t="s">
        <v>3597</v>
      </c>
      <c r="H413" s="14">
        <v>179616.14536846901</v>
      </c>
    </row>
    <row r="414" spans="7:8" x14ac:dyDescent="0.25">
      <c r="G414" t="s">
        <v>3961</v>
      </c>
      <c r="H414" s="14">
        <v>1824130.5227403899</v>
      </c>
    </row>
    <row r="415" spans="7:8" x14ac:dyDescent="0.25">
      <c r="G415" t="s">
        <v>3963</v>
      </c>
      <c r="H415" s="14">
        <v>875215.282672634</v>
      </c>
    </row>
    <row r="416" spans="7:8" x14ac:dyDescent="0.25">
      <c r="G416" t="s">
        <v>3719</v>
      </c>
      <c r="H416" s="14">
        <v>1240265.4039600999</v>
      </c>
    </row>
    <row r="417" spans="7:8" x14ac:dyDescent="0.25">
      <c r="G417" t="s">
        <v>3713</v>
      </c>
      <c r="H417" s="14">
        <v>2348478.1041099899</v>
      </c>
    </row>
    <row r="418" spans="7:8" x14ac:dyDescent="0.25">
      <c r="G418" t="s">
        <v>3657</v>
      </c>
      <c r="H418" s="14">
        <v>3148431.7003301498</v>
      </c>
    </row>
    <row r="419" spans="7:8" x14ac:dyDescent="0.25">
      <c r="G419" t="s">
        <v>3659</v>
      </c>
      <c r="H419" s="14">
        <v>1467631.6371336801</v>
      </c>
    </row>
    <row r="420" spans="7:8" x14ac:dyDescent="0.25">
      <c r="G420" t="s">
        <v>3655</v>
      </c>
      <c r="H420" s="14">
        <v>4002616.22594235</v>
      </c>
    </row>
    <row r="421" spans="7:8" x14ac:dyDescent="0.25">
      <c r="G421" t="s">
        <v>3653</v>
      </c>
      <c r="H421" s="14">
        <v>7911738.0194383096</v>
      </c>
    </row>
    <row r="422" spans="7:8" x14ac:dyDescent="0.25">
      <c r="G422" t="s">
        <v>3619</v>
      </c>
      <c r="H422" s="14">
        <v>1298012.23696999</v>
      </c>
    </row>
    <row r="423" spans="7:8" x14ac:dyDescent="0.25">
      <c r="G423" t="s">
        <v>3761</v>
      </c>
      <c r="H423" s="14">
        <v>1759243.3174765499</v>
      </c>
    </row>
    <row r="424" spans="7:8" x14ac:dyDescent="0.25">
      <c r="G424" t="s">
        <v>3619</v>
      </c>
      <c r="H424" s="14">
        <v>13420690.7463613</v>
      </c>
    </row>
    <row r="425" spans="7:8" x14ac:dyDescent="0.25">
      <c r="G425" t="s">
        <v>3591</v>
      </c>
      <c r="H425" s="14">
        <v>1099176.87403368</v>
      </c>
    </row>
    <row r="426" spans="7:8" x14ac:dyDescent="0.25">
      <c r="G426" t="s">
        <v>3589</v>
      </c>
      <c r="H426" s="14">
        <v>2112283.04810892</v>
      </c>
    </row>
    <row r="427" spans="7:8" x14ac:dyDescent="0.25">
      <c r="G427" t="s">
        <v>3703</v>
      </c>
      <c r="H427" s="14">
        <v>261122.861081471</v>
      </c>
    </row>
    <row r="428" spans="7:8" x14ac:dyDescent="0.25">
      <c r="G428" t="s">
        <v>3955</v>
      </c>
      <c r="H428" s="14">
        <v>292129.44662302401</v>
      </c>
    </row>
    <row r="429" spans="7:8" x14ac:dyDescent="0.25">
      <c r="G429" t="s">
        <v>3953</v>
      </c>
      <c r="H429" s="14">
        <v>529991.62415082497</v>
      </c>
    </row>
    <row r="430" spans="7:8" x14ac:dyDescent="0.25">
      <c r="G430" t="s">
        <v>3703</v>
      </c>
      <c r="H430" s="14">
        <v>4511540.7504008599</v>
      </c>
    </row>
    <row r="431" spans="7:8" x14ac:dyDescent="0.25">
      <c r="G431" t="s">
        <v>3597</v>
      </c>
      <c r="H431" s="14">
        <v>277607391.20325601</v>
      </c>
    </row>
    <row r="432" spans="7:8" x14ac:dyDescent="0.25">
      <c r="G432" t="s">
        <v>3599</v>
      </c>
      <c r="H432" s="14">
        <v>140316166.23848701</v>
      </c>
    </row>
    <row r="433" spans="7:8" x14ac:dyDescent="0.25">
      <c r="G433" t="s">
        <v>3987</v>
      </c>
      <c r="H433" s="14">
        <v>6807271.7991533699</v>
      </c>
    </row>
    <row r="434" spans="7:8" x14ac:dyDescent="0.25">
      <c r="G434" t="s">
        <v>3985</v>
      </c>
      <c r="H434" s="14">
        <v>3794371.9896145999</v>
      </c>
    </row>
    <row r="435" spans="7:8" x14ac:dyDescent="0.25">
      <c r="G435" t="s">
        <v>4029</v>
      </c>
      <c r="H435" s="14">
        <v>1415398.48571246</v>
      </c>
    </row>
    <row r="436" spans="7:8" x14ac:dyDescent="0.25">
      <c r="G436" t="s">
        <v>3797</v>
      </c>
      <c r="H436" s="14">
        <v>1433921.2385251301</v>
      </c>
    </row>
    <row r="437" spans="7:8" x14ac:dyDescent="0.25">
      <c r="G437" t="s">
        <v>3781</v>
      </c>
      <c r="H437" s="14">
        <v>215799.40947385001</v>
      </c>
    </row>
    <row r="438" spans="7:8" x14ac:dyDescent="0.25">
      <c r="G438" t="s">
        <v>3619</v>
      </c>
      <c r="H438" s="14">
        <v>9247477.3320707195</v>
      </c>
    </row>
    <row r="439" spans="7:8" x14ac:dyDescent="0.25">
      <c r="G439" t="s">
        <v>3647</v>
      </c>
      <c r="H439" s="14">
        <v>331300357.08313602</v>
      </c>
    </row>
    <row r="440" spans="7:8" x14ac:dyDescent="0.25">
      <c r="G440" t="s">
        <v>3645</v>
      </c>
      <c r="H440" s="14">
        <v>814119365.14683795</v>
      </c>
    </row>
    <row r="441" spans="7:8" x14ac:dyDescent="0.25">
      <c r="G441" t="s">
        <v>3781</v>
      </c>
      <c r="H441" s="14">
        <v>35004.270021039403</v>
      </c>
    </row>
    <row r="442" spans="7:8" x14ac:dyDescent="0.25">
      <c r="G442" t="s">
        <v>3713</v>
      </c>
      <c r="H442" s="14">
        <v>92585559.051822394</v>
      </c>
    </row>
    <row r="443" spans="7:8" x14ac:dyDescent="0.25">
      <c r="G443" t="s">
        <v>3719</v>
      </c>
      <c r="H443" s="14">
        <v>40420707.934685402</v>
      </c>
    </row>
    <row r="444" spans="7:8" x14ac:dyDescent="0.25">
      <c r="G444" t="s">
        <v>3686</v>
      </c>
      <c r="H444" s="14">
        <v>34314.022750130498</v>
      </c>
    </row>
    <row r="445" spans="7:8" x14ac:dyDescent="0.25">
      <c r="G445" t="s">
        <v>3684</v>
      </c>
      <c r="H445" s="14">
        <v>20118.5609908896</v>
      </c>
    </row>
    <row r="446" spans="7:8" x14ac:dyDescent="0.25">
      <c r="G446" t="s">
        <v>3577</v>
      </c>
      <c r="H446" s="14">
        <v>985809.48855359002</v>
      </c>
    </row>
    <row r="447" spans="7:8" x14ac:dyDescent="0.25">
      <c r="G447" t="s">
        <v>3657</v>
      </c>
      <c r="H447" s="14">
        <v>3332718.81675871</v>
      </c>
    </row>
    <row r="448" spans="7:8" x14ac:dyDescent="0.25">
      <c r="G448" t="s">
        <v>3659</v>
      </c>
      <c r="H448" s="14">
        <v>1633180.6016281301</v>
      </c>
    </row>
    <row r="449" spans="7:8" x14ac:dyDescent="0.25">
      <c r="G449" t="s">
        <v>4041</v>
      </c>
      <c r="H449" s="14">
        <v>2965944.99710808</v>
      </c>
    </row>
    <row r="450" spans="7:8" x14ac:dyDescent="0.25">
      <c r="G450" t="s">
        <v>3577</v>
      </c>
      <c r="H450" s="14">
        <v>5070578.6507470198</v>
      </c>
    </row>
    <row r="451" spans="7:8" x14ac:dyDescent="0.25">
      <c r="G451" t="s">
        <v>4003</v>
      </c>
      <c r="H451" s="14">
        <v>80598.480788627407</v>
      </c>
    </row>
    <row r="452" spans="7:8" x14ac:dyDescent="0.25">
      <c r="G452" t="s">
        <v>3777</v>
      </c>
      <c r="H452" s="14">
        <v>1158441.9734094799</v>
      </c>
    </row>
    <row r="453" spans="7:8" x14ac:dyDescent="0.25">
      <c r="G453" t="s">
        <v>4029</v>
      </c>
      <c r="H453" s="14">
        <v>453326.99749028002</v>
      </c>
    </row>
    <row r="454" spans="7:8" x14ac:dyDescent="0.25">
      <c r="G454" t="s">
        <v>3757</v>
      </c>
      <c r="H454" s="14">
        <v>4827736.1589992596</v>
      </c>
    </row>
    <row r="455" spans="7:8" x14ac:dyDescent="0.25">
      <c r="G455" t="s">
        <v>3759</v>
      </c>
      <c r="H455" s="14">
        <v>11676229.855422501</v>
      </c>
    </row>
    <row r="456" spans="7:8" x14ac:dyDescent="0.25">
      <c r="G456" t="s">
        <v>3619</v>
      </c>
      <c r="H456" s="14">
        <v>7306107.4476173297</v>
      </c>
    </row>
    <row r="457" spans="7:8" x14ac:dyDescent="0.25">
      <c r="G457" t="s">
        <v>3619</v>
      </c>
      <c r="H457" s="14">
        <v>8514534.0249174908</v>
      </c>
    </row>
    <row r="458" spans="7:8" x14ac:dyDescent="0.25">
      <c r="G458" t="s">
        <v>3577</v>
      </c>
      <c r="H458" s="14">
        <v>495073.82261788001</v>
      </c>
    </row>
    <row r="459" spans="7:8" x14ac:dyDescent="0.25">
      <c r="G459" t="s">
        <v>3645</v>
      </c>
      <c r="H459" s="14">
        <v>15895923.8806643</v>
      </c>
    </row>
    <row r="460" spans="7:8" x14ac:dyDescent="0.25">
      <c r="G460" t="s">
        <v>3647</v>
      </c>
      <c r="H460" s="14">
        <v>6703933.2638778798</v>
      </c>
    </row>
    <row r="461" spans="7:8" x14ac:dyDescent="0.25">
      <c r="G461" t="s">
        <v>3619</v>
      </c>
      <c r="H461" s="14">
        <v>13439726.7317189</v>
      </c>
    </row>
    <row r="462" spans="7:8" x14ac:dyDescent="0.25">
      <c r="G462" t="s">
        <v>3805</v>
      </c>
      <c r="H462" s="14">
        <v>94572.475575210294</v>
      </c>
    </row>
    <row r="463" spans="7:8" x14ac:dyDescent="0.25">
      <c r="G463" t="s">
        <v>3803</v>
      </c>
      <c r="H463" s="14">
        <v>45081.324184243102</v>
      </c>
    </row>
  </sheetData>
  <autoFilter ref="X1:AA147" xr:uid="{2DEC27FA-35B2-40FC-8806-0E96F8BF8DD2}">
    <filterColumn colId="0">
      <filters>
        <filter val="2017-COMMERCIAL-WW1-US"/>
        <filter val="2018-COMMERCIAL-WW1-US"/>
        <filter val="2019-COMMERCIAL-WW1-US"/>
        <filter val="2020-COMMERCIAL-WW1-US"/>
        <filter val="2021-COMMERCIAL-WW1-US"/>
        <filter val="2022-COMMERCIAL-WW1-US"/>
        <filter val="2023-COMMERCIAL-WW1-US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5871-41CE-4022-A989-4F427797ABED}">
  <sheetPr filterMode="1"/>
  <dimension ref="A1:D203"/>
  <sheetViews>
    <sheetView workbookViewId="0">
      <selection activeCell="A44" sqref="A44"/>
    </sheetView>
  </sheetViews>
  <sheetFormatPr defaultRowHeight="15" x14ac:dyDescent="0.25"/>
  <cols>
    <col min="1" max="1" width="26.85546875" bestFit="1" customWidth="1"/>
    <col min="2" max="2" width="20.42578125" style="19" bestFit="1" customWidth="1"/>
    <col min="3" max="3" width="62" style="19" bestFit="1" customWidth="1"/>
  </cols>
  <sheetData>
    <row r="1" spans="1:4" x14ac:dyDescent="0.25">
      <c r="A1" t="s">
        <v>4856</v>
      </c>
      <c r="B1" s="19" t="s">
        <v>4857</v>
      </c>
      <c r="C1" s="19" t="s">
        <v>4858</v>
      </c>
    </row>
    <row r="2" spans="1:4" x14ac:dyDescent="0.25">
      <c r="A2" t="s">
        <v>3855</v>
      </c>
      <c r="B2" s="19">
        <v>35748680</v>
      </c>
      <c r="C2" s="19">
        <v>140990912.823383</v>
      </c>
      <c r="D2" s="20">
        <f t="shared" ref="D2:D65" si="0">IFERROR(B2/C2,-1)</f>
        <v>0.25355307859295717</v>
      </c>
    </row>
    <row r="3" spans="1:4" hidden="1" x14ac:dyDescent="0.25">
      <c r="A3" t="s">
        <v>3561</v>
      </c>
      <c r="B3" s="19">
        <v>187027434</v>
      </c>
      <c r="C3" s="19">
        <v>31841190.142281301</v>
      </c>
      <c r="D3" s="20">
        <f t="shared" si="0"/>
        <v>5.8737576442423824</v>
      </c>
    </row>
    <row r="4" spans="1:4" hidden="1" x14ac:dyDescent="0.25">
      <c r="A4" t="s">
        <v>3787</v>
      </c>
      <c r="B4" s="19">
        <v>22188298.800000001</v>
      </c>
      <c r="D4" s="20">
        <f t="shared" si="0"/>
        <v>-1</v>
      </c>
    </row>
    <row r="5" spans="1:4" hidden="1" x14ac:dyDescent="0.25">
      <c r="A5" t="s">
        <v>3711</v>
      </c>
      <c r="B5" s="19">
        <v>46293498</v>
      </c>
      <c r="C5" s="19">
        <v>107065359.451557</v>
      </c>
      <c r="D5" s="20">
        <f t="shared" si="0"/>
        <v>0.43238539745384263</v>
      </c>
    </row>
    <row r="6" spans="1:4" hidden="1" x14ac:dyDescent="0.25">
      <c r="A6" t="s">
        <v>3621</v>
      </c>
      <c r="B6" s="19">
        <v>298055864</v>
      </c>
      <c r="C6" s="19">
        <v>235202293</v>
      </c>
      <c r="D6" s="20">
        <f t="shared" si="0"/>
        <v>1.2672319652938078</v>
      </c>
    </row>
    <row r="7" spans="1:4" hidden="1" x14ac:dyDescent="0.25">
      <c r="A7" t="s">
        <v>4029</v>
      </c>
      <c r="B7" s="19">
        <v>3737450</v>
      </c>
      <c r="D7" s="20">
        <f t="shared" si="0"/>
        <v>-1</v>
      </c>
    </row>
    <row r="8" spans="1:4" hidden="1" x14ac:dyDescent="0.25">
      <c r="A8" t="s">
        <v>3691</v>
      </c>
      <c r="B8" s="19">
        <v>136134182</v>
      </c>
      <c r="C8" s="19">
        <v>58139251</v>
      </c>
      <c r="D8" s="20">
        <f t="shared" si="0"/>
        <v>2.3415193635707485</v>
      </c>
    </row>
    <row r="9" spans="1:4" hidden="1" x14ac:dyDescent="0.25">
      <c r="A9" t="s">
        <v>3623</v>
      </c>
      <c r="B9" s="19">
        <v>215070602</v>
      </c>
      <c r="C9" s="19">
        <v>32364410.210595801</v>
      </c>
      <c r="D9" s="20">
        <f t="shared" si="0"/>
        <v>6.64528105411258</v>
      </c>
    </row>
    <row r="10" spans="1:4" hidden="1" x14ac:dyDescent="0.25">
      <c r="A10" t="s">
        <v>4859</v>
      </c>
      <c r="B10" s="19">
        <v>0</v>
      </c>
      <c r="C10" s="19">
        <v>86349156.123761594</v>
      </c>
      <c r="D10" s="20">
        <f t="shared" si="0"/>
        <v>0</v>
      </c>
    </row>
    <row r="11" spans="1:4" hidden="1" x14ac:dyDescent="0.25">
      <c r="A11" t="s">
        <v>3649</v>
      </c>
      <c r="B11" s="19">
        <v>266670716</v>
      </c>
      <c r="C11" s="19">
        <v>106389196.352901</v>
      </c>
      <c r="D11" s="20">
        <f t="shared" si="0"/>
        <v>2.5065582328062064</v>
      </c>
    </row>
    <row r="12" spans="1:4" hidden="1" x14ac:dyDescent="0.25">
      <c r="A12" t="s">
        <v>3573</v>
      </c>
      <c r="B12" s="19">
        <v>622939011.79999995</v>
      </c>
      <c r="C12" s="19">
        <v>79916913.810530394</v>
      </c>
      <c r="D12" s="20">
        <f t="shared" si="0"/>
        <v>7.7948331848359897</v>
      </c>
    </row>
    <row r="13" spans="1:4" hidden="1" x14ac:dyDescent="0.25">
      <c r="A13" t="s">
        <v>3619</v>
      </c>
      <c r="B13" s="19">
        <v>147048840.59999999</v>
      </c>
      <c r="D13" s="20">
        <f t="shared" si="0"/>
        <v>-1</v>
      </c>
    </row>
    <row r="14" spans="1:4" hidden="1" x14ac:dyDescent="0.25">
      <c r="A14" t="s">
        <v>3611</v>
      </c>
      <c r="B14" s="19">
        <v>46144392.399999999</v>
      </c>
      <c r="C14" s="19">
        <v>57347349</v>
      </c>
      <c r="D14" s="20">
        <f t="shared" si="0"/>
        <v>0.80464734995858311</v>
      </c>
    </row>
    <row r="15" spans="1:4" hidden="1" x14ac:dyDescent="0.25">
      <c r="A15" t="s">
        <v>3555</v>
      </c>
      <c r="B15" s="19">
        <v>348205709.39999998</v>
      </c>
      <c r="C15" s="19">
        <v>64281544.820395201</v>
      </c>
      <c r="D15" s="20">
        <f t="shared" si="0"/>
        <v>5.4168845875266136</v>
      </c>
    </row>
    <row r="16" spans="1:4" hidden="1" x14ac:dyDescent="0.25">
      <c r="A16" t="s">
        <v>3657</v>
      </c>
      <c r="B16" s="19">
        <v>12962302</v>
      </c>
      <c r="D16" s="20">
        <f t="shared" si="0"/>
        <v>-1</v>
      </c>
    </row>
    <row r="17" spans="1:4" hidden="1" x14ac:dyDescent="0.25">
      <c r="A17" t="s">
        <v>3915</v>
      </c>
      <c r="B17" s="19">
        <v>22389820</v>
      </c>
      <c r="C17" s="19">
        <v>493722.56857171102</v>
      </c>
      <c r="D17" s="20">
        <f t="shared" si="0"/>
        <v>45.348990354586107</v>
      </c>
    </row>
    <row r="18" spans="1:4" x14ac:dyDescent="0.25">
      <c r="A18" t="s">
        <v>3567</v>
      </c>
      <c r="B18" s="19">
        <v>550570814</v>
      </c>
      <c r="C18" s="19">
        <v>159646223.74818599</v>
      </c>
      <c r="D18" s="20">
        <f t="shared" si="0"/>
        <v>3.4486929980155949</v>
      </c>
    </row>
    <row r="19" spans="1:4" hidden="1" x14ac:dyDescent="0.25">
      <c r="A19" t="s">
        <v>3557</v>
      </c>
      <c r="B19" s="19">
        <v>168967762.579999</v>
      </c>
      <c r="C19" s="19">
        <v>10137456.259870199</v>
      </c>
      <c r="D19" s="20">
        <f t="shared" si="0"/>
        <v>16.667668717730425</v>
      </c>
    </row>
    <row r="20" spans="1:4" hidden="1" x14ac:dyDescent="0.25">
      <c r="A20" t="s">
        <v>3793</v>
      </c>
      <c r="B20" s="19">
        <v>234057256.19999999</v>
      </c>
      <c r="C20" s="19">
        <v>52312477.847168803</v>
      </c>
      <c r="D20" s="20">
        <f t="shared" si="0"/>
        <v>4.4742146774962483</v>
      </c>
    </row>
    <row r="21" spans="1:4" hidden="1" x14ac:dyDescent="0.25">
      <c r="A21" t="s">
        <v>3565</v>
      </c>
      <c r="B21" s="19">
        <v>278722422</v>
      </c>
      <c r="C21" s="19">
        <v>74613458.544619307</v>
      </c>
      <c r="D21" s="20">
        <f t="shared" si="0"/>
        <v>3.7355515671924291</v>
      </c>
    </row>
    <row r="22" spans="1:4" hidden="1" x14ac:dyDescent="0.25">
      <c r="A22" t="s">
        <v>3625</v>
      </c>
      <c r="B22" s="19">
        <v>433117288</v>
      </c>
      <c r="C22" s="19">
        <v>139672661.35235801</v>
      </c>
      <c r="D22" s="20">
        <f t="shared" si="0"/>
        <v>3.1009453375228317</v>
      </c>
    </row>
    <row r="23" spans="1:4" hidden="1" x14ac:dyDescent="0.25">
      <c r="A23" t="s">
        <v>3797</v>
      </c>
      <c r="B23" s="19">
        <v>2867842</v>
      </c>
      <c r="D23" s="20">
        <f t="shared" si="0"/>
        <v>-1</v>
      </c>
    </row>
    <row r="24" spans="1:4" hidden="1" x14ac:dyDescent="0.25">
      <c r="A24" t="s">
        <v>4061</v>
      </c>
      <c r="B24" s="19">
        <v>55423510</v>
      </c>
      <c r="C24" s="19">
        <v>16568141.199934</v>
      </c>
      <c r="D24" s="20">
        <f t="shared" si="0"/>
        <v>3.3451857592945178</v>
      </c>
    </row>
    <row r="25" spans="1:4" hidden="1" x14ac:dyDescent="0.25">
      <c r="A25" t="s">
        <v>3851</v>
      </c>
      <c r="B25" s="19">
        <v>16699098</v>
      </c>
      <c r="C25" s="19">
        <v>64896028.322460301</v>
      </c>
      <c r="D25" s="20">
        <f t="shared" si="0"/>
        <v>0.25732080115942163</v>
      </c>
    </row>
    <row r="26" spans="1:4" hidden="1" x14ac:dyDescent="0.25">
      <c r="A26" t="s">
        <v>4045</v>
      </c>
      <c r="B26" s="19">
        <v>2470470</v>
      </c>
      <c r="D26" s="20">
        <f t="shared" si="0"/>
        <v>-1</v>
      </c>
    </row>
    <row r="27" spans="1:4" x14ac:dyDescent="0.25">
      <c r="A27" t="s">
        <v>3586</v>
      </c>
      <c r="B27" s="19">
        <v>901583390</v>
      </c>
      <c r="C27" s="19">
        <v>148007171.939549</v>
      </c>
      <c r="D27" s="20">
        <f t="shared" si="0"/>
        <v>6.0914844746053003</v>
      </c>
    </row>
    <row r="28" spans="1:4" hidden="1" x14ac:dyDescent="0.25">
      <c r="A28" t="s">
        <v>3559</v>
      </c>
      <c r="B28" s="19">
        <v>370632560</v>
      </c>
      <c r="C28" s="19">
        <v>103984248.64621601</v>
      </c>
      <c r="D28" s="20">
        <f t="shared" si="0"/>
        <v>3.5643144497874615</v>
      </c>
    </row>
    <row r="29" spans="1:4" hidden="1" x14ac:dyDescent="0.25">
      <c r="A29" t="s">
        <v>3857</v>
      </c>
      <c r="B29" s="19">
        <v>66069280</v>
      </c>
      <c r="C29" s="19">
        <v>47250249.677707799</v>
      </c>
      <c r="D29" s="20">
        <f t="shared" si="0"/>
        <v>1.3982842514199632</v>
      </c>
    </row>
    <row r="30" spans="1:4" hidden="1" x14ac:dyDescent="0.25">
      <c r="A30" t="s">
        <v>4860</v>
      </c>
      <c r="B30" s="19">
        <v>0</v>
      </c>
      <c r="C30" s="19">
        <v>42621498.229764998</v>
      </c>
      <c r="D30" s="20">
        <f t="shared" si="0"/>
        <v>0</v>
      </c>
    </row>
    <row r="31" spans="1:4" hidden="1" x14ac:dyDescent="0.25">
      <c r="A31" t="s">
        <v>3761</v>
      </c>
      <c r="B31" s="19">
        <v>11944064</v>
      </c>
      <c r="D31" s="20">
        <f t="shared" si="0"/>
        <v>-1</v>
      </c>
    </row>
    <row r="32" spans="1:4" hidden="1" x14ac:dyDescent="0.25">
      <c r="A32" t="s">
        <v>3607</v>
      </c>
      <c r="B32" s="19">
        <v>44952440</v>
      </c>
      <c r="C32" s="19">
        <v>31687500.377034899</v>
      </c>
      <c r="D32" s="20">
        <f t="shared" si="0"/>
        <v>1.4186174190179637</v>
      </c>
    </row>
    <row r="33" spans="1:4" hidden="1" x14ac:dyDescent="0.25">
      <c r="A33" t="s">
        <v>3785</v>
      </c>
      <c r="B33" s="19">
        <v>47572488</v>
      </c>
      <c r="D33" s="20">
        <f t="shared" si="0"/>
        <v>-1</v>
      </c>
    </row>
    <row r="34" spans="1:4" hidden="1" x14ac:dyDescent="0.25">
      <c r="A34" t="s">
        <v>3783</v>
      </c>
      <c r="B34" s="19">
        <v>2717128.38</v>
      </c>
      <c r="D34" s="20">
        <f t="shared" si="0"/>
        <v>-1</v>
      </c>
    </row>
    <row r="35" spans="1:4" hidden="1" x14ac:dyDescent="0.25">
      <c r="A35" t="s">
        <v>3641</v>
      </c>
      <c r="B35" s="19">
        <v>18172306</v>
      </c>
      <c r="C35" s="19">
        <v>2197950.65942187</v>
      </c>
      <c r="D35" s="20">
        <f t="shared" si="0"/>
        <v>8.2678407370527083</v>
      </c>
    </row>
    <row r="36" spans="1:4" hidden="1" x14ac:dyDescent="0.25">
      <c r="A36" t="s">
        <v>3735</v>
      </c>
      <c r="B36" s="19">
        <v>23872040</v>
      </c>
      <c r="C36" s="19">
        <v>60623774.789384097</v>
      </c>
      <c r="D36" s="20">
        <f t="shared" si="0"/>
        <v>0.39377356627717386</v>
      </c>
    </row>
    <row r="37" spans="1:4" hidden="1" x14ac:dyDescent="0.25">
      <c r="A37" t="s">
        <v>3584</v>
      </c>
      <c r="B37" s="19">
        <v>420314240</v>
      </c>
      <c r="C37" s="19">
        <v>78452740.401203394</v>
      </c>
      <c r="D37" s="20">
        <f t="shared" si="0"/>
        <v>5.3575469492911783</v>
      </c>
    </row>
    <row r="38" spans="1:4" hidden="1" x14ac:dyDescent="0.25">
      <c r="A38" t="s">
        <v>4087</v>
      </c>
      <c r="B38" s="19">
        <v>3283384</v>
      </c>
      <c r="C38" s="19">
        <v>115647428.787459</v>
      </c>
      <c r="D38" s="20">
        <f t="shared" si="0"/>
        <v>2.8391327281770535E-2</v>
      </c>
    </row>
    <row r="39" spans="1:4" hidden="1" x14ac:dyDescent="0.25">
      <c r="A39" t="s">
        <v>3669</v>
      </c>
      <c r="B39" s="19">
        <v>4234932.5999999996</v>
      </c>
      <c r="D39" s="20">
        <f t="shared" si="0"/>
        <v>-1</v>
      </c>
    </row>
    <row r="40" spans="1:4" hidden="1" x14ac:dyDescent="0.25">
      <c r="A40" t="s">
        <v>3580</v>
      </c>
      <c r="B40" s="19">
        <v>36882834</v>
      </c>
      <c r="C40" s="19">
        <v>64588571.583176903</v>
      </c>
      <c r="D40" s="20">
        <f t="shared" si="0"/>
        <v>0.5710427262275406</v>
      </c>
    </row>
    <row r="41" spans="1:4" hidden="1" x14ac:dyDescent="0.25">
      <c r="A41" t="s">
        <v>3987</v>
      </c>
      <c r="B41" s="19">
        <v>13614544</v>
      </c>
      <c r="D41" s="20">
        <f t="shared" si="0"/>
        <v>-1</v>
      </c>
    </row>
    <row r="42" spans="1:4" hidden="1" x14ac:dyDescent="0.25">
      <c r="A42" t="s">
        <v>3721</v>
      </c>
      <c r="B42" s="19">
        <v>50938848.399999999</v>
      </c>
      <c r="C42" s="19">
        <v>33182937.106100801</v>
      </c>
      <c r="D42" s="20">
        <f t="shared" si="0"/>
        <v>1.535091611605252</v>
      </c>
    </row>
    <row r="43" spans="1:4" hidden="1" x14ac:dyDescent="0.25">
      <c r="A43" t="s">
        <v>3755</v>
      </c>
      <c r="B43" s="19">
        <v>26023128</v>
      </c>
      <c r="C43" s="19">
        <v>45341678.094902501</v>
      </c>
      <c r="D43" s="20">
        <f t="shared" si="0"/>
        <v>0.57393394098763251</v>
      </c>
    </row>
    <row r="44" spans="1:4" x14ac:dyDescent="0.25">
      <c r="A44" t="s">
        <v>3903</v>
      </c>
      <c r="B44" s="19">
        <v>994487770</v>
      </c>
      <c r="C44" s="19">
        <v>248559680.75148901</v>
      </c>
      <c r="D44" s="20">
        <f t="shared" si="0"/>
        <v>4.0010019605484324</v>
      </c>
    </row>
    <row r="45" spans="1:4" hidden="1" x14ac:dyDescent="0.25">
      <c r="A45" t="s">
        <v>3613</v>
      </c>
      <c r="B45" s="19">
        <v>79689751.200000003</v>
      </c>
      <c r="C45" s="19">
        <v>62788067</v>
      </c>
      <c r="D45" s="20">
        <f t="shared" si="0"/>
        <v>1.2691862483997158</v>
      </c>
    </row>
    <row r="46" spans="1:4" hidden="1" x14ac:dyDescent="0.25">
      <c r="A46" t="s">
        <v>4063</v>
      </c>
      <c r="B46" s="19">
        <v>34139206</v>
      </c>
      <c r="C46" s="19">
        <v>20763331.809972499</v>
      </c>
      <c r="D46" s="20">
        <f t="shared" si="0"/>
        <v>1.6442065422083729</v>
      </c>
    </row>
    <row r="47" spans="1:4" hidden="1" x14ac:dyDescent="0.25">
      <c r="A47" t="s">
        <v>3599</v>
      </c>
      <c r="B47" s="19">
        <v>324954616.03999901</v>
      </c>
      <c r="D47" s="20">
        <f t="shared" si="0"/>
        <v>-1</v>
      </c>
    </row>
    <row r="48" spans="1:4" hidden="1" x14ac:dyDescent="0.25">
      <c r="A48" t="s">
        <v>3609</v>
      </c>
      <c r="B48" s="19">
        <v>92270844</v>
      </c>
      <c r="C48" s="19">
        <v>226362739.153855</v>
      </c>
      <c r="D48" s="20">
        <f t="shared" si="0"/>
        <v>0.40762381805817005</v>
      </c>
    </row>
    <row r="49" spans="1:4" hidden="1" x14ac:dyDescent="0.25">
      <c r="A49" t="s">
        <v>3597</v>
      </c>
      <c r="B49" s="19">
        <v>642987666.25999999</v>
      </c>
      <c r="C49" s="19">
        <v>4141555</v>
      </c>
      <c r="D49" s="20">
        <f t="shared" si="0"/>
        <v>155.25271697707745</v>
      </c>
    </row>
    <row r="50" spans="1:4" hidden="1" x14ac:dyDescent="0.25">
      <c r="A50" t="s">
        <v>3651</v>
      </c>
      <c r="B50" s="19">
        <v>151649802</v>
      </c>
      <c r="C50" s="19">
        <v>30384272.929985002</v>
      </c>
      <c r="D50" s="20">
        <f t="shared" si="0"/>
        <v>4.9910623943330563</v>
      </c>
    </row>
    <row r="51" spans="1:4" hidden="1" x14ac:dyDescent="0.25">
      <c r="A51" t="s">
        <v>3647</v>
      </c>
      <c r="B51" s="19">
        <v>777203866</v>
      </c>
      <c r="D51" s="20">
        <f t="shared" si="0"/>
        <v>-1</v>
      </c>
    </row>
    <row r="52" spans="1:4" hidden="1" x14ac:dyDescent="0.25">
      <c r="A52" t="s">
        <v>3575</v>
      </c>
      <c r="B52" s="19">
        <v>304054565.39999998</v>
      </c>
      <c r="C52" s="19">
        <v>29559262.1129364</v>
      </c>
      <c r="D52" s="20">
        <f t="shared" si="0"/>
        <v>10.286270483962205</v>
      </c>
    </row>
    <row r="53" spans="1:4" hidden="1" x14ac:dyDescent="0.25">
      <c r="A53" t="s">
        <v>3713</v>
      </c>
      <c r="B53" s="19">
        <v>191328924</v>
      </c>
      <c r="D53" s="20">
        <f t="shared" si="0"/>
        <v>-1</v>
      </c>
    </row>
    <row r="54" spans="1:4" hidden="1" x14ac:dyDescent="0.25">
      <c r="A54" t="s">
        <v>3759</v>
      </c>
      <c r="B54" s="19">
        <v>23352460</v>
      </c>
      <c r="D54" s="20">
        <f t="shared" si="0"/>
        <v>-1</v>
      </c>
    </row>
    <row r="55" spans="1:4" hidden="1" x14ac:dyDescent="0.25">
      <c r="A55" t="s">
        <v>3699</v>
      </c>
      <c r="B55" s="19">
        <v>6828386</v>
      </c>
      <c r="C55" s="19">
        <v>23906199.692347199</v>
      </c>
      <c r="D55" s="20">
        <f t="shared" si="0"/>
        <v>0.28563243375675007</v>
      </c>
    </row>
    <row r="56" spans="1:4" hidden="1" x14ac:dyDescent="0.25">
      <c r="A56" t="s">
        <v>3723</v>
      </c>
      <c r="B56" s="19">
        <v>97087964.200000003</v>
      </c>
      <c r="C56" s="19">
        <v>159838023.45796299</v>
      </c>
      <c r="D56" s="20">
        <f t="shared" si="0"/>
        <v>0.60741469457380959</v>
      </c>
    </row>
    <row r="57" spans="1:4" hidden="1" x14ac:dyDescent="0.25">
      <c r="A57" t="s">
        <v>3637</v>
      </c>
      <c r="B57" s="19">
        <v>30540792</v>
      </c>
      <c r="C57" s="19">
        <v>15092347.4902493</v>
      </c>
      <c r="D57" s="20">
        <f t="shared" si="0"/>
        <v>2.0235945415205596</v>
      </c>
    </row>
    <row r="58" spans="1:4" hidden="1" x14ac:dyDescent="0.25">
      <c r="A58" t="s">
        <v>3703</v>
      </c>
      <c r="B58" s="19">
        <v>9545327.8000000007</v>
      </c>
      <c r="D58" s="20">
        <f t="shared" si="0"/>
        <v>-1</v>
      </c>
    </row>
    <row r="59" spans="1:4" hidden="1" x14ac:dyDescent="0.25">
      <c r="A59" t="s">
        <v>3909</v>
      </c>
      <c r="B59" s="19">
        <v>598375105.33599997</v>
      </c>
      <c r="C59" s="19">
        <v>567800.265018331</v>
      </c>
      <c r="D59" s="20">
        <f t="shared" si="0"/>
        <v>1053.8478796178122</v>
      </c>
    </row>
    <row r="60" spans="1:4" hidden="1" x14ac:dyDescent="0.25">
      <c r="A60" t="s">
        <v>3679</v>
      </c>
      <c r="B60" s="19">
        <v>15372739.140000001</v>
      </c>
      <c r="C60" s="19">
        <v>1762851.7809428801</v>
      </c>
      <c r="D60" s="20">
        <f t="shared" si="0"/>
        <v>8.7203809793797458</v>
      </c>
    </row>
    <row r="61" spans="1:4" hidden="1" x14ac:dyDescent="0.25">
      <c r="A61" t="s">
        <v>3873</v>
      </c>
      <c r="B61" s="19">
        <v>808708324</v>
      </c>
      <c r="C61" s="19">
        <v>78837693.429452002</v>
      </c>
      <c r="D61" s="20">
        <f t="shared" si="0"/>
        <v>10.25788920021707</v>
      </c>
    </row>
    <row r="62" spans="1:4" hidden="1" x14ac:dyDescent="0.25">
      <c r="A62" t="s">
        <v>3725</v>
      </c>
      <c r="B62" s="19">
        <v>42353041.359999999</v>
      </c>
      <c r="C62" s="19">
        <v>64708868.493319698</v>
      </c>
      <c r="D62" s="20">
        <f t="shared" si="0"/>
        <v>0.65451679725125111</v>
      </c>
    </row>
    <row r="63" spans="1:4" hidden="1" x14ac:dyDescent="0.25">
      <c r="A63" t="s">
        <v>3675</v>
      </c>
      <c r="B63" s="19">
        <v>368837.12</v>
      </c>
      <c r="C63" s="19">
        <v>419899.32577821502</v>
      </c>
      <c r="D63" s="20">
        <f t="shared" si="0"/>
        <v>0.87839417059415481</v>
      </c>
    </row>
    <row r="64" spans="1:4" hidden="1" x14ac:dyDescent="0.25">
      <c r="A64" t="s">
        <v>3681</v>
      </c>
      <c r="B64" s="19">
        <v>29900734.539999999</v>
      </c>
      <c r="C64" s="19">
        <v>77567893.919245094</v>
      </c>
      <c r="D64" s="20">
        <f t="shared" si="0"/>
        <v>0.38547823112393975</v>
      </c>
    </row>
    <row r="65" spans="1:4" hidden="1" x14ac:dyDescent="0.25">
      <c r="A65" t="s">
        <v>3684</v>
      </c>
      <c r="B65" s="19">
        <v>40237.120000000003</v>
      </c>
      <c r="D65" s="20">
        <f t="shared" si="0"/>
        <v>-1</v>
      </c>
    </row>
    <row r="66" spans="1:4" hidden="1" x14ac:dyDescent="0.25">
      <c r="A66" t="s">
        <v>3757</v>
      </c>
      <c r="B66" s="19">
        <v>9655472</v>
      </c>
      <c r="D66" s="20">
        <f t="shared" ref="D66:D129" si="1">IFERROR(B66/C66,-1)</f>
        <v>-1</v>
      </c>
    </row>
    <row r="67" spans="1:4" hidden="1" x14ac:dyDescent="0.25">
      <c r="A67" t="s">
        <v>4861</v>
      </c>
      <c r="B67" s="19">
        <v>0</v>
      </c>
      <c r="C67" s="19">
        <v>22873375.6634987</v>
      </c>
      <c r="D67" s="20">
        <f t="shared" si="1"/>
        <v>0</v>
      </c>
    </row>
    <row r="68" spans="1:4" hidden="1" x14ac:dyDescent="0.25">
      <c r="A68" t="s">
        <v>3633</v>
      </c>
      <c r="B68" s="19">
        <v>2080652.79999999</v>
      </c>
      <c r="C68" s="19">
        <v>15513708.7223578</v>
      </c>
      <c r="D68" s="20">
        <f t="shared" si="1"/>
        <v>0.13411704688005568</v>
      </c>
    </row>
    <row r="69" spans="1:4" hidden="1" x14ac:dyDescent="0.25">
      <c r="A69" t="s">
        <v>4017</v>
      </c>
      <c r="B69" s="19">
        <v>28755482</v>
      </c>
      <c r="C69" s="19">
        <v>33790154</v>
      </c>
      <c r="D69" s="20">
        <f t="shared" si="1"/>
        <v>0.85100180366150446</v>
      </c>
    </row>
    <row r="70" spans="1:4" hidden="1" x14ac:dyDescent="0.25">
      <c r="A70" t="s">
        <v>3665</v>
      </c>
      <c r="B70" s="19">
        <v>198342766</v>
      </c>
      <c r="C70" s="19">
        <v>58556063</v>
      </c>
      <c r="D70" s="20">
        <f t="shared" si="1"/>
        <v>3.3872285095396526</v>
      </c>
    </row>
    <row r="71" spans="1:4" hidden="1" x14ac:dyDescent="0.25">
      <c r="A71" t="s">
        <v>3961</v>
      </c>
      <c r="B71" s="19">
        <v>3648262</v>
      </c>
      <c r="D71" s="20">
        <f t="shared" si="1"/>
        <v>-1</v>
      </c>
    </row>
    <row r="72" spans="1:4" hidden="1" x14ac:dyDescent="0.25">
      <c r="A72" t="s">
        <v>4041</v>
      </c>
      <c r="B72" s="19">
        <v>7210819</v>
      </c>
      <c r="D72" s="20">
        <f t="shared" si="1"/>
        <v>-1</v>
      </c>
    </row>
    <row r="73" spans="1:4" hidden="1" x14ac:dyDescent="0.25">
      <c r="A73" t="s">
        <v>3919</v>
      </c>
      <c r="B73" s="19">
        <v>144490.23999999999</v>
      </c>
      <c r="C73" s="19">
        <v>632314.43294209999</v>
      </c>
      <c r="D73" s="20">
        <f t="shared" si="1"/>
        <v>0.22851010900969065</v>
      </c>
    </row>
    <row r="74" spans="1:4" hidden="1" x14ac:dyDescent="0.25">
      <c r="A74" t="s">
        <v>3899</v>
      </c>
      <c r="B74" s="19">
        <v>480621740</v>
      </c>
      <c r="C74" s="19">
        <v>125524653.059774</v>
      </c>
      <c r="D74" s="20">
        <f t="shared" si="1"/>
        <v>3.8289031539575826</v>
      </c>
    </row>
    <row r="75" spans="1:4" hidden="1" x14ac:dyDescent="0.25">
      <c r="A75" t="s">
        <v>3753</v>
      </c>
      <c r="B75" s="19">
        <v>49237948</v>
      </c>
      <c r="C75" s="19">
        <v>34689719.407495901</v>
      </c>
      <c r="D75" s="20">
        <f t="shared" si="1"/>
        <v>1.4193815585997636</v>
      </c>
    </row>
    <row r="76" spans="1:4" hidden="1" x14ac:dyDescent="0.25">
      <c r="A76" t="s">
        <v>3827</v>
      </c>
      <c r="B76" s="19">
        <v>247746466</v>
      </c>
      <c r="C76" s="19">
        <v>113740207.835118</v>
      </c>
      <c r="D76" s="20">
        <f t="shared" si="1"/>
        <v>2.178178418305182</v>
      </c>
    </row>
    <row r="77" spans="1:4" hidden="1" x14ac:dyDescent="0.25">
      <c r="A77" t="s">
        <v>3905</v>
      </c>
      <c r="B77" s="19">
        <v>1181791025.0999999</v>
      </c>
      <c r="C77" s="19">
        <v>14785987.406061901</v>
      </c>
      <c r="D77" s="20">
        <f t="shared" si="1"/>
        <v>79.92641902396683</v>
      </c>
    </row>
    <row r="78" spans="1:4" hidden="1" x14ac:dyDescent="0.25">
      <c r="A78" t="s">
        <v>3921</v>
      </c>
      <c r="B78" s="19">
        <v>353838.8</v>
      </c>
      <c r="C78" s="19">
        <v>36710419.671129502</v>
      </c>
      <c r="D78" s="20">
        <f t="shared" si="1"/>
        <v>9.6386476420010133E-3</v>
      </c>
    </row>
    <row r="79" spans="1:4" hidden="1" x14ac:dyDescent="0.25">
      <c r="A79" t="s">
        <v>3591</v>
      </c>
      <c r="B79" s="19">
        <v>5809238</v>
      </c>
      <c r="D79" s="20">
        <f t="shared" si="1"/>
        <v>-1</v>
      </c>
    </row>
    <row r="80" spans="1:4" hidden="1" x14ac:dyDescent="0.25">
      <c r="A80" t="s">
        <v>3571</v>
      </c>
      <c r="B80" s="19">
        <v>58246520.200000003</v>
      </c>
      <c r="C80" s="19">
        <v>97210245.738440499</v>
      </c>
      <c r="D80" s="20">
        <f t="shared" si="1"/>
        <v>0.59918087602330983</v>
      </c>
    </row>
    <row r="81" spans="1:4" x14ac:dyDescent="0.25">
      <c r="A81" t="s">
        <v>3715</v>
      </c>
      <c r="B81" s="19">
        <v>91981970</v>
      </c>
      <c r="C81" s="19">
        <v>153196999.43472299</v>
      </c>
      <c r="D81" s="20">
        <f t="shared" si="1"/>
        <v>0.60041626363049871</v>
      </c>
    </row>
    <row r="82" spans="1:4" hidden="1" x14ac:dyDescent="0.25">
      <c r="A82" t="s">
        <v>3655</v>
      </c>
      <c r="B82" s="19">
        <v>8005232</v>
      </c>
      <c r="D82" s="20">
        <f t="shared" si="1"/>
        <v>-1</v>
      </c>
    </row>
    <row r="83" spans="1:4" hidden="1" x14ac:dyDescent="0.25">
      <c r="A83" t="s">
        <v>3719</v>
      </c>
      <c r="B83" s="19">
        <v>83957685.799999997</v>
      </c>
      <c r="D83" s="20">
        <f t="shared" si="1"/>
        <v>-1</v>
      </c>
    </row>
    <row r="84" spans="1:4" hidden="1" x14ac:dyDescent="0.25">
      <c r="A84" t="s">
        <v>4039</v>
      </c>
      <c r="B84" s="19">
        <v>17312274</v>
      </c>
      <c r="C84" s="19">
        <v>3695910.0956614702</v>
      </c>
      <c r="D84" s="20">
        <f t="shared" si="1"/>
        <v>4.6841707595437496</v>
      </c>
    </row>
    <row r="85" spans="1:4" hidden="1" x14ac:dyDescent="0.25">
      <c r="A85" t="s">
        <v>3569</v>
      </c>
      <c r="B85" s="19">
        <v>29206978.600000001</v>
      </c>
      <c r="C85" s="19">
        <v>11003311.2832203</v>
      </c>
      <c r="D85" s="20">
        <f t="shared" si="1"/>
        <v>2.6543808357525713</v>
      </c>
    </row>
    <row r="86" spans="1:4" hidden="1" x14ac:dyDescent="0.25">
      <c r="A86" t="s">
        <v>3645</v>
      </c>
      <c r="B86" s="19">
        <v>1862253240</v>
      </c>
      <c r="D86" s="20">
        <f t="shared" si="1"/>
        <v>-1</v>
      </c>
    </row>
    <row r="87" spans="1:4" hidden="1" x14ac:dyDescent="0.25">
      <c r="A87" t="s">
        <v>3911</v>
      </c>
      <c r="B87" s="19">
        <v>45042116.333999999</v>
      </c>
      <c r="D87" s="20">
        <f t="shared" si="1"/>
        <v>-1</v>
      </c>
    </row>
    <row r="88" spans="1:4" hidden="1" x14ac:dyDescent="0.25">
      <c r="A88" t="s">
        <v>3849</v>
      </c>
      <c r="B88" s="19">
        <v>1575334.4</v>
      </c>
      <c r="C88" s="19">
        <v>12456957.035206599</v>
      </c>
      <c r="D88" s="20">
        <f t="shared" si="1"/>
        <v>0.12646221669928662</v>
      </c>
    </row>
    <row r="89" spans="1:4" hidden="1" x14ac:dyDescent="0.25">
      <c r="A89" t="s">
        <v>4085</v>
      </c>
      <c r="B89" s="19">
        <v>17000044</v>
      </c>
      <c r="D89" s="20">
        <f t="shared" si="1"/>
        <v>-1</v>
      </c>
    </row>
    <row r="90" spans="1:4" hidden="1" x14ac:dyDescent="0.25">
      <c r="A90" t="s">
        <v>3879</v>
      </c>
      <c r="B90" s="19">
        <v>566736</v>
      </c>
      <c r="D90" s="20">
        <f t="shared" si="1"/>
        <v>-1</v>
      </c>
    </row>
    <row r="91" spans="1:4" hidden="1" x14ac:dyDescent="0.25">
      <c r="A91" t="s">
        <v>3727</v>
      </c>
      <c r="B91" s="19">
        <v>78186883.739999995</v>
      </c>
      <c r="C91" s="19">
        <v>16568946.8391925</v>
      </c>
      <c r="D91" s="20">
        <f t="shared" si="1"/>
        <v>4.7188807169720199</v>
      </c>
    </row>
    <row r="92" spans="1:4" hidden="1" x14ac:dyDescent="0.25">
      <c r="A92" t="s">
        <v>3803</v>
      </c>
      <c r="B92" s="19">
        <v>124107.06</v>
      </c>
      <c r="D92" s="20">
        <f t="shared" si="1"/>
        <v>-1</v>
      </c>
    </row>
    <row r="93" spans="1:4" hidden="1" x14ac:dyDescent="0.25">
      <c r="A93" t="s">
        <v>3707</v>
      </c>
      <c r="B93" s="19">
        <v>3132316</v>
      </c>
      <c r="D93" s="20">
        <f t="shared" si="1"/>
        <v>-1</v>
      </c>
    </row>
    <row r="94" spans="1:4" hidden="1" x14ac:dyDescent="0.25">
      <c r="A94" t="s">
        <v>3659</v>
      </c>
      <c r="B94" s="19">
        <v>6201626</v>
      </c>
      <c r="D94" s="20">
        <f t="shared" si="1"/>
        <v>-1</v>
      </c>
    </row>
    <row r="95" spans="1:4" hidden="1" x14ac:dyDescent="0.25">
      <c r="A95" t="s">
        <v>3739</v>
      </c>
      <c r="B95" s="19">
        <v>678878.4</v>
      </c>
      <c r="D95" s="20">
        <f t="shared" si="1"/>
        <v>-1</v>
      </c>
    </row>
    <row r="96" spans="1:4" hidden="1" x14ac:dyDescent="0.25">
      <c r="A96" t="s">
        <v>3701</v>
      </c>
      <c r="B96" s="19">
        <v>16635252</v>
      </c>
      <c r="C96" s="19">
        <v>18786994.500013798</v>
      </c>
      <c r="D96" s="20">
        <f t="shared" si="1"/>
        <v>0.88546637941410911</v>
      </c>
    </row>
    <row r="97" spans="1:4" hidden="1" x14ac:dyDescent="0.25">
      <c r="A97" t="s">
        <v>3589</v>
      </c>
      <c r="B97" s="19">
        <v>14034352</v>
      </c>
      <c r="D97" s="20">
        <f t="shared" si="1"/>
        <v>-1</v>
      </c>
    </row>
    <row r="98" spans="1:4" hidden="1" x14ac:dyDescent="0.25">
      <c r="A98" t="s">
        <v>3667</v>
      </c>
      <c r="B98" s="19">
        <v>400835654</v>
      </c>
      <c r="C98" s="19">
        <v>17754596</v>
      </c>
      <c r="D98" s="20">
        <f t="shared" si="1"/>
        <v>22.57644465692151</v>
      </c>
    </row>
    <row r="99" spans="1:4" hidden="1" x14ac:dyDescent="0.25">
      <c r="A99" t="s">
        <v>3629</v>
      </c>
      <c r="B99" s="19">
        <v>192286200</v>
      </c>
      <c r="C99" s="19">
        <v>30735684</v>
      </c>
      <c r="D99" s="20">
        <f t="shared" si="1"/>
        <v>6.2561223625281936</v>
      </c>
    </row>
    <row r="100" spans="1:4" hidden="1" x14ac:dyDescent="0.25">
      <c r="A100" t="s">
        <v>3881</v>
      </c>
      <c r="B100" s="19">
        <v>269856.2</v>
      </c>
      <c r="D100" s="20">
        <f t="shared" si="1"/>
        <v>-1</v>
      </c>
    </row>
    <row r="101" spans="1:4" hidden="1" x14ac:dyDescent="0.25">
      <c r="A101" t="s">
        <v>3917</v>
      </c>
      <c r="B101" s="19">
        <v>35642280</v>
      </c>
      <c r="C101" s="19">
        <v>4645070.3915823</v>
      </c>
      <c r="D101" s="20">
        <f t="shared" si="1"/>
        <v>7.6731409850301082</v>
      </c>
    </row>
    <row r="102" spans="1:4" hidden="1" x14ac:dyDescent="0.25">
      <c r="A102" t="s">
        <v>3799</v>
      </c>
      <c r="B102" s="19">
        <v>5888580</v>
      </c>
      <c r="C102" s="19">
        <v>7694537</v>
      </c>
      <c r="D102" s="20">
        <f t="shared" si="1"/>
        <v>0.76529361025881093</v>
      </c>
    </row>
    <row r="103" spans="1:4" hidden="1" x14ac:dyDescent="0.25">
      <c r="A103" t="s">
        <v>3717</v>
      </c>
      <c r="B103" s="19">
        <v>25519100</v>
      </c>
      <c r="D103" s="20">
        <f t="shared" si="1"/>
        <v>-1</v>
      </c>
    </row>
    <row r="104" spans="1:4" hidden="1" x14ac:dyDescent="0.25">
      <c r="A104" t="s">
        <v>3577</v>
      </c>
      <c r="B104" s="19">
        <v>19305461.199999999</v>
      </c>
      <c r="D104" s="20">
        <f t="shared" si="1"/>
        <v>-1</v>
      </c>
    </row>
    <row r="105" spans="1:4" hidden="1" x14ac:dyDescent="0.25">
      <c r="A105" t="s">
        <v>4027</v>
      </c>
      <c r="B105" s="19">
        <v>7123014.7999999998</v>
      </c>
      <c r="C105" s="19">
        <v>24567373.8937205</v>
      </c>
      <c r="D105" s="20">
        <f t="shared" si="1"/>
        <v>0.28993798160171547</v>
      </c>
    </row>
    <row r="106" spans="1:4" hidden="1" x14ac:dyDescent="0.25">
      <c r="A106" t="s">
        <v>3737</v>
      </c>
      <c r="B106" s="19">
        <v>10670628</v>
      </c>
      <c r="C106" s="19">
        <v>6581475.8352901097</v>
      </c>
      <c r="D106" s="20">
        <f t="shared" si="1"/>
        <v>1.6213123419497659</v>
      </c>
    </row>
    <row r="107" spans="1:4" hidden="1" x14ac:dyDescent="0.25">
      <c r="A107" t="s">
        <v>3627</v>
      </c>
      <c r="B107" s="19">
        <v>87366140</v>
      </c>
      <c r="C107" s="19">
        <v>97827721</v>
      </c>
      <c r="D107" s="20">
        <f t="shared" si="1"/>
        <v>0.89306118048073513</v>
      </c>
    </row>
    <row r="108" spans="1:4" hidden="1" x14ac:dyDescent="0.25">
      <c r="A108" t="s">
        <v>4019</v>
      </c>
      <c r="B108" s="19">
        <v>14350564</v>
      </c>
      <c r="C108" s="19">
        <v>92788280</v>
      </c>
      <c r="D108" s="20">
        <f t="shared" si="1"/>
        <v>0.15465923067008031</v>
      </c>
    </row>
    <row r="109" spans="1:4" hidden="1" x14ac:dyDescent="0.25">
      <c r="A109" t="s">
        <v>3693</v>
      </c>
      <c r="B109" s="19">
        <v>273629860</v>
      </c>
      <c r="C109" s="19">
        <v>18893073</v>
      </c>
      <c r="D109" s="20">
        <f t="shared" si="1"/>
        <v>14.483078533598002</v>
      </c>
    </row>
    <row r="110" spans="1:4" hidden="1" x14ac:dyDescent="0.25">
      <c r="A110" t="s">
        <v>3791</v>
      </c>
      <c r="B110" s="19">
        <v>520225822</v>
      </c>
      <c r="C110" s="19">
        <v>34209685.532672003</v>
      </c>
      <c r="D110" s="20">
        <f t="shared" si="1"/>
        <v>15.206974688590975</v>
      </c>
    </row>
    <row r="111" spans="1:4" hidden="1" x14ac:dyDescent="0.25">
      <c r="A111" t="s">
        <v>4043</v>
      </c>
      <c r="B111" s="19">
        <v>4882908</v>
      </c>
      <c r="C111" s="19">
        <v>4269483</v>
      </c>
      <c r="D111" s="20">
        <f t="shared" si="1"/>
        <v>1.14367664656353</v>
      </c>
    </row>
    <row r="112" spans="1:4" hidden="1" x14ac:dyDescent="0.25">
      <c r="A112" t="s">
        <v>3781</v>
      </c>
      <c r="B112" s="19">
        <v>1155720.3399999901</v>
      </c>
      <c r="D112" s="20">
        <f t="shared" si="1"/>
        <v>-1</v>
      </c>
    </row>
    <row r="113" spans="1:4" hidden="1" x14ac:dyDescent="0.25">
      <c r="A113" t="s">
        <v>3805</v>
      </c>
      <c r="B113" s="19">
        <v>260354.2</v>
      </c>
      <c r="D113" s="20">
        <f t="shared" si="1"/>
        <v>-1</v>
      </c>
    </row>
    <row r="114" spans="1:4" hidden="1" x14ac:dyDescent="0.25">
      <c r="A114" t="s">
        <v>3705</v>
      </c>
      <c r="B114" s="19">
        <v>59514000</v>
      </c>
      <c r="C114" s="19">
        <v>13333977.5808906</v>
      </c>
      <c r="D114" s="20">
        <f t="shared" si="1"/>
        <v>4.4633343380816575</v>
      </c>
    </row>
    <row r="115" spans="1:4" x14ac:dyDescent="0.25">
      <c r="A115" t="s">
        <v>3825</v>
      </c>
      <c r="B115" s="19">
        <v>521704846</v>
      </c>
      <c r="C115" s="19">
        <v>216427506.98863101</v>
      </c>
      <c r="D115" s="20">
        <f t="shared" si="1"/>
        <v>2.4105292957396829</v>
      </c>
    </row>
    <row r="116" spans="1:4" hidden="1" x14ac:dyDescent="0.25">
      <c r="A116" t="s">
        <v>3997</v>
      </c>
      <c r="B116" s="19">
        <v>19313214</v>
      </c>
      <c r="C116" s="19">
        <v>6846762</v>
      </c>
      <c r="D116" s="20">
        <f t="shared" si="1"/>
        <v>2.8207806843585335</v>
      </c>
    </row>
    <row r="117" spans="1:4" hidden="1" x14ac:dyDescent="0.25">
      <c r="A117" t="s">
        <v>3763</v>
      </c>
      <c r="B117" s="19">
        <v>26679758</v>
      </c>
      <c r="C117" s="19">
        <v>54827598</v>
      </c>
      <c r="D117" s="20">
        <f t="shared" si="1"/>
        <v>0.48661183369732885</v>
      </c>
    </row>
    <row r="118" spans="1:4" x14ac:dyDescent="0.25">
      <c r="A118" t="s">
        <v>3875</v>
      </c>
      <c r="B118" s="19">
        <v>1568347890</v>
      </c>
      <c r="C118" s="19">
        <v>152508388.52226999</v>
      </c>
      <c r="D118" s="20">
        <f t="shared" si="1"/>
        <v>10.28368278752734</v>
      </c>
    </row>
    <row r="119" spans="1:4" hidden="1" x14ac:dyDescent="0.25">
      <c r="A119" t="s">
        <v>3673</v>
      </c>
      <c r="B119" s="19">
        <v>633900.85999999905</v>
      </c>
      <c r="C119" s="19">
        <v>19444837.902046099</v>
      </c>
      <c r="D119" s="20">
        <f t="shared" si="1"/>
        <v>3.2599955998259891E-2</v>
      </c>
    </row>
    <row r="120" spans="1:4" hidden="1" x14ac:dyDescent="0.25">
      <c r="A120" t="s">
        <v>4003</v>
      </c>
      <c r="B120" s="19">
        <v>193845.64</v>
      </c>
      <c r="D120" s="20">
        <f t="shared" si="1"/>
        <v>-1</v>
      </c>
    </row>
    <row r="121" spans="1:4" hidden="1" x14ac:dyDescent="0.25">
      <c r="A121" t="s">
        <v>3847</v>
      </c>
      <c r="B121" s="19">
        <v>4115222</v>
      </c>
      <c r="C121" s="19">
        <v>97011233.222951293</v>
      </c>
      <c r="D121" s="20">
        <f t="shared" si="1"/>
        <v>4.2420056557186461E-2</v>
      </c>
    </row>
    <row r="122" spans="1:4" hidden="1" x14ac:dyDescent="0.25">
      <c r="A122" t="s">
        <v>3901</v>
      </c>
      <c r="B122" s="19">
        <v>88956766.272</v>
      </c>
      <c r="D122" s="20">
        <f t="shared" si="1"/>
        <v>-1</v>
      </c>
    </row>
    <row r="123" spans="1:4" hidden="1" x14ac:dyDescent="0.25">
      <c r="A123" t="s">
        <v>3671</v>
      </c>
      <c r="B123" s="19">
        <v>11301166.4</v>
      </c>
      <c r="D123" s="20">
        <f t="shared" si="1"/>
        <v>-1</v>
      </c>
    </row>
    <row r="124" spans="1:4" hidden="1" x14ac:dyDescent="0.25">
      <c r="A124" t="s">
        <v>4075</v>
      </c>
      <c r="B124" s="19">
        <v>41379320</v>
      </c>
      <c r="C124" s="19">
        <v>12406151.757564699</v>
      </c>
      <c r="D124" s="20">
        <f t="shared" si="1"/>
        <v>3.3353872182620043</v>
      </c>
    </row>
    <row r="125" spans="1:4" hidden="1" x14ac:dyDescent="0.25">
      <c r="A125" t="s">
        <v>3741</v>
      </c>
      <c r="B125" s="19">
        <v>1356341.8</v>
      </c>
      <c r="D125" s="20">
        <f t="shared" si="1"/>
        <v>-1</v>
      </c>
    </row>
    <row r="126" spans="1:4" hidden="1" x14ac:dyDescent="0.25">
      <c r="A126" t="s">
        <v>3813</v>
      </c>
      <c r="B126" s="19">
        <v>1000652</v>
      </c>
      <c r="C126" s="19">
        <v>15915016.975939199</v>
      </c>
      <c r="D126" s="20">
        <f t="shared" si="1"/>
        <v>6.2874705161346398E-2</v>
      </c>
    </row>
    <row r="127" spans="1:4" hidden="1" x14ac:dyDescent="0.25">
      <c r="A127" t="s">
        <v>4862</v>
      </c>
      <c r="B127" s="19">
        <v>0</v>
      </c>
      <c r="C127" s="19">
        <v>9285048.6458268594</v>
      </c>
      <c r="D127" s="20">
        <f t="shared" si="1"/>
        <v>0</v>
      </c>
    </row>
    <row r="128" spans="1:4" hidden="1" x14ac:dyDescent="0.25">
      <c r="A128" t="s">
        <v>4073</v>
      </c>
      <c r="B128" s="19">
        <v>82389820</v>
      </c>
      <c r="C128" s="19">
        <v>7422370.3444844</v>
      </c>
      <c r="D128" s="20">
        <f t="shared" si="1"/>
        <v>11.10020332806814</v>
      </c>
    </row>
    <row r="129" spans="1:4" hidden="1" x14ac:dyDescent="0.25">
      <c r="A129" t="s">
        <v>3995</v>
      </c>
      <c r="B129" s="19">
        <v>11101174</v>
      </c>
      <c r="D129" s="20">
        <f t="shared" si="1"/>
        <v>-1</v>
      </c>
    </row>
    <row r="130" spans="1:4" hidden="1" x14ac:dyDescent="0.25">
      <c r="A130" t="s">
        <v>3853</v>
      </c>
      <c r="B130" s="19">
        <v>28648496</v>
      </c>
      <c r="C130" s="19">
        <v>5833748.4567493601</v>
      </c>
      <c r="D130" s="20">
        <f t="shared" ref="D130:D193" si="2">IFERROR(B130/C130,-1)</f>
        <v>4.9108212691027324</v>
      </c>
    </row>
    <row r="131" spans="1:4" hidden="1" x14ac:dyDescent="0.25">
      <c r="A131" t="s">
        <v>3973</v>
      </c>
      <c r="B131" s="19">
        <v>2830826</v>
      </c>
      <c r="C131" s="19">
        <v>3075552.35258517</v>
      </c>
      <c r="D131" s="20">
        <f t="shared" si="2"/>
        <v>0.92042848746194672</v>
      </c>
    </row>
    <row r="132" spans="1:4" hidden="1" x14ac:dyDescent="0.25">
      <c r="A132" t="s">
        <v>3817</v>
      </c>
      <c r="B132" s="19">
        <v>517530</v>
      </c>
      <c r="D132" s="20">
        <f t="shared" si="2"/>
        <v>-1</v>
      </c>
    </row>
    <row r="133" spans="1:4" hidden="1" x14ac:dyDescent="0.25">
      <c r="A133" t="s">
        <v>4089</v>
      </c>
      <c r="B133" s="19">
        <v>2097958</v>
      </c>
      <c r="C133" s="19">
        <v>27850960.171438001</v>
      </c>
      <c r="D133" s="20">
        <f t="shared" si="2"/>
        <v>7.5328031316906588E-2</v>
      </c>
    </row>
    <row r="134" spans="1:4" hidden="1" x14ac:dyDescent="0.25">
      <c r="A134" t="s">
        <v>4083</v>
      </c>
      <c r="B134" s="19">
        <v>31918320</v>
      </c>
      <c r="D134" s="20">
        <f t="shared" si="2"/>
        <v>-1</v>
      </c>
    </row>
    <row r="135" spans="1:4" hidden="1" x14ac:dyDescent="0.25">
      <c r="A135" t="s">
        <v>3963</v>
      </c>
      <c r="B135" s="19">
        <v>1750430.6</v>
      </c>
      <c r="D135" s="20">
        <f t="shared" si="2"/>
        <v>-1</v>
      </c>
    </row>
    <row r="136" spans="1:4" hidden="1" x14ac:dyDescent="0.25">
      <c r="A136" t="s">
        <v>4863</v>
      </c>
      <c r="B136" s="19">
        <v>0</v>
      </c>
      <c r="C136" s="19">
        <v>5204355.5095007801</v>
      </c>
      <c r="D136" s="20">
        <f t="shared" si="2"/>
        <v>0</v>
      </c>
    </row>
    <row r="137" spans="1:4" hidden="1" x14ac:dyDescent="0.25">
      <c r="A137" t="s">
        <v>3653</v>
      </c>
      <c r="B137" s="19">
        <v>15823476</v>
      </c>
      <c r="D137" s="20">
        <f t="shared" si="2"/>
        <v>-1</v>
      </c>
    </row>
    <row r="138" spans="1:4" hidden="1" x14ac:dyDescent="0.25">
      <c r="A138" t="s">
        <v>3779</v>
      </c>
      <c r="B138" s="19">
        <v>1006414.2</v>
      </c>
      <c r="D138" s="20">
        <f t="shared" si="2"/>
        <v>-1</v>
      </c>
    </row>
    <row r="139" spans="1:4" hidden="1" x14ac:dyDescent="0.25">
      <c r="A139" t="s">
        <v>4864</v>
      </c>
      <c r="B139" s="19">
        <v>0</v>
      </c>
      <c r="C139" s="19">
        <v>4782052.4647030896</v>
      </c>
      <c r="D139" s="20">
        <f t="shared" si="2"/>
        <v>0</v>
      </c>
    </row>
    <row r="140" spans="1:4" hidden="1" x14ac:dyDescent="0.25">
      <c r="A140" t="s">
        <v>3709</v>
      </c>
      <c r="B140" s="19">
        <v>1343110.8</v>
      </c>
      <c r="D140" s="20">
        <f t="shared" si="2"/>
        <v>-1</v>
      </c>
    </row>
    <row r="141" spans="1:4" hidden="1" x14ac:dyDescent="0.25">
      <c r="A141" t="s">
        <v>3686</v>
      </c>
      <c r="B141" s="19">
        <v>68628.039999999994</v>
      </c>
      <c r="D141" s="20">
        <f t="shared" si="2"/>
        <v>-1</v>
      </c>
    </row>
    <row r="142" spans="1:4" hidden="1" x14ac:dyDescent="0.25">
      <c r="A142" t="s">
        <v>4001</v>
      </c>
      <c r="B142" s="19">
        <v>428017.4</v>
      </c>
      <c r="C142" s="19">
        <v>3546557.0309524601</v>
      </c>
      <c r="D142" s="20">
        <f t="shared" si="2"/>
        <v>0.12068532840850781</v>
      </c>
    </row>
    <row r="143" spans="1:4" hidden="1" x14ac:dyDescent="0.25">
      <c r="A143" t="s">
        <v>4865</v>
      </c>
      <c r="B143" s="19">
        <v>0</v>
      </c>
      <c r="C143" s="19">
        <v>3868651.6721552401</v>
      </c>
      <c r="D143" s="20">
        <f t="shared" si="2"/>
        <v>0</v>
      </c>
    </row>
    <row r="144" spans="1:4" hidden="1" x14ac:dyDescent="0.25">
      <c r="A144" t="s">
        <v>3777</v>
      </c>
      <c r="B144" s="19">
        <v>2316884</v>
      </c>
      <c r="D144" s="20">
        <f t="shared" si="2"/>
        <v>-1</v>
      </c>
    </row>
    <row r="145" spans="1:4" hidden="1" x14ac:dyDescent="0.25">
      <c r="A145" t="s">
        <v>3985</v>
      </c>
      <c r="B145" s="19">
        <v>7588744</v>
      </c>
      <c r="D145" s="20">
        <f t="shared" si="2"/>
        <v>-1</v>
      </c>
    </row>
    <row r="146" spans="1:4" hidden="1" x14ac:dyDescent="0.25">
      <c r="A146" t="s">
        <v>4866</v>
      </c>
      <c r="B146" s="19">
        <v>0</v>
      </c>
      <c r="C146" s="19">
        <v>3333786.40334776</v>
      </c>
      <c r="D146" s="20">
        <f t="shared" si="2"/>
        <v>0</v>
      </c>
    </row>
    <row r="147" spans="1:4" hidden="1" x14ac:dyDescent="0.25">
      <c r="A147" t="s">
        <v>3977</v>
      </c>
      <c r="B147" s="19">
        <v>1187621.2</v>
      </c>
      <c r="D147" s="20">
        <f t="shared" si="2"/>
        <v>-1</v>
      </c>
    </row>
    <row r="148" spans="1:4" hidden="1" x14ac:dyDescent="0.25">
      <c r="A148" t="s">
        <v>4867</v>
      </c>
      <c r="B148" s="19">
        <v>0</v>
      </c>
      <c r="C148" s="19">
        <v>10552819.564484101</v>
      </c>
      <c r="D148" s="20">
        <f t="shared" si="2"/>
        <v>0</v>
      </c>
    </row>
    <row r="149" spans="1:4" hidden="1" x14ac:dyDescent="0.25">
      <c r="A149" t="s">
        <v>4868</v>
      </c>
      <c r="B149" s="19">
        <v>0</v>
      </c>
      <c r="C149" s="19">
        <v>5156859.4351141201</v>
      </c>
      <c r="D149" s="20">
        <f t="shared" si="2"/>
        <v>0</v>
      </c>
    </row>
    <row r="150" spans="1:4" hidden="1" x14ac:dyDescent="0.25">
      <c r="A150" t="s">
        <v>4869</v>
      </c>
      <c r="B150" s="19">
        <v>0</v>
      </c>
      <c r="C150" s="19">
        <v>192635572.27785099</v>
      </c>
      <c r="D150" s="20">
        <f t="shared" si="2"/>
        <v>0</v>
      </c>
    </row>
    <row r="151" spans="1:4" hidden="1" x14ac:dyDescent="0.25">
      <c r="A151" t="s">
        <v>4870</v>
      </c>
      <c r="B151" s="19">
        <v>0</v>
      </c>
      <c r="C151" s="19">
        <v>9271580</v>
      </c>
      <c r="D151" s="20">
        <f t="shared" si="2"/>
        <v>0</v>
      </c>
    </row>
    <row r="152" spans="1:4" hidden="1" x14ac:dyDescent="0.25">
      <c r="A152" t="s">
        <v>4871</v>
      </c>
      <c r="B152" s="19">
        <v>0</v>
      </c>
      <c r="C152" s="19">
        <v>40181118.425234601</v>
      </c>
      <c r="D152" s="20">
        <f t="shared" si="2"/>
        <v>0</v>
      </c>
    </row>
    <row r="153" spans="1:4" hidden="1" x14ac:dyDescent="0.25">
      <c r="A153" t="s">
        <v>4872</v>
      </c>
      <c r="B153" s="19">
        <v>0</v>
      </c>
      <c r="C153" s="19">
        <v>8530198.8326189704</v>
      </c>
      <c r="D153" s="20">
        <f t="shared" si="2"/>
        <v>0</v>
      </c>
    </row>
    <row r="154" spans="1:4" hidden="1" x14ac:dyDescent="0.25">
      <c r="A154" t="s">
        <v>4873</v>
      </c>
      <c r="B154" s="19">
        <v>0</v>
      </c>
      <c r="C154" s="19">
        <v>4822435.9248495698</v>
      </c>
      <c r="D154" s="20">
        <f t="shared" si="2"/>
        <v>0</v>
      </c>
    </row>
    <row r="155" spans="1:4" hidden="1" x14ac:dyDescent="0.25">
      <c r="A155" t="s">
        <v>4874</v>
      </c>
      <c r="B155" s="19">
        <v>0</v>
      </c>
      <c r="C155" s="19">
        <v>27872282.034086999</v>
      </c>
      <c r="D155" s="20">
        <f t="shared" si="2"/>
        <v>0</v>
      </c>
    </row>
    <row r="156" spans="1:4" hidden="1" x14ac:dyDescent="0.25">
      <c r="A156" t="s">
        <v>4875</v>
      </c>
      <c r="B156" s="19">
        <v>0</v>
      </c>
      <c r="C156" s="19">
        <v>152819098.82143101</v>
      </c>
      <c r="D156" s="20">
        <f t="shared" si="2"/>
        <v>0</v>
      </c>
    </row>
    <row r="157" spans="1:4" hidden="1" x14ac:dyDescent="0.25">
      <c r="A157" t="s">
        <v>4876</v>
      </c>
      <c r="B157" s="19">
        <v>0</v>
      </c>
      <c r="C157" s="19">
        <v>13083005.666315701</v>
      </c>
      <c r="D157" s="20">
        <f t="shared" si="2"/>
        <v>0</v>
      </c>
    </row>
    <row r="158" spans="1:4" hidden="1" x14ac:dyDescent="0.25">
      <c r="A158" t="s">
        <v>4877</v>
      </c>
      <c r="B158" s="19">
        <v>0</v>
      </c>
      <c r="C158" s="19">
        <v>2421135</v>
      </c>
      <c r="D158" s="20">
        <f t="shared" si="2"/>
        <v>0</v>
      </c>
    </row>
    <row r="159" spans="1:4" hidden="1" x14ac:dyDescent="0.25">
      <c r="A159" t="s">
        <v>4878</v>
      </c>
      <c r="B159" s="19">
        <v>0</v>
      </c>
      <c r="C159" s="19">
        <v>967155.84915669705</v>
      </c>
      <c r="D159" s="20">
        <f t="shared" si="2"/>
        <v>0</v>
      </c>
    </row>
    <row r="160" spans="1:4" hidden="1" x14ac:dyDescent="0.25">
      <c r="A160" t="s">
        <v>4879</v>
      </c>
      <c r="B160" s="19">
        <v>0</v>
      </c>
      <c r="C160" s="19">
        <v>28730657.714682501</v>
      </c>
      <c r="D160" s="20">
        <f t="shared" si="2"/>
        <v>0</v>
      </c>
    </row>
    <row r="161" spans="1:4" hidden="1" x14ac:dyDescent="0.25">
      <c r="A161" t="s">
        <v>4880</v>
      </c>
      <c r="B161" s="19">
        <v>0</v>
      </c>
      <c r="C161" s="19">
        <v>5430635.9517931696</v>
      </c>
      <c r="D161" s="20">
        <f t="shared" si="2"/>
        <v>0</v>
      </c>
    </row>
    <row r="162" spans="1:4" hidden="1" x14ac:dyDescent="0.25">
      <c r="A162" t="s">
        <v>4881</v>
      </c>
      <c r="B162" s="19">
        <v>0</v>
      </c>
      <c r="C162" s="19">
        <v>4638531.3274845304</v>
      </c>
      <c r="D162" s="20">
        <f t="shared" si="2"/>
        <v>0</v>
      </c>
    </row>
    <row r="163" spans="1:4" hidden="1" x14ac:dyDescent="0.25">
      <c r="A163" t="s">
        <v>4882</v>
      </c>
      <c r="B163" s="19">
        <v>0</v>
      </c>
      <c r="C163" s="19">
        <v>24882563.630697101</v>
      </c>
      <c r="D163" s="20">
        <f t="shared" si="2"/>
        <v>0</v>
      </c>
    </row>
    <row r="164" spans="1:4" hidden="1" x14ac:dyDescent="0.25">
      <c r="A164" t="s">
        <v>4883</v>
      </c>
      <c r="B164" s="19">
        <v>0</v>
      </c>
      <c r="C164" s="19">
        <v>1304113</v>
      </c>
      <c r="D164" s="20">
        <f t="shared" si="2"/>
        <v>0</v>
      </c>
    </row>
    <row r="165" spans="1:4" hidden="1" x14ac:dyDescent="0.25">
      <c r="A165" t="s">
        <v>4884</v>
      </c>
      <c r="B165" s="19">
        <v>0</v>
      </c>
      <c r="C165" s="19">
        <v>50508342</v>
      </c>
      <c r="D165" s="20">
        <f t="shared" si="2"/>
        <v>0</v>
      </c>
    </row>
    <row r="166" spans="1:4" hidden="1" x14ac:dyDescent="0.25">
      <c r="A166" t="s">
        <v>4885</v>
      </c>
      <c r="B166" s="19">
        <v>0</v>
      </c>
      <c r="C166" s="19">
        <v>471152.95884755999</v>
      </c>
      <c r="D166" s="20">
        <f t="shared" si="2"/>
        <v>0</v>
      </c>
    </row>
    <row r="167" spans="1:4" hidden="1" x14ac:dyDescent="0.25">
      <c r="A167" t="s">
        <v>4886</v>
      </c>
      <c r="B167" s="19">
        <v>0</v>
      </c>
      <c r="C167" s="19">
        <v>57866925</v>
      </c>
      <c r="D167" s="20">
        <f t="shared" si="2"/>
        <v>0</v>
      </c>
    </row>
    <row r="168" spans="1:4" hidden="1" x14ac:dyDescent="0.25">
      <c r="A168" t="s">
        <v>4887</v>
      </c>
      <c r="B168" s="19">
        <v>0</v>
      </c>
      <c r="C168" s="19">
        <v>4098190.43812733</v>
      </c>
      <c r="D168" s="20">
        <f t="shared" si="2"/>
        <v>0</v>
      </c>
    </row>
    <row r="169" spans="1:4" hidden="1" x14ac:dyDescent="0.25">
      <c r="A169" t="s">
        <v>4888</v>
      </c>
      <c r="B169" s="19">
        <v>0</v>
      </c>
      <c r="C169" s="19">
        <v>14055420.2844074</v>
      </c>
      <c r="D169" s="20">
        <f t="shared" si="2"/>
        <v>0</v>
      </c>
    </row>
    <row r="170" spans="1:4" hidden="1" x14ac:dyDescent="0.25">
      <c r="A170" t="s">
        <v>4889</v>
      </c>
      <c r="B170" s="19">
        <v>0</v>
      </c>
      <c r="C170" s="19">
        <v>109156994.672794</v>
      </c>
      <c r="D170" s="20">
        <f t="shared" si="2"/>
        <v>0</v>
      </c>
    </row>
    <row r="171" spans="1:4" hidden="1" x14ac:dyDescent="0.25">
      <c r="A171" t="s">
        <v>4890</v>
      </c>
      <c r="B171" s="19">
        <v>0</v>
      </c>
      <c r="C171" s="19">
        <v>43846927</v>
      </c>
      <c r="D171" s="20">
        <f t="shared" si="2"/>
        <v>0</v>
      </c>
    </row>
    <row r="172" spans="1:4" hidden="1" x14ac:dyDescent="0.25">
      <c r="A172" t="s">
        <v>4891</v>
      </c>
      <c r="B172" s="19">
        <v>0</v>
      </c>
      <c r="C172" s="19">
        <v>1077.0605127997201</v>
      </c>
      <c r="D172" s="20">
        <f t="shared" si="2"/>
        <v>0</v>
      </c>
    </row>
    <row r="173" spans="1:4" hidden="1" x14ac:dyDescent="0.25">
      <c r="A173" t="s">
        <v>4892</v>
      </c>
      <c r="B173" s="19">
        <v>0</v>
      </c>
      <c r="C173" s="19">
        <v>28273169.765464999</v>
      </c>
      <c r="D173" s="20">
        <f t="shared" si="2"/>
        <v>0</v>
      </c>
    </row>
    <row r="174" spans="1:4" hidden="1" x14ac:dyDescent="0.25">
      <c r="A174" t="s">
        <v>4893</v>
      </c>
      <c r="B174" s="19">
        <v>0</v>
      </c>
      <c r="C174" s="19">
        <v>58986140</v>
      </c>
      <c r="D174" s="20">
        <f t="shared" si="2"/>
        <v>0</v>
      </c>
    </row>
    <row r="175" spans="1:4" hidden="1" x14ac:dyDescent="0.25">
      <c r="A175" t="s">
        <v>4894</v>
      </c>
      <c r="B175" s="19">
        <v>0</v>
      </c>
      <c r="C175" s="19">
        <v>4346509.6109333998</v>
      </c>
      <c r="D175" s="20">
        <f t="shared" si="2"/>
        <v>0</v>
      </c>
    </row>
    <row r="176" spans="1:4" hidden="1" x14ac:dyDescent="0.25">
      <c r="A176" t="s">
        <v>4895</v>
      </c>
      <c r="B176" s="19">
        <v>0</v>
      </c>
      <c r="C176" s="19">
        <v>2906200.8845949098</v>
      </c>
      <c r="D176" s="20">
        <f t="shared" si="2"/>
        <v>0</v>
      </c>
    </row>
    <row r="177" spans="1:4" hidden="1" x14ac:dyDescent="0.25">
      <c r="A177" t="s">
        <v>4896</v>
      </c>
      <c r="B177" s="19">
        <v>0</v>
      </c>
      <c r="C177" s="19">
        <v>97182892.109646097</v>
      </c>
      <c r="D177" s="20">
        <f t="shared" si="2"/>
        <v>0</v>
      </c>
    </row>
    <row r="178" spans="1:4" hidden="1" x14ac:dyDescent="0.25">
      <c r="A178" t="s">
        <v>4897</v>
      </c>
      <c r="B178" s="19">
        <v>0</v>
      </c>
      <c r="C178" s="19">
        <v>865872.51664296398</v>
      </c>
      <c r="D178" s="20">
        <f t="shared" si="2"/>
        <v>0</v>
      </c>
    </row>
    <row r="179" spans="1:4" hidden="1" x14ac:dyDescent="0.25">
      <c r="A179" t="s">
        <v>4898</v>
      </c>
      <c r="B179" s="19">
        <v>0</v>
      </c>
      <c r="C179" s="19">
        <v>4208310.5223981095</v>
      </c>
      <c r="D179" s="20">
        <f t="shared" si="2"/>
        <v>0</v>
      </c>
    </row>
    <row r="180" spans="1:4" hidden="1" x14ac:dyDescent="0.25">
      <c r="A180" t="s">
        <v>4899</v>
      </c>
      <c r="B180" s="19">
        <v>0</v>
      </c>
      <c r="C180" s="19">
        <v>16851266.7664611</v>
      </c>
      <c r="D180" s="20">
        <f t="shared" si="2"/>
        <v>0</v>
      </c>
    </row>
    <row r="181" spans="1:4" hidden="1" x14ac:dyDescent="0.25">
      <c r="A181" t="s">
        <v>4900</v>
      </c>
      <c r="B181" s="19">
        <v>0</v>
      </c>
      <c r="C181" s="19">
        <v>3052796.7776011401</v>
      </c>
      <c r="D181" s="20">
        <f t="shared" si="2"/>
        <v>0</v>
      </c>
    </row>
    <row r="182" spans="1:4" hidden="1" x14ac:dyDescent="0.25">
      <c r="A182" t="s">
        <v>4901</v>
      </c>
      <c r="B182" s="19">
        <v>0</v>
      </c>
      <c r="C182" s="19">
        <v>53091.3843433781</v>
      </c>
      <c r="D182" s="20">
        <f t="shared" si="2"/>
        <v>0</v>
      </c>
    </row>
    <row r="183" spans="1:4" hidden="1" x14ac:dyDescent="0.25">
      <c r="A183" t="s">
        <v>4902</v>
      </c>
      <c r="B183" s="19">
        <v>0</v>
      </c>
      <c r="C183" s="19">
        <v>24206732.682635501</v>
      </c>
      <c r="D183" s="20">
        <f t="shared" si="2"/>
        <v>0</v>
      </c>
    </row>
    <row r="184" spans="1:4" hidden="1" x14ac:dyDescent="0.25">
      <c r="A184" t="s">
        <v>4903</v>
      </c>
      <c r="B184" s="19">
        <v>0</v>
      </c>
      <c r="C184" s="19">
        <v>720144.746635888</v>
      </c>
      <c r="D184" s="20">
        <f t="shared" si="2"/>
        <v>0</v>
      </c>
    </row>
    <row r="185" spans="1:4" hidden="1" x14ac:dyDescent="0.25">
      <c r="A185" t="s">
        <v>4904</v>
      </c>
      <c r="B185" s="19">
        <v>0</v>
      </c>
      <c r="C185" s="19">
        <v>2679062.8555463701</v>
      </c>
      <c r="D185" s="20">
        <f t="shared" si="2"/>
        <v>0</v>
      </c>
    </row>
    <row r="186" spans="1:4" hidden="1" x14ac:dyDescent="0.25">
      <c r="A186" t="s">
        <v>4905</v>
      </c>
      <c r="B186" s="19">
        <v>0</v>
      </c>
      <c r="C186" s="19">
        <v>4921414.8189383298</v>
      </c>
      <c r="D186" s="20">
        <f t="shared" si="2"/>
        <v>0</v>
      </c>
    </row>
    <row r="187" spans="1:4" hidden="1" x14ac:dyDescent="0.25">
      <c r="A187" t="s">
        <v>4906</v>
      </c>
      <c r="B187" s="19">
        <v>0</v>
      </c>
      <c r="C187" s="19">
        <v>2875495.9942932399</v>
      </c>
      <c r="D187" s="20">
        <f t="shared" si="2"/>
        <v>0</v>
      </c>
    </row>
    <row r="188" spans="1:4" hidden="1" x14ac:dyDescent="0.25">
      <c r="A188" t="s">
        <v>4907</v>
      </c>
      <c r="B188" s="19">
        <v>0</v>
      </c>
      <c r="C188" s="19">
        <v>17677063.100405999</v>
      </c>
      <c r="D188" s="20">
        <f t="shared" si="2"/>
        <v>0</v>
      </c>
    </row>
    <row r="189" spans="1:4" hidden="1" x14ac:dyDescent="0.25">
      <c r="A189" t="s">
        <v>4908</v>
      </c>
      <c r="B189" s="19">
        <v>0</v>
      </c>
      <c r="C189" s="19">
        <v>814248.85299447004</v>
      </c>
      <c r="D189" s="20">
        <f t="shared" si="2"/>
        <v>0</v>
      </c>
    </row>
    <row r="190" spans="1:4" hidden="1" x14ac:dyDescent="0.25">
      <c r="A190" t="s">
        <v>4909</v>
      </c>
      <c r="B190" s="19">
        <v>0</v>
      </c>
      <c r="C190" s="19">
        <v>3617878.6906025601</v>
      </c>
      <c r="D190" s="20">
        <f t="shared" si="2"/>
        <v>0</v>
      </c>
    </row>
    <row r="191" spans="1:4" hidden="1" x14ac:dyDescent="0.25">
      <c r="A191" t="s">
        <v>4910</v>
      </c>
      <c r="B191" s="19">
        <v>0</v>
      </c>
      <c r="C191" s="19">
        <v>32033.106269083801</v>
      </c>
      <c r="D191" s="20">
        <f t="shared" si="2"/>
        <v>0</v>
      </c>
    </row>
    <row r="192" spans="1:4" hidden="1" x14ac:dyDescent="0.25">
      <c r="A192" t="s">
        <v>4911</v>
      </c>
      <c r="B192" s="19">
        <v>0</v>
      </c>
      <c r="C192" s="19">
        <v>343321.75971790001</v>
      </c>
      <c r="D192" s="20">
        <f t="shared" si="2"/>
        <v>0</v>
      </c>
    </row>
    <row r="193" spans="1:4" hidden="1" x14ac:dyDescent="0.25">
      <c r="A193" t="s">
        <v>4912</v>
      </c>
      <c r="B193" s="19">
        <v>0</v>
      </c>
      <c r="C193" s="19">
        <v>3158475.7029633601</v>
      </c>
      <c r="D193" s="20">
        <f t="shared" si="2"/>
        <v>0</v>
      </c>
    </row>
    <row r="194" spans="1:4" hidden="1" x14ac:dyDescent="0.25">
      <c r="A194" t="s">
        <v>4913</v>
      </c>
      <c r="B194" s="19">
        <v>0</v>
      </c>
      <c r="C194" s="19">
        <v>675414.24683218496</v>
      </c>
      <c r="D194" s="20">
        <f t="shared" ref="D194:D203" si="3">IFERROR(B194/C194,-1)</f>
        <v>0</v>
      </c>
    </row>
    <row r="195" spans="1:4" hidden="1" x14ac:dyDescent="0.25">
      <c r="A195" t="s">
        <v>4914</v>
      </c>
      <c r="B195" s="19">
        <v>0</v>
      </c>
      <c r="C195" s="19">
        <v>166608.543855786</v>
      </c>
      <c r="D195" s="20">
        <f t="shared" si="3"/>
        <v>0</v>
      </c>
    </row>
    <row r="196" spans="1:4" hidden="1" x14ac:dyDescent="0.25">
      <c r="A196" t="s">
        <v>3631</v>
      </c>
      <c r="B196" s="19">
        <v>1031193.8</v>
      </c>
      <c r="C196" s="19">
        <v>33164.620111180302</v>
      </c>
      <c r="D196" s="20">
        <f t="shared" si="3"/>
        <v>31.093188962908361</v>
      </c>
    </row>
    <row r="197" spans="1:4" hidden="1" x14ac:dyDescent="0.25">
      <c r="A197" t="s">
        <v>3697</v>
      </c>
      <c r="B197" s="19">
        <v>2797878</v>
      </c>
      <c r="C197" s="19">
        <v>22991.737451667901</v>
      </c>
      <c r="D197" s="20">
        <f t="shared" si="3"/>
        <v>121.69058584117714</v>
      </c>
    </row>
    <row r="198" spans="1:4" hidden="1" x14ac:dyDescent="0.25">
      <c r="A198" t="s">
        <v>3927</v>
      </c>
      <c r="B198" s="19">
        <v>82152032</v>
      </c>
      <c r="D198" s="20">
        <f t="shared" si="3"/>
        <v>-1</v>
      </c>
    </row>
    <row r="199" spans="1:4" hidden="1" x14ac:dyDescent="0.25">
      <c r="A199" t="s">
        <v>3929</v>
      </c>
      <c r="B199" s="19">
        <v>162177840</v>
      </c>
      <c r="D199" s="20">
        <f t="shared" si="3"/>
        <v>-1</v>
      </c>
    </row>
    <row r="200" spans="1:4" hidden="1" x14ac:dyDescent="0.25">
      <c r="A200" t="s">
        <v>4129</v>
      </c>
      <c r="B200" s="19">
        <v>1470404.2</v>
      </c>
      <c r="D200" s="20">
        <f t="shared" si="3"/>
        <v>-1</v>
      </c>
    </row>
    <row r="201" spans="1:4" hidden="1" x14ac:dyDescent="0.25">
      <c r="A201" t="s">
        <v>4127</v>
      </c>
      <c r="B201" s="19">
        <v>2951754</v>
      </c>
      <c r="D201" s="20">
        <f t="shared" si="3"/>
        <v>-1</v>
      </c>
    </row>
    <row r="202" spans="1:4" hidden="1" x14ac:dyDescent="0.25">
      <c r="A202" t="s">
        <v>3955</v>
      </c>
      <c r="B202" s="19">
        <v>1529103.4</v>
      </c>
      <c r="D202" s="20">
        <f t="shared" si="3"/>
        <v>-1</v>
      </c>
    </row>
    <row r="203" spans="1:4" hidden="1" x14ac:dyDescent="0.25">
      <c r="A203" t="s">
        <v>3953</v>
      </c>
      <c r="B203" s="19">
        <v>2774154</v>
      </c>
      <c r="D203" s="20">
        <f t="shared" si="3"/>
        <v>-1</v>
      </c>
    </row>
  </sheetData>
  <autoFilter ref="A1:D203" xr:uid="{25FA5871-41CE-4022-A989-4F427797ABED}">
    <filterColumn colId="0">
      <filters>
        <filter val="2017-COMMERCIAL-WW1-US"/>
        <filter val="2018-COMMERCIAL-WW1-US"/>
        <filter val="2019-COMMERCIAL-WW1-US"/>
        <filter val="2020-COMMERCIAL-WW1-US"/>
        <filter val="2021-COMMERCIAL-WW1-US"/>
        <filter val="2022-COMMERCIAL-WW1-US"/>
        <filter val="2023-COMMERCIAL-WW1-US"/>
      </filters>
    </filterColumn>
    <sortState xmlns:xlrd2="http://schemas.microsoft.com/office/spreadsheetml/2017/richdata2" ref="A2:D203">
      <sortCondition descending="1" ref="C1:C2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notes</vt:lpstr>
      <vt:lpstr>country</vt:lpstr>
      <vt:lpstr>areas</vt:lpstr>
      <vt:lpstr>peril</vt:lpstr>
      <vt:lpstr>selected events</vt:lpstr>
      <vt:lpstr>emdat</vt:lpstr>
      <vt:lpstr>events</vt:lpstr>
      <vt:lpstr>Sheet3</vt:lpstr>
      <vt:lpstr>epfactors</vt:lpstr>
      <vt:lpstr>lobs</vt:lpstr>
      <vt:lpstr>event_losses</vt:lpstr>
      <vt:lpstr>portfolios</vt:lpstr>
      <vt:lpstr>availablemodels</vt:lpstr>
      <vt:lpstr>catmodels</vt:lpstr>
      <vt:lpstr>catmodeldomains</vt:lpstr>
      <vt:lpstr>portfolio_AAL</vt:lpstr>
      <vt:lpstr>epcurves</vt:lpstr>
      <vt:lpstr>sparql result</vt:lpstr>
      <vt:lpstr>Sheet2</vt:lpstr>
      <vt:lpstr>Sheet1</vt:lpstr>
      <vt:lpstr>claims vs aal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Sashi Tadinada</cp:lastModifiedBy>
  <cp:revision/>
  <dcterms:created xsi:type="dcterms:W3CDTF">2024-12-20T16:14:06Z</dcterms:created>
  <dcterms:modified xsi:type="dcterms:W3CDTF">2025-06-19T22:23:31Z</dcterms:modified>
  <cp:category/>
  <cp:contentStatus/>
</cp:coreProperties>
</file>